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\playground\new storage\"/>
    </mc:Choice>
  </mc:AlternateContent>
  <xr:revisionPtr revIDLastSave="0" documentId="13_ncr:1_{66E956A0-3AB1-48CB-A4A7-99536CC40EAD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工作表1" sheetId="10" r:id="rId1"/>
    <sheet name="工作表11" sheetId="9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55" i="9" l="1"/>
  <c r="H1855" i="9"/>
  <c r="F1855" i="9"/>
  <c r="E1855" i="9"/>
  <c r="D1855" i="9"/>
  <c r="C1855" i="9"/>
  <c r="B1855" i="9"/>
  <c r="A1855" i="9"/>
  <c r="F1854" i="9"/>
  <c r="E1854" i="9"/>
  <c r="D1854" i="9"/>
  <c r="C1854" i="9"/>
  <c r="B1854" i="9"/>
  <c r="A1854" i="9"/>
  <c r="I1853" i="9"/>
  <c r="F1853" i="9"/>
  <c r="E1853" i="9"/>
  <c r="D1853" i="9"/>
  <c r="C1853" i="9"/>
  <c r="B1853" i="9"/>
  <c r="A1853" i="9"/>
  <c r="H1852" i="9"/>
  <c r="G1852" i="9"/>
  <c r="F1852" i="9"/>
  <c r="E1852" i="9"/>
  <c r="D1852" i="9"/>
  <c r="C1852" i="9"/>
  <c r="B1852" i="9"/>
  <c r="A1852" i="9"/>
  <c r="I1851" i="9"/>
  <c r="G1851" i="9"/>
  <c r="F1851" i="9"/>
  <c r="E1851" i="9"/>
  <c r="D1851" i="9"/>
  <c r="C1851" i="9"/>
  <c r="B1851" i="9"/>
  <c r="A1851" i="9"/>
  <c r="I1850" i="9"/>
  <c r="H1850" i="9"/>
  <c r="G1850" i="9"/>
  <c r="F1850" i="9"/>
  <c r="E1850" i="9"/>
  <c r="D1850" i="9"/>
  <c r="C1850" i="9"/>
  <c r="B1850" i="9"/>
  <c r="A1850" i="9"/>
  <c r="H1849" i="9"/>
  <c r="F1849" i="9"/>
  <c r="E1849" i="9"/>
  <c r="D1849" i="9"/>
  <c r="C1849" i="9"/>
  <c r="B1849" i="9"/>
  <c r="A1849" i="9"/>
  <c r="I1848" i="9"/>
  <c r="F1848" i="9"/>
  <c r="E1848" i="9"/>
  <c r="D1848" i="9"/>
  <c r="C1848" i="9"/>
  <c r="B1848" i="9"/>
  <c r="A1848" i="9"/>
  <c r="I1847" i="9"/>
  <c r="H1847" i="9"/>
  <c r="F1847" i="9"/>
  <c r="E1847" i="9"/>
  <c r="D1847" i="9"/>
  <c r="C1847" i="9"/>
  <c r="B1847" i="9"/>
  <c r="A1847" i="9"/>
  <c r="H1846" i="9"/>
  <c r="G1846" i="9"/>
  <c r="F1846" i="9"/>
  <c r="E1846" i="9"/>
  <c r="D1846" i="9"/>
  <c r="C1846" i="9"/>
  <c r="B1846" i="9"/>
  <c r="A1846" i="9"/>
  <c r="I1845" i="9"/>
  <c r="F1845" i="9"/>
  <c r="E1845" i="9"/>
  <c r="D1845" i="9"/>
  <c r="C1845" i="9"/>
  <c r="B1845" i="9"/>
  <c r="A1845" i="9"/>
  <c r="I1844" i="9"/>
  <c r="H1844" i="9"/>
  <c r="G1844" i="9"/>
  <c r="F1844" i="9"/>
  <c r="E1844" i="9"/>
  <c r="D1844" i="9"/>
  <c r="C1844" i="9"/>
  <c r="B1844" i="9"/>
  <c r="A1844" i="9"/>
  <c r="H1843" i="9"/>
  <c r="G1843" i="9"/>
  <c r="F1843" i="9"/>
  <c r="E1843" i="9"/>
  <c r="D1843" i="9"/>
  <c r="C1843" i="9"/>
  <c r="B1843" i="9"/>
  <c r="A1843" i="9"/>
  <c r="I1842" i="9"/>
  <c r="H1842" i="9"/>
  <c r="G1842" i="9"/>
  <c r="F1842" i="9"/>
  <c r="E1842" i="9"/>
  <c r="D1842" i="9"/>
  <c r="C1842" i="9"/>
  <c r="B1842" i="9"/>
  <c r="A1842" i="9"/>
  <c r="I1841" i="9"/>
  <c r="H1841" i="9"/>
  <c r="G1841" i="9"/>
  <c r="F1841" i="9"/>
  <c r="E1841" i="9"/>
  <c r="D1841" i="9"/>
  <c r="C1841" i="9"/>
  <c r="B1841" i="9"/>
  <c r="A1841" i="9"/>
  <c r="H1840" i="9"/>
  <c r="G1840" i="9"/>
  <c r="F1840" i="9"/>
  <c r="E1840" i="9"/>
  <c r="D1840" i="9"/>
  <c r="C1840" i="9"/>
  <c r="B1840" i="9"/>
  <c r="A1840" i="9"/>
  <c r="I1839" i="9"/>
  <c r="H1839" i="9"/>
  <c r="G1839" i="9"/>
  <c r="F1839" i="9"/>
  <c r="E1839" i="9"/>
  <c r="D1839" i="9"/>
  <c r="C1839" i="9"/>
  <c r="B1839" i="9"/>
  <c r="A1839" i="9"/>
  <c r="H1838" i="9"/>
  <c r="G1838" i="9"/>
  <c r="F1838" i="9"/>
  <c r="E1838" i="9"/>
  <c r="D1838" i="9"/>
  <c r="C1838" i="9"/>
  <c r="B1838" i="9"/>
  <c r="A1838" i="9"/>
  <c r="I1837" i="9"/>
  <c r="H1837" i="9"/>
  <c r="G1837" i="9"/>
  <c r="F1837" i="9"/>
  <c r="E1837" i="9"/>
  <c r="D1837" i="9"/>
  <c r="C1837" i="9"/>
  <c r="B1837" i="9"/>
  <c r="A1837" i="9"/>
  <c r="H1836" i="9"/>
  <c r="G1836" i="9"/>
  <c r="F1836" i="9"/>
  <c r="E1836" i="9"/>
  <c r="D1836" i="9"/>
  <c r="C1836" i="9"/>
  <c r="B1836" i="9"/>
  <c r="A1836" i="9"/>
  <c r="I1835" i="9"/>
  <c r="H1835" i="9"/>
  <c r="G1835" i="9"/>
  <c r="F1835" i="9"/>
  <c r="E1835" i="9"/>
  <c r="D1835" i="9"/>
  <c r="C1835" i="9"/>
  <c r="B1835" i="9"/>
  <c r="A1835" i="9"/>
  <c r="H1834" i="9"/>
  <c r="G1834" i="9"/>
  <c r="F1834" i="9"/>
  <c r="E1834" i="9"/>
  <c r="D1834" i="9"/>
  <c r="C1834" i="9"/>
  <c r="B1834" i="9"/>
  <c r="A1834" i="9"/>
  <c r="I1833" i="9"/>
  <c r="G1833" i="9"/>
  <c r="F1833" i="9"/>
  <c r="E1833" i="9"/>
  <c r="D1833" i="9"/>
  <c r="C1833" i="9"/>
  <c r="B1833" i="9"/>
  <c r="A1833" i="9"/>
  <c r="I1832" i="9"/>
  <c r="H1832" i="9"/>
  <c r="G1832" i="9"/>
  <c r="F1832" i="9"/>
  <c r="E1832" i="9"/>
  <c r="D1832" i="9"/>
  <c r="C1832" i="9"/>
  <c r="B1832" i="9"/>
  <c r="A1832" i="9"/>
  <c r="H1831" i="9"/>
  <c r="G1831" i="9"/>
  <c r="F1831" i="9"/>
  <c r="E1831" i="9"/>
  <c r="D1831" i="9"/>
  <c r="C1831" i="9"/>
  <c r="B1831" i="9"/>
  <c r="A1831" i="9"/>
  <c r="I1830" i="9"/>
  <c r="G1830" i="9"/>
  <c r="F1830" i="9"/>
  <c r="E1830" i="9"/>
  <c r="D1830" i="9"/>
  <c r="C1830" i="9"/>
  <c r="B1830" i="9"/>
  <c r="A1830" i="9"/>
  <c r="I1829" i="9"/>
  <c r="H1829" i="9"/>
  <c r="G1829" i="9"/>
  <c r="F1829" i="9"/>
  <c r="E1829" i="9"/>
  <c r="D1829" i="9"/>
  <c r="C1829" i="9"/>
  <c r="B1829" i="9"/>
  <c r="A1829" i="9"/>
  <c r="H1828" i="9"/>
  <c r="G1828" i="9"/>
  <c r="F1828" i="9"/>
  <c r="E1828" i="9"/>
  <c r="D1828" i="9"/>
  <c r="C1828" i="9"/>
  <c r="B1828" i="9"/>
  <c r="A1828" i="9"/>
  <c r="I1827" i="9"/>
  <c r="G1827" i="9"/>
  <c r="F1827" i="9"/>
  <c r="E1827" i="9"/>
  <c r="D1827" i="9"/>
  <c r="C1827" i="9"/>
  <c r="B1827" i="9"/>
  <c r="A1827" i="9"/>
  <c r="I1826" i="9"/>
  <c r="H1826" i="9"/>
  <c r="G1826" i="9"/>
  <c r="F1826" i="9"/>
  <c r="E1826" i="9"/>
  <c r="D1826" i="9"/>
  <c r="C1826" i="9"/>
  <c r="B1826" i="9"/>
  <c r="A1826" i="9"/>
  <c r="H1825" i="9"/>
  <c r="G1825" i="9"/>
  <c r="F1825" i="9"/>
  <c r="E1825" i="9"/>
  <c r="D1825" i="9"/>
  <c r="C1825" i="9"/>
  <c r="B1825" i="9"/>
  <c r="A1825" i="9"/>
  <c r="I1824" i="9"/>
  <c r="H1824" i="9"/>
  <c r="G1824" i="9"/>
  <c r="F1824" i="9"/>
  <c r="E1824" i="9"/>
  <c r="D1824" i="9"/>
  <c r="C1824" i="9"/>
  <c r="B1824" i="9"/>
  <c r="A1824" i="9"/>
  <c r="H1823" i="9"/>
  <c r="G1823" i="9"/>
  <c r="F1823" i="9"/>
  <c r="E1823" i="9"/>
  <c r="D1823" i="9"/>
  <c r="C1823" i="9"/>
  <c r="B1823" i="9"/>
  <c r="A1823" i="9"/>
  <c r="I1822" i="9"/>
  <c r="G1822" i="9"/>
  <c r="F1822" i="9"/>
  <c r="E1822" i="9"/>
  <c r="D1822" i="9"/>
  <c r="C1822" i="9"/>
  <c r="B1822" i="9"/>
  <c r="A1822" i="9"/>
  <c r="I1821" i="9"/>
  <c r="H1821" i="9"/>
  <c r="G1821" i="9"/>
  <c r="F1821" i="9"/>
  <c r="E1821" i="9"/>
  <c r="D1821" i="9"/>
  <c r="C1821" i="9"/>
  <c r="B1821" i="9"/>
  <c r="A1821" i="9"/>
  <c r="H1820" i="9"/>
  <c r="G1820" i="9"/>
  <c r="F1820" i="9"/>
  <c r="E1820" i="9"/>
  <c r="D1820" i="9"/>
  <c r="C1820" i="9"/>
  <c r="B1820" i="9"/>
  <c r="A1820" i="9"/>
  <c r="I1819" i="9"/>
  <c r="G1819" i="9"/>
  <c r="F1819" i="9"/>
  <c r="E1819" i="9"/>
  <c r="D1819" i="9"/>
  <c r="C1819" i="9"/>
  <c r="B1819" i="9"/>
  <c r="A1819" i="9"/>
  <c r="I1818" i="9"/>
  <c r="H1818" i="9"/>
  <c r="G1818" i="9"/>
  <c r="F1818" i="9"/>
  <c r="E1818" i="9"/>
  <c r="D1818" i="9"/>
  <c r="C1818" i="9"/>
  <c r="B1818" i="9"/>
  <c r="A1818" i="9"/>
  <c r="H1817" i="9"/>
  <c r="G1817" i="9"/>
  <c r="F1817" i="9"/>
  <c r="E1817" i="9"/>
  <c r="D1817" i="9"/>
  <c r="C1817" i="9"/>
  <c r="B1817" i="9"/>
  <c r="A1817" i="9"/>
  <c r="I1816" i="9"/>
  <c r="H1816" i="9"/>
  <c r="G1816" i="9"/>
  <c r="F1816" i="9"/>
  <c r="E1816" i="9"/>
  <c r="D1816" i="9"/>
  <c r="C1816" i="9"/>
  <c r="B1816" i="9"/>
  <c r="A1816" i="9"/>
  <c r="H1815" i="9"/>
  <c r="G1815" i="9"/>
  <c r="F1815" i="9"/>
  <c r="E1815" i="9"/>
  <c r="D1815" i="9"/>
  <c r="C1815" i="9"/>
  <c r="B1815" i="9"/>
  <c r="A1815" i="9"/>
  <c r="I1814" i="9"/>
  <c r="G1814" i="9"/>
  <c r="F1814" i="9"/>
  <c r="E1814" i="9"/>
  <c r="D1814" i="9"/>
  <c r="C1814" i="9"/>
  <c r="B1814" i="9"/>
  <c r="A1814" i="9"/>
  <c r="I1813" i="9"/>
  <c r="H1813" i="9"/>
  <c r="G1813" i="9"/>
  <c r="F1813" i="9"/>
  <c r="E1813" i="9"/>
  <c r="D1813" i="9"/>
  <c r="C1813" i="9"/>
  <c r="B1813" i="9"/>
  <c r="A1813" i="9"/>
  <c r="G1812" i="9"/>
  <c r="F1812" i="9"/>
  <c r="E1812" i="9"/>
  <c r="D1812" i="9"/>
  <c r="C1812" i="9"/>
  <c r="B1812" i="9"/>
  <c r="A1812" i="9"/>
  <c r="I1811" i="9"/>
  <c r="G1811" i="9"/>
  <c r="F1811" i="9"/>
  <c r="E1811" i="9"/>
  <c r="D1811" i="9"/>
  <c r="C1811" i="9"/>
  <c r="B1811" i="9"/>
  <c r="A1811" i="9"/>
  <c r="I1810" i="9"/>
  <c r="G1810" i="9"/>
  <c r="F1810" i="9"/>
  <c r="E1810" i="9"/>
  <c r="D1810" i="9"/>
  <c r="C1810" i="9"/>
  <c r="B1810" i="9"/>
  <c r="A1810" i="9"/>
  <c r="G1809" i="9"/>
  <c r="F1809" i="9"/>
  <c r="E1809" i="9"/>
  <c r="D1809" i="9"/>
  <c r="C1809" i="9"/>
  <c r="B1809" i="9"/>
  <c r="A1809" i="9"/>
  <c r="I1808" i="9"/>
  <c r="G1808" i="9"/>
  <c r="F1808" i="9"/>
  <c r="E1808" i="9"/>
  <c r="D1808" i="9"/>
  <c r="C1808" i="9"/>
  <c r="B1808" i="9"/>
  <c r="A1808" i="9"/>
  <c r="I1807" i="9"/>
  <c r="G1807" i="9"/>
  <c r="F1807" i="9"/>
  <c r="E1807" i="9"/>
  <c r="D1807" i="9"/>
  <c r="C1807" i="9"/>
  <c r="B1807" i="9"/>
  <c r="A1807" i="9"/>
  <c r="G1806" i="9"/>
  <c r="F1806" i="9"/>
  <c r="E1806" i="9"/>
  <c r="D1806" i="9"/>
  <c r="C1806" i="9"/>
  <c r="B1806" i="9"/>
  <c r="A1806" i="9"/>
  <c r="I1805" i="9"/>
  <c r="G1805" i="9"/>
  <c r="F1805" i="9"/>
  <c r="E1805" i="9"/>
  <c r="D1805" i="9"/>
  <c r="C1805" i="9"/>
  <c r="B1805" i="9"/>
  <c r="A1805" i="9"/>
  <c r="I1804" i="9"/>
  <c r="G1804" i="9"/>
  <c r="F1804" i="9"/>
  <c r="E1804" i="9"/>
  <c r="D1804" i="9"/>
  <c r="C1804" i="9"/>
  <c r="B1804" i="9"/>
  <c r="A1804" i="9"/>
  <c r="H1803" i="9"/>
  <c r="G1803" i="9"/>
  <c r="F1803" i="9"/>
  <c r="E1803" i="9"/>
  <c r="D1803" i="9"/>
  <c r="C1803" i="9"/>
  <c r="B1803" i="9"/>
  <c r="A1803" i="9"/>
  <c r="I1802" i="9"/>
  <c r="G1802" i="9"/>
  <c r="F1802" i="9"/>
  <c r="E1802" i="9"/>
  <c r="D1802" i="9"/>
  <c r="C1802" i="9"/>
  <c r="B1802" i="9"/>
  <c r="A1802" i="9"/>
  <c r="I1801" i="9"/>
  <c r="H1801" i="9"/>
  <c r="G1801" i="9"/>
  <c r="F1801" i="9"/>
  <c r="E1801" i="9"/>
  <c r="D1801" i="9"/>
  <c r="C1801" i="9"/>
  <c r="B1801" i="9"/>
  <c r="A1801" i="9"/>
  <c r="I1800" i="9"/>
  <c r="H1800" i="9"/>
  <c r="F1800" i="9"/>
  <c r="E1800" i="9"/>
  <c r="D1800" i="9"/>
  <c r="C1800" i="9"/>
  <c r="B1800" i="9"/>
  <c r="A1800" i="9"/>
  <c r="I1799" i="9"/>
  <c r="H1799" i="9"/>
  <c r="F1799" i="9"/>
  <c r="E1799" i="9"/>
  <c r="D1799" i="9"/>
  <c r="C1799" i="9"/>
  <c r="B1799" i="9"/>
  <c r="A1799" i="9"/>
  <c r="I1798" i="9"/>
  <c r="H1798" i="9"/>
  <c r="F1798" i="9"/>
  <c r="E1798" i="9"/>
  <c r="D1798" i="9"/>
  <c r="C1798" i="9"/>
  <c r="B1798" i="9"/>
  <c r="A1798" i="9"/>
  <c r="I1797" i="9"/>
  <c r="H1797" i="9"/>
  <c r="F1797" i="9"/>
  <c r="E1797" i="9"/>
  <c r="D1797" i="9"/>
  <c r="C1797" i="9"/>
  <c r="B1797" i="9"/>
  <c r="A1797" i="9"/>
  <c r="I1796" i="9"/>
  <c r="H1796" i="9"/>
  <c r="F1796" i="9"/>
  <c r="E1796" i="9"/>
  <c r="D1796" i="9"/>
  <c r="C1796" i="9"/>
  <c r="B1796" i="9"/>
  <c r="A1796" i="9"/>
  <c r="I1795" i="9"/>
  <c r="H1795" i="9"/>
  <c r="F1795" i="9"/>
  <c r="E1795" i="9"/>
  <c r="D1795" i="9"/>
  <c r="C1795" i="9"/>
  <c r="B1795" i="9"/>
  <c r="A1795" i="9"/>
  <c r="I1794" i="9"/>
  <c r="H1794" i="9"/>
  <c r="G1794" i="9"/>
  <c r="F1794" i="9"/>
  <c r="E1794" i="9"/>
  <c r="D1794" i="9"/>
  <c r="C1794" i="9"/>
  <c r="B1794" i="9"/>
  <c r="A1794" i="9"/>
  <c r="I1793" i="9"/>
  <c r="H1793" i="9"/>
  <c r="G1793" i="9"/>
  <c r="F1793" i="9"/>
  <c r="E1793" i="9"/>
  <c r="D1793" i="9"/>
  <c r="C1793" i="9"/>
  <c r="B1793" i="9"/>
  <c r="A1793" i="9"/>
  <c r="I1792" i="9"/>
  <c r="H1792" i="9"/>
  <c r="F1792" i="9"/>
  <c r="E1792" i="9"/>
  <c r="D1792" i="9"/>
  <c r="C1792" i="9"/>
  <c r="B1792" i="9"/>
  <c r="A1792" i="9"/>
  <c r="I1791" i="9"/>
  <c r="H1791" i="9"/>
  <c r="F1791" i="9"/>
  <c r="E1791" i="9"/>
  <c r="D1791" i="9"/>
  <c r="C1791" i="9"/>
  <c r="B1791" i="9"/>
  <c r="A1791" i="9"/>
  <c r="I1790" i="9"/>
  <c r="H1790" i="9"/>
  <c r="F1790" i="9"/>
  <c r="E1790" i="9"/>
  <c r="D1790" i="9"/>
  <c r="C1790" i="9"/>
  <c r="B1790" i="9"/>
  <c r="A1790" i="9"/>
  <c r="I1789" i="9"/>
  <c r="H1789" i="9"/>
  <c r="F1789" i="9"/>
  <c r="E1789" i="9"/>
  <c r="D1789" i="9"/>
  <c r="C1789" i="9"/>
  <c r="B1789" i="9"/>
  <c r="A1789" i="9"/>
  <c r="I1788" i="9"/>
  <c r="H1788" i="9"/>
  <c r="F1788" i="9"/>
  <c r="E1788" i="9"/>
  <c r="D1788" i="9"/>
  <c r="C1788" i="9"/>
  <c r="B1788" i="9"/>
  <c r="A1788" i="9"/>
  <c r="I1787" i="9"/>
  <c r="H1787" i="9"/>
  <c r="F1787" i="9"/>
  <c r="E1787" i="9"/>
  <c r="D1787" i="9"/>
  <c r="C1787" i="9"/>
  <c r="B1787" i="9"/>
  <c r="A1787" i="9"/>
  <c r="I1786" i="9"/>
  <c r="H1786" i="9"/>
  <c r="F1786" i="9"/>
  <c r="E1786" i="9"/>
  <c r="D1786" i="9"/>
  <c r="C1786" i="9"/>
  <c r="B1786" i="9"/>
  <c r="A1786" i="9"/>
  <c r="I1785" i="9"/>
  <c r="H1785" i="9"/>
  <c r="F1785" i="9"/>
  <c r="E1785" i="9"/>
  <c r="D1785" i="9"/>
  <c r="C1785" i="9"/>
  <c r="B1785" i="9"/>
  <c r="A1785" i="9"/>
  <c r="I1784" i="9"/>
  <c r="H1784" i="9"/>
  <c r="F1784" i="9"/>
  <c r="E1784" i="9"/>
  <c r="D1784" i="9"/>
  <c r="C1784" i="9"/>
  <c r="B1784" i="9"/>
  <c r="A1784" i="9"/>
  <c r="I1783" i="9"/>
  <c r="H1783" i="9"/>
  <c r="F1783" i="9"/>
  <c r="E1783" i="9"/>
  <c r="D1783" i="9"/>
  <c r="C1783" i="9"/>
  <c r="B1783" i="9"/>
  <c r="A1783" i="9"/>
  <c r="I1782" i="9"/>
  <c r="H1782" i="9"/>
  <c r="F1782" i="9"/>
  <c r="E1782" i="9"/>
  <c r="D1782" i="9"/>
  <c r="C1782" i="9"/>
  <c r="B1782" i="9"/>
  <c r="A1782" i="9"/>
  <c r="I1781" i="9"/>
  <c r="H1781" i="9"/>
  <c r="F1781" i="9"/>
  <c r="E1781" i="9"/>
  <c r="D1781" i="9"/>
  <c r="C1781" i="9"/>
  <c r="B1781" i="9"/>
  <c r="A1781" i="9"/>
  <c r="I1780" i="9"/>
  <c r="H1780" i="9"/>
  <c r="F1780" i="9"/>
  <c r="E1780" i="9"/>
  <c r="D1780" i="9"/>
  <c r="C1780" i="9"/>
  <c r="B1780" i="9"/>
  <c r="A1780" i="9"/>
  <c r="I1779" i="9"/>
  <c r="H1779" i="9"/>
  <c r="F1779" i="9"/>
  <c r="E1779" i="9"/>
  <c r="D1779" i="9"/>
  <c r="C1779" i="9"/>
  <c r="B1779" i="9"/>
  <c r="A1779" i="9"/>
  <c r="I1778" i="9"/>
  <c r="H1778" i="9"/>
  <c r="G1778" i="9"/>
  <c r="F1778" i="9"/>
  <c r="E1778" i="9"/>
  <c r="D1778" i="9"/>
  <c r="C1778" i="9"/>
  <c r="B1778" i="9"/>
  <c r="A1778" i="9"/>
  <c r="I1777" i="9"/>
  <c r="H1777" i="9"/>
  <c r="G1777" i="9"/>
  <c r="F1777" i="9"/>
  <c r="E1777" i="9"/>
  <c r="D1777" i="9"/>
  <c r="C1777" i="9"/>
  <c r="B1777" i="9"/>
  <c r="A1777" i="9"/>
  <c r="I1776" i="9"/>
  <c r="H1776" i="9"/>
  <c r="F1776" i="9"/>
  <c r="E1776" i="9"/>
  <c r="D1776" i="9"/>
  <c r="C1776" i="9"/>
  <c r="B1776" i="9"/>
  <c r="A1776" i="9"/>
  <c r="I1775" i="9"/>
  <c r="H1775" i="9"/>
  <c r="G1775" i="9"/>
  <c r="F1775" i="9"/>
  <c r="E1775" i="9"/>
  <c r="D1775" i="9"/>
  <c r="C1775" i="9"/>
  <c r="B1775" i="9"/>
  <c r="A1775" i="9"/>
  <c r="I1774" i="9"/>
  <c r="H1774" i="9"/>
  <c r="G1774" i="9"/>
  <c r="F1774" i="9"/>
  <c r="E1774" i="9"/>
  <c r="D1774" i="9"/>
  <c r="C1774" i="9"/>
  <c r="B1774" i="9"/>
  <c r="A1774" i="9"/>
  <c r="I1773" i="9"/>
  <c r="H1773" i="9"/>
  <c r="G1773" i="9"/>
  <c r="F1773" i="9"/>
  <c r="E1773" i="9"/>
  <c r="D1773" i="9"/>
  <c r="C1773" i="9"/>
  <c r="B1773" i="9"/>
  <c r="A1773" i="9"/>
  <c r="I1772" i="9"/>
  <c r="H1772" i="9"/>
  <c r="G1772" i="9"/>
  <c r="F1772" i="9"/>
  <c r="E1772" i="9"/>
  <c r="D1772" i="9"/>
  <c r="C1772" i="9"/>
  <c r="B1772" i="9"/>
  <c r="A1772" i="9"/>
  <c r="I1771" i="9"/>
  <c r="H1771" i="9"/>
  <c r="F1771" i="9"/>
  <c r="E1771" i="9"/>
  <c r="D1771" i="9"/>
  <c r="C1771" i="9"/>
  <c r="B1771" i="9"/>
  <c r="A1771" i="9"/>
  <c r="I1770" i="9"/>
  <c r="H1770" i="9"/>
  <c r="G1770" i="9"/>
  <c r="F1770" i="9"/>
  <c r="E1770" i="9"/>
  <c r="D1770" i="9"/>
  <c r="C1770" i="9"/>
  <c r="B1770" i="9"/>
  <c r="A1770" i="9"/>
  <c r="I1769" i="9"/>
  <c r="H1769" i="9"/>
  <c r="F1769" i="9"/>
  <c r="E1769" i="9"/>
  <c r="D1769" i="9"/>
  <c r="C1769" i="9"/>
  <c r="B1769" i="9"/>
  <c r="A1769" i="9"/>
  <c r="I1768" i="9"/>
  <c r="H1768" i="9"/>
  <c r="F1768" i="9"/>
  <c r="E1768" i="9"/>
  <c r="D1768" i="9"/>
  <c r="C1768" i="9"/>
  <c r="B1768" i="9"/>
  <c r="A1768" i="9"/>
  <c r="I1767" i="9"/>
  <c r="H1767" i="9"/>
  <c r="F1767" i="9"/>
  <c r="E1767" i="9"/>
  <c r="D1767" i="9"/>
  <c r="C1767" i="9"/>
  <c r="B1767" i="9"/>
  <c r="A1767" i="9"/>
  <c r="I1766" i="9"/>
  <c r="H1766" i="9"/>
  <c r="F1766" i="9"/>
  <c r="E1766" i="9"/>
  <c r="D1766" i="9"/>
  <c r="C1766" i="9"/>
  <c r="B1766" i="9"/>
  <c r="A1766" i="9"/>
  <c r="I1765" i="9"/>
  <c r="H1765" i="9"/>
  <c r="F1765" i="9"/>
  <c r="E1765" i="9"/>
  <c r="D1765" i="9"/>
  <c r="C1765" i="9"/>
  <c r="B1765" i="9"/>
  <c r="A1765" i="9"/>
  <c r="I1764" i="9"/>
  <c r="H1764" i="9"/>
  <c r="F1764" i="9"/>
  <c r="E1764" i="9"/>
  <c r="D1764" i="9"/>
  <c r="C1764" i="9"/>
  <c r="B1764" i="9"/>
  <c r="A1764" i="9"/>
  <c r="I1763" i="9"/>
  <c r="H1763" i="9"/>
  <c r="F1763" i="9"/>
  <c r="E1763" i="9"/>
  <c r="D1763" i="9"/>
  <c r="C1763" i="9"/>
  <c r="B1763" i="9"/>
  <c r="A1763" i="9"/>
  <c r="I1762" i="9"/>
  <c r="H1762" i="9"/>
  <c r="G1762" i="9"/>
  <c r="F1762" i="9"/>
  <c r="E1762" i="9"/>
  <c r="D1762" i="9"/>
  <c r="C1762" i="9"/>
  <c r="B1762" i="9"/>
  <c r="A1762" i="9"/>
  <c r="I1761" i="9"/>
  <c r="H1761" i="9"/>
  <c r="G1761" i="9"/>
  <c r="F1761" i="9"/>
  <c r="E1761" i="9"/>
  <c r="D1761" i="9"/>
  <c r="C1761" i="9"/>
  <c r="B1761" i="9"/>
  <c r="A1761" i="9"/>
  <c r="I1760" i="9"/>
  <c r="H1760" i="9"/>
  <c r="G1760" i="9"/>
  <c r="F1760" i="9"/>
  <c r="E1760" i="9"/>
  <c r="D1760" i="9"/>
  <c r="C1760" i="9"/>
  <c r="B1760" i="9"/>
  <c r="A1760" i="9"/>
  <c r="I1759" i="9"/>
  <c r="H1759" i="9"/>
  <c r="G1759" i="9"/>
  <c r="F1759" i="9"/>
  <c r="E1759" i="9"/>
  <c r="D1759" i="9"/>
  <c r="C1759" i="9"/>
  <c r="B1759" i="9"/>
  <c r="A1759" i="9"/>
  <c r="I1758" i="9"/>
  <c r="H1758" i="9"/>
  <c r="G1758" i="9"/>
  <c r="F1758" i="9"/>
  <c r="E1758" i="9"/>
  <c r="D1758" i="9"/>
  <c r="C1758" i="9"/>
  <c r="B1758" i="9"/>
  <c r="A1758" i="9"/>
  <c r="I1757" i="9"/>
  <c r="H1757" i="9"/>
  <c r="G1757" i="9"/>
  <c r="F1757" i="9"/>
  <c r="E1757" i="9"/>
  <c r="D1757" i="9"/>
  <c r="C1757" i="9"/>
  <c r="B1757" i="9"/>
  <c r="A1757" i="9"/>
  <c r="I1756" i="9"/>
  <c r="H1756" i="9"/>
  <c r="G1756" i="9"/>
  <c r="F1756" i="9"/>
  <c r="E1756" i="9"/>
  <c r="D1756" i="9"/>
  <c r="C1756" i="9"/>
  <c r="B1756" i="9"/>
  <c r="A1756" i="9"/>
  <c r="I1755" i="9"/>
  <c r="H1755" i="9"/>
  <c r="F1755" i="9"/>
  <c r="E1755" i="9"/>
  <c r="D1755" i="9"/>
  <c r="C1755" i="9"/>
  <c r="B1755" i="9"/>
  <c r="A1755" i="9"/>
  <c r="I1754" i="9"/>
  <c r="H1754" i="9"/>
  <c r="F1754" i="9"/>
  <c r="E1754" i="9"/>
  <c r="D1754" i="9"/>
  <c r="C1754" i="9"/>
  <c r="B1754" i="9"/>
  <c r="A1754" i="9"/>
  <c r="I1753" i="9"/>
  <c r="H1753" i="9"/>
  <c r="F1753" i="9"/>
  <c r="E1753" i="9"/>
  <c r="D1753" i="9"/>
  <c r="C1753" i="9"/>
  <c r="B1753" i="9"/>
  <c r="A1753" i="9"/>
  <c r="I1752" i="9"/>
  <c r="H1752" i="9"/>
  <c r="F1752" i="9"/>
  <c r="E1752" i="9"/>
  <c r="D1752" i="9"/>
  <c r="C1752" i="9"/>
  <c r="B1752" i="9"/>
  <c r="A1752" i="9"/>
  <c r="I1751" i="9"/>
  <c r="H1751" i="9"/>
  <c r="F1751" i="9"/>
  <c r="E1751" i="9"/>
  <c r="D1751" i="9"/>
  <c r="C1751" i="9"/>
  <c r="B1751" i="9"/>
  <c r="A1751" i="9"/>
  <c r="I1750" i="9"/>
  <c r="H1750" i="9"/>
  <c r="F1750" i="9"/>
  <c r="E1750" i="9"/>
  <c r="D1750" i="9"/>
  <c r="C1750" i="9"/>
  <c r="B1750" i="9"/>
  <c r="A1750" i="9"/>
  <c r="I1749" i="9"/>
  <c r="H1749" i="9"/>
  <c r="F1749" i="9"/>
  <c r="E1749" i="9"/>
  <c r="D1749" i="9"/>
  <c r="C1749" i="9"/>
  <c r="B1749" i="9"/>
  <c r="A1749" i="9"/>
  <c r="I1748" i="9"/>
  <c r="H1748" i="9"/>
  <c r="F1748" i="9"/>
  <c r="E1748" i="9"/>
  <c r="D1748" i="9"/>
  <c r="C1748" i="9"/>
  <c r="B1748" i="9"/>
  <c r="A1748" i="9"/>
  <c r="I1747" i="9"/>
  <c r="H1747" i="9"/>
  <c r="F1747" i="9"/>
  <c r="E1747" i="9"/>
  <c r="D1747" i="9"/>
  <c r="C1747" i="9"/>
  <c r="B1747" i="9"/>
  <c r="A1747" i="9"/>
  <c r="I1746" i="9"/>
  <c r="H1746" i="9"/>
  <c r="F1746" i="9"/>
  <c r="E1746" i="9"/>
  <c r="D1746" i="9"/>
  <c r="C1746" i="9"/>
  <c r="B1746" i="9"/>
  <c r="A1746" i="9"/>
  <c r="I1745" i="9"/>
  <c r="H1745" i="9"/>
  <c r="F1745" i="9"/>
  <c r="E1745" i="9"/>
  <c r="D1745" i="9"/>
  <c r="C1745" i="9"/>
  <c r="B1745" i="9"/>
  <c r="A1745" i="9"/>
  <c r="I1744" i="9"/>
  <c r="H1744" i="9"/>
  <c r="F1744" i="9"/>
  <c r="E1744" i="9"/>
  <c r="D1744" i="9"/>
  <c r="C1744" i="9"/>
  <c r="B1744" i="9"/>
  <c r="A1744" i="9"/>
  <c r="I1743" i="9"/>
  <c r="H1743" i="9"/>
  <c r="F1743" i="9"/>
  <c r="E1743" i="9"/>
  <c r="D1743" i="9"/>
  <c r="C1743" i="9"/>
  <c r="B1743" i="9"/>
  <c r="A1743" i="9"/>
  <c r="I1742" i="9"/>
  <c r="H1742" i="9"/>
  <c r="F1742" i="9"/>
  <c r="E1742" i="9"/>
  <c r="D1742" i="9"/>
  <c r="C1742" i="9"/>
  <c r="B1742" i="9"/>
  <c r="A1742" i="9"/>
  <c r="I1741" i="9"/>
  <c r="H1741" i="9"/>
  <c r="F1741" i="9"/>
  <c r="E1741" i="9"/>
  <c r="D1741" i="9"/>
  <c r="C1741" i="9"/>
  <c r="B1741" i="9"/>
  <c r="A1741" i="9"/>
  <c r="I1740" i="9"/>
  <c r="H1740" i="9"/>
  <c r="F1740" i="9"/>
  <c r="E1740" i="9"/>
  <c r="D1740" i="9"/>
  <c r="C1740" i="9"/>
  <c r="B1740" i="9"/>
  <c r="A1740" i="9"/>
  <c r="I1739" i="9"/>
  <c r="H1739" i="9"/>
  <c r="F1739" i="9"/>
  <c r="E1739" i="9"/>
  <c r="D1739" i="9"/>
  <c r="C1739" i="9"/>
  <c r="B1739" i="9"/>
  <c r="A1739" i="9"/>
  <c r="I1738" i="9"/>
  <c r="H1738" i="9"/>
  <c r="G1738" i="9"/>
  <c r="F1738" i="9"/>
  <c r="E1738" i="9"/>
  <c r="D1738" i="9"/>
  <c r="C1738" i="9"/>
  <c r="B1738" i="9"/>
  <c r="A1738" i="9"/>
  <c r="I1737" i="9"/>
  <c r="H1737" i="9"/>
  <c r="G1737" i="9"/>
  <c r="F1737" i="9"/>
  <c r="E1737" i="9"/>
  <c r="D1737" i="9"/>
  <c r="C1737" i="9"/>
  <c r="B1737" i="9"/>
  <c r="A1737" i="9"/>
  <c r="I1736" i="9"/>
  <c r="H1736" i="9"/>
  <c r="F1736" i="9"/>
  <c r="E1736" i="9"/>
  <c r="D1736" i="9"/>
  <c r="C1736" i="9"/>
  <c r="B1736" i="9"/>
  <c r="A1736" i="9"/>
  <c r="I1735" i="9"/>
  <c r="H1735" i="9"/>
  <c r="F1735" i="9"/>
  <c r="E1735" i="9"/>
  <c r="D1735" i="9"/>
  <c r="C1735" i="9"/>
  <c r="B1735" i="9"/>
  <c r="A1735" i="9"/>
  <c r="I1734" i="9"/>
  <c r="H1734" i="9"/>
  <c r="F1734" i="9"/>
  <c r="E1734" i="9"/>
  <c r="D1734" i="9"/>
  <c r="C1734" i="9"/>
  <c r="B1734" i="9"/>
  <c r="A1734" i="9"/>
  <c r="I1733" i="9"/>
  <c r="H1733" i="9"/>
  <c r="F1733" i="9"/>
  <c r="E1733" i="9"/>
  <c r="D1733" i="9"/>
  <c r="C1733" i="9"/>
  <c r="B1733" i="9"/>
  <c r="A1733" i="9"/>
  <c r="I1732" i="9"/>
  <c r="H1732" i="9"/>
  <c r="F1732" i="9"/>
  <c r="E1732" i="9"/>
  <c r="D1732" i="9"/>
  <c r="C1732" i="9"/>
  <c r="B1732" i="9"/>
  <c r="A1732" i="9"/>
  <c r="I1731" i="9"/>
  <c r="H1731" i="9"/>
  <c r="F1731" i="9"/>
  <c r="E1731" i="9"/>
  <c r="D1731" i="9"/>
  <c r="C1731" i="9"/>
  <c r="B1731" i="9"/>
  <c r="A1731" i="9"/>
  <c r="I1730" i="9"/>
  <c r="H1730" i="9"/>
  <c r="F1730" i="9"/>
  <c r="E1730" i="9"/>
  <c r="D1730" i="9"/>
  <c r="C1730" i="9"/>
  <c r="B1730" i="9"/>
  <c r="A1730" i="9"/>
  <c r="I1729" i="9"/>
  <c r="H1729" i="9"/>
  <c r="F1729" i="9"/>
  <c r="E1729" i="9"/>
  <c r="D1729" i="9"/>
  <c r="C1729" i="9"/>
  <c r="B1729" i="9"/>
  <c r="A1729" i="9"/>
  <c r="I1728" i="9"/>
  <c r="H1728" i="9"/>
  <c r="F1728" i="9"/>
  <c r="E1728" i="9"/>
  <c r="D1728" i="9"/>
  <c r="C1728" i="9"/>
  <c r="B1728" i="9"/>
  <c r="A1728" i="9"/>
  <c r="I1727" i="9"/>
  <c r="H1727" i="9"/>
  <c r="F1727" i="9"/>
  <c r="E1727" i="9"/>
  <c r="D1727" i="9"/>
  <c r="C1727" i="9"/>
  <c r="B1727" i="9"/>
  <c r="A1727" i="9"/>
  <c r="I1726" i="9"/>
  <c r="H1726" i="9"/>
  <c r="F1726" i="9"/>
  <c r="E1726" i="9"/>
  <c r="D1726" i="9"/>
  <c r="C1726" i="9"/>
  <c r="B1726" i="9"/>
  <c r="A1726" i="9"/>
  <c r="I1725" i="9"/>
  <c r="H1725" i="9"/>
  <c r="F1725" i="9"/>
  <c r="E1725" i="9"/>
  <c r="D1725" i="9"/>
  <c r="C1725" i="9"/>
  <c r="B1725" i="9"/>
  <c r="A1725" i="9"/>
  <c r="I1724" i="9"/>
  <c r="H1724" i="9"/>
  <c r="F1724" i="9"/>
  <c r="E1724" i="9"/>
  <c r="D1724" i="9"/>
  <c r="C1724" i="9"/>
  <c r="B1724" i="9"/>
  <c r="A1724" i="9"/>
  <c r="I1723" i="9"/>
  <c r="H1723" i="9"/>
  <c r="F1723" i="9"/>
  <c r="E1723" i="9"/>
  <c r="D1723" i="9"/>
  <c r="C1723" i="9"/>
  <c r="B1723" i="9"/>
  <c r="A1723" i="9"/>
  <c r="I1722" i="9"/>
  <c r="H1722" i="9"/>
  <c r="F1722" i="9"/>
  <c r="E1722" i="9"/>
  <c r="D1722" i="9"/>
  <c r="C1722" i="9"/>
  <c r="B1722" i="9"/>
  <c r="A1722" i="9"/>
  <c r="I1721" i="9"/>
  <c r="H1721" i="9"/>
  <c r="F1721" i="9"/>
  <c r="E1721" i="9"/>
  <c r="D1721" i="9"/>
  <c r="C1721" i="9"/>
  <c r="B1721" i="9"/>
  <c r="A1721" i="9"/>
  <c r="I1720" i="9"/>
  <c r="H1720" i="9"/>
  <c r="F1720" i="9"/>
  <c r="E1720" i="9"/>
  <c r="D1720" i="9"/>
  <c r="C1720" i="9"/>
  <c r="B1720" i="9"/>
  <c r="A1720" i="9"/>
  <c r="I1719" i="9"/>
  <c r="H1719" i="9"/>
  <c r="F1719" i="9"/>
  <c r="E1719" i="9"/>
  <c r="D1719" i="9"/>
  <c r="C1719" i="9"/>
  <c r="B1719" i="9"/>
  <c r="A1719" i="9"/>
  <c r="I1718" i="9"/>
  <c r="H1718" i="9"/>
  <c r="F1718" i="9"/>
  <c r="E1718" i="9"/>
  <c r="D1718" i="9"/>
  <c r="C1718" i="9"/>
  <c r="B1718" i="9"/>
  <c r="A1718" i="9"/>
  <c r="I1717" i="9"/>
  <c r="H1717" i="9"/>
  <c r="F1717" i="9"/>
  <c r="E1717" i="9"/>
  <c r="D1717" i="9"/>
  <c r="C1717" i="9"/>
  <c r="B1717" i="9"/>
  <c r="A1717" i="9"/>
  <c r="I1716" i="9"/>
  <c r="H1716" i="9"/>
  <c r="F1716" i="9"/>
  <c r="E1716" i="9"/>
  <c r="D1716" i="9"/>
  <c r="C1716" i="9"/>
  <c r="B1716" i="9"/>
  <c r="A1716" i="9"/>
  <c r="I1715" i="9"/>
  <c r="H1715" i="9"/>
  <c r="G1715" i="9"/>
  <c r="F1715" i="9"/>
  <c r="E1715" i="9"/>
  <c r="D1715" i="9"/>
  <c r="C1715" i="9"/>
  <c r="B1715" i="9"/>
  <c r="A1715" i="9"/>
  <c r="I1714" i="9"/>
  <c r="H1714" i="9"/>
  <c r="F1714" i="9"/>
  <c r="E1714" i="9"/>
  <c r="D1714" i="9"/>
  <c r="C1714" i="9"/>
  <c r="B1714" i="9"/>
  <c r="A1714" i="9"/>
  <c r="I1713" i="9"/>
  <c r="H1713" i="9"/>
  <c r="F1713" i="9"/>
  <c r="E1713" i="9"/>
  <c r="D1713" i="9"/>
  <c r="C1713" i="9"/>
  <c r="B1713" i="9"/>
  <c r="A1713" i="9"/>
  <c r="I1712" i="9"/>
  <c r="H1712" i="9"/>
  <c r="F1712" i="9"/>
  <c r="E1712" i="9"/>
  <c r="D1712" i="9"/>
  <c r="C1712" i="9"/>
  <c r="B1712" i="9"/>
  <c r="A1712" i="9"/>
  <c r="I1711" i="9"/>
  <c r="H1711" i="9"/>
  <c r="G1711" i="9"/>
  <c r="F1711" i="9"/>
  <c r="E1711" i="9"/>
  <c r="D1711" i="9"/>
  <c r="C1711" i="9"/>
  <c r="B1711" i="9"/>
  <c r="A1711" i="9"/>
  <c r="I1710" i="9"/>
  <c r="H1710" i="9"/>
  <c r="G1710" i="9"/>
  <c r="F1710" i="9"/>
  <c r="E1710" i="9"/>
  <c r="D1710" i="9"/>
  <c r="C1710" i="9"/>
  <c r="B1710" i="9"/>
  <c r="A1710" i="9"/>
  <c r="I1709" i="9"/>
  <c r="H1709" i="9"/>
  <c r="G1709" i="9"/>
  <c r="F1709" i="9"/>
  <c r="E1709" i="9"/>
  <c r="D1709" i="9"/>
  <c r="C1709" i="9"/>
  <c r="B1709" i="9"/>
  <c r="A1709" i="9"/>
  <c r="I1708" i="9"/>
  <c r="H1708" i="9"/>
  <c r="G1708" i="9"/>
  <c r="F1708" i="9"/>
  <c r="E1708" i="9"/>
  <c r="D1708" i="9"/>
  <c r="C1708" i="9"/>
  <c r="B1708" i="9"/>
  <c r="A1708" i="9"/>
  <c r="I1707" i="9"/>
  <c r="H1707" i="9"/>
  <c r="F1707" i="9"/>
  <c r="E1707" i="9"/>
  <c r="D1707" i="9"/>
  <c r="C1707" i="9"/>
  <c r="B1707" i="9"/>
  <c r="A1707" i="9"/>
  <c r="I1706" i="9"/>
  <c r="H1706" i="9"/>
  <c r="F1706" i="9"/>
  <c r="E1706" i="9"/>
  <c r="D1706" i="9"/>
  <c r="C1706" i="9"/>
  <c r="B1706" i="9"/>
  <c r="A1706" i="9"/>
  <c r="I1705" i="9"/>
  <c r="H1705" i="9"/>
  <c r="F1705" i="9"/>
  <c r="E1705" i="9"/>
  <c r="D1705" i="9"/>
  <c r="C1705" i="9"/>
  <c r="B1705" i="9"/>
  <c r="A1705" i="9"/>
  <c r="I1704" i="9"/>
  <c r="H1704" i="9"/>
  <c r="G1704" i="9"/>
  <c r="F1704" i="9"/>
  <c r="E1704" i="9"/>
  <c r="D1704" i="9"/>
  <c r="C1704" i="9"/>
  <c r="B1704" i="9"/>
  <c r="A1704" i="9"/>
  <c r="I1703" i="9"/>
  <c r="H1703" i="9"/>
  <c r="G1703" i="9"/>
  <c r="F1703" i="9"/>
  <c r="E1703" i="9"/>
  <c r="D1703" i="9"/>
  <c r="C1703" i="9"/>
  <c r="B1703" i="9"/>
  <c r="A1703" i="9"/>
  <c r="I1702" i="9"/>
  <c r="H1702" i="9"/>
  <c r="F1702" i="9"/>
  <c r="E1702" i="9"/>
  <c r="D1702" i="9"/>
  <c r="C1702" i="9"/>
  <c r="B1702" i="9"/>
  <c r="A1702" i="9"/>
  <c r="I1701" i="9"/>
  <c r="H1701" i="9"/>
  <c r="F1701" i="9"/>
  <c r="E1701" i="9"/>
  <c r="D1701" i="9"/>
  <c r="C1701" i="9"/>
  <c r="B1701" i="9"/>
  <c r="A1701" i="9"/>
  <c r="I1700" i="9"/>
  <c r="H1700" i="9"/>
  <c r="F1700" i="9"/>
  <c r="E1700" i="9"/>
  <c r="D1700" i="9"/>
  <c r="C1700" i="9"/>
  <c r="B1700" i="9"/>
  <c r="A1700" i="9"/>
  <c r="I1699" i="9"/>
  <c r="H1699" i="9"/>
  <c r="F1699" i="9"/>
  <c r="E1699" i="9"/>
  <c r="D1699" i="9"/>
  <c r="C1699" i="9"/>
  <c r="B1699" i="9"/>
  <c r="A1699" i="9"/>
  <c r="I1698" i="9"/>
  <c r="H1698" i="9"/>
  <c r="F1698" i="9"/>
  <c r="E1698" i="9"/>
  <c r="D1698" i="9"/>
  <c r="C1698" i="9"/>
  <c r="B1698" i="9"/>
  <c r="A1698" i="9"/>
  <c r="I1697" i="9"/>
  <c r="H1697" i="9"/>
  <c r="F1697" i="9"/>
  <c r="E1697" i="9"/>
  <c r="D1697" i="9"/>
  <c r="C1697" i="9"/>
  <c r="B1697" i="9"/>
  <c r="A1697" i="9"/>
  <c r="I1696" i="9"/>
  <c r="H1696" i="9"/>
  <c r="G1696" i="9"/>
  <c r="F1696" i="9"/>
  <c r="E1696" i="9"/>
  <c r="D1696" i="9"/>
  <c r="C1696" i="9"/>
  <c r="B1696" i="9"/>
  <c r="A1696" i="9"/>
  <c r="I1695" i="9"/>
  <c r="H1695" i="9"/>
  <c r="F1695" i="9"/>
  <c r="E1695" i="9"/>
  <c r="D1695" i="9"/>
  <c r="C1695" i="9"/>
  <c r="B1695" i="9"/>
  <c r="A1695" i="9"/>
  <c r="I1694" i="9"/>
  <c r="H1694" i="9"/>
  <c r="F1694" i="9"/>
  <c r="E1694" i="9"/>
  <c r="D1694" i="9"/>
  <c r="C1694" i="9"/>
  <c r="B1694" i="9"/>
  <c r="A1694" i="9"/>
  <c r="I1693" i="9"/>
  <c r="H1693" i="9"/>
  <c r="F1693" i="9"/>
  <c r="E1693" i="9"/>
  <c r="D1693" i="9"/>
  <c r="C1693" i="9"/>
  <c r="B1693" i="9"/>
  <c r="A1693" i="9"/>
  <c r="I1692" i="9"/>
  <c r="H1692" i="9"/>
  <c r="F1692" i="9"/>
  <c r="E1692" i="9"/>
  <c r="D1692" i="9"/>
  <c r="C1692" i="9"/>
  <c r="B1692" i="9"/>
  <c r="A1692" i="9"/>
  <c r="I1691" i="9"/>
  <c r="H1691" i="9"/>
  <c r="F1691" i="9"/>
  <c r="E1691" i="9"/>
  <c r="D1691" i="9"/>
  <c r="C1691" i="9"/>
  <c r="B1691" i="9"/>
  <c r="A1691" i="9"/>
  <c r="I1690" i="9"/>
  <c r="H1690" i="9"/>
  <c r="F1690" i="9"/>
  <c r="E1690" i="9"/>
  <c r="D1690" i="9"/>
  <c r="C1690" i="9"/>
  <c r="B1690" i="9"/>
  <c r="A1690" i="9"/>
  <c r="I1689" i="9"/>
  <c r="H1689" i="9"/>
  <c r="F1689" i="9"/>
  <c r="E1689" i="9"/>
  <c r="D1689" i="9"/>
  <c r="C1689" i="9"/>
  <c r="B1689" i="9"/>
  <c r="A1689" i="9"/>
  <c r="I1688" i="9"/>
  <c r="H1688" i="9"/>
  <c r="F1688" i="9"/>
  <c r="E1688" i="9"/>
  <c r="D1688" i="9"/>
  <c r="C1688" i="9"/>
  <c r="B1688" i="9"/>
  <c r="A1688" i="9"/>
  <c r="I1687" i="9"/>
  <c r="H1687" i="9"/>
  <c r="F1687" i="9"/>
  <c r="E1687" i="9"/>
  <c r="D1687" i="9"/>
  <c r="C1687" i="9"/>
  <c r="B1687" i="9"/>
  <c r="A1687" i="9"/>
  <c r="I1686" i="9"/>
  <c r="H1686" i="9"/>
  <c r="F1686" i="9"/>
  <c r="E1686" i="9"/>
  <c r="D1686" i="9"/>
  <c r="C1686" i="9"/>
  <c r="B1686" i="9"/>
  <c r="A1686" i="9"/>
  <c r="I1685" i="9"/>
  <c r="H1685" i="9"/>
  <c r="F1685" i="9"/>
  <c r="E1685" i="9"/>
  <c r="D1685" i="9"/>
  <c r="C1685" i="9"/>
  <c r="B1685" i="9"/>
  <c r="A1685" i="9"/>
  <c r="I1684" i="9"/>
  <c r="H1684" i="9"/>
  <c r="F1684" i="9"/>
  <c r="E1684" i="9"/>
  <c r="D1684" i="9"/>
  <c r="C1684" i="9"/>
  <c r="B1684" i="9"/>
  <c r="A1684" i="9"/>
  <c r="I1683" i="9"/>
  <c r="H1683" i="9"/>
  <c r="F1683" i="9"/>
  <c r="E1683" i="9"/>
  <c r="D1683" i="9"/>
  <c r="C1683" i="9"/>
  <c r="B1683" i="9"/>
  <c r="A1683" i="9"/>
  <c r="I1682" i="9"/>
  <c r="H1682" i="9"/>
  <c r="F1682" i="9"/>
  <c r="E1682" i="9"/>
  <c r="D1682" i="9"/>
  <c r="C1682" i="9"/>
  <c r="B1682" i="9"/>
  <c r="A1682" i="9"/>
  <c r="I1681" i="9"/>
  <c r="H1681" i="9"/>
  <c r="F1681" i="9"/>
  <c r="E1681" i="9"/>
  <c r="D1681" i="9"/>
  <c r="C1681" i="9"/>
  <c r="B1681" i="9"/>
  <c r="A1681" i="9"/>
  <c r="I1680" i="9"/>
  <c r="H1680" i="9"/>
  <c r="F1680" i="9"/>
  <c r="E1680" i="9"/>
  <c r="D1680" i="9"/>
  <c r="C1680" i="9"/>
  <c r="B1680" i="9"/>
  <c r="A1680" i="9"/>
  <c r="I1679" i="9"/>
  <c r="H1679" i="9"/>
  <c r="F1679" i="9"/>
  <c r="E1679" i="9"/>
  <c r="D1679" i="9"/>
  <c r="C1679" i="9"/>
  <c r="B1679" i="9"/>
  <c r="A1679" i="9"/>
  <c r="I1678" i="9"/>
  <c r="H1678" i="9"/>
  <c r="F1678" i="9"/>
  <c r="E1678" i="9"/>
  <c r="D1678" i="9"/>
  <c r="C1678" i="9"/>
  <c r="B1678" i="9"/>
  <c r="A1678" i="9"/>
  <c r="I1677" i="9"/>
  <c r="H1677" i="9"/>
  <c r="G1677" i="9"/>
  <c r="F1677" i="9"/>
  <c r="E1677" i="9"/>
  <c r="D1677" i="9"/>
  <c r="C1677" i="9"/>
  <c r="B1677" i="9"/>
  <c r="A1677" i="9"/>
  <c r="I1676" i="9"/>
  <c r="H1676" i="9"/>
  <c r="F1676" i="9"/>
  <c r="E1676" i="9"/>
  <c r="D1676" i="9"/>
  <c r="C1676" i="9"/>
  <c r="B1676" i="9"/>
  <c r="A1676" i="9"/>
  <c r="I1675" i="9"/>
  <c r="H1675" i="9"/>
  <c r="G1675" i="9"/>
  <c r="F1675" i="9"/>
  <c r="E1675" i="9"/>
  <c r="D1675" i="9"/>
  <c r="C1675" i="9"/>
  <c r="B1675" i="9"/>
  <c r="A1675" i="9"/>
  <c r="I1674" i="9"/>
  <c r="H1674" i="9"/>
  <c r="F1674" i="9"/>
  <c r="E1674" i="9"/>
  <c r="D1674" i="9"/>
  <c r="C1674" i="9"/>
  <c r="B1674" i="9"/>
  <c r="A1674" i="9"/>
  <c r="I1673" i="9"/>
  <c r="H1673" i="9"/>
  <c r="G1673" i="9"/>
  <c r="F1673" i="9"/>
  <c r="E1673" i="9"/>
  <c r="D1673" i="9"/>
  <c r="C1673" i="9"/>
  <c r="B1673" i="9"/>
  <c r="A1673" i="9"/>
  <c r="I1672" i="9"/>
  <c r="H1672" i="9"/>
  <c r="F1672" i="9"/>
  <c r="E1672" i="9"/>
  <c r="D1672" i="9"/>
  <c r="C1672" i="9"/>
  <c r="B1672" i="9"/>
  <c r="A1672" i="9"/>
  <c r="I1671" i="9"/>
  <c r="H1671" i="9"/>
  <c r="F1671" i="9"/>
  <c r="E1671" i="9"/>
  <c r="D1671" i="9"/>
  <c r="C1671" i="9"/>
  <c r="B1671" i="9"/>
  <c r="A1671" i="9"/>
  <c r="I1670" i="9"/>
  <c r="H1670" i="9"/>
  <c r="F1670" i="9"/>
  <c r="E1670" i="9"/>
  <c r="D1670" i="9"/>
  <c r="C1670" i="9"/>
  <c r="B1670" i="9"/>
  <c r="A1670" i="9"/>
  <c r="I1669" i="9"/>
  <c r="H1669" i="9"/>
  <c r="F1669" i="9"/>
  <c r="E1669" i="9"/>
  <c r="D1669" i="9"/>
  <c r="C1669" i="9"/>
  <c r="B1669" i="9"/>
  <c r="A1669" i="9"/>
  <c r="I1668" i="9"/>
  <c r="H1668" i="9"/>
  <c r="G1668" i="9"/>
  <c r="F1668" i="9"/>
  <c r="E1668" i="9"/>
  <c r="D1668" i="9"/>
  <c r="C1668" i="9"/>
  <c r="B1668" i="9"/>
  <c r="A1668" i="9"/>
  <c r="I1667" i="9"/>
  <c r="H1667" i="9"/>
  <c r="G1667" i="9"/>
  <c r="F1667" i="9"/>
  <c r="E1667" i="9"/>
  <c r="D1667" i="9"/>
  <c r="C1667" i="9"/>
  <c r="B1667" i="9"/>
  <c r="A1667" i="9"/>
  <c r="I1666" i="9"/>
  <c r="H1666" i="9"/>
  <c r="F1666" i="9"/>
  <c r="E1666" i="9"/>
  <c r="D1666" i="9"/>
  <c r="C1666" i="9"/>
  <c r="B1666" i="9"/>
  <c r="A1666" i="9"/>
  <c r="I1665" i="9"/>
  <c r="H1665" i="9"/>
  <c r="F1665" i="9"/>
  <c r="E1665" i="9"/>
  <c r="D1665" i="9"/>
  <c r="C1665" i="9"/>
  <c r="B1665" i="9"/>
  <c r="A1665" i="9"/>
  <c r="I1664" i="9"/>
  <c r="H1664" i="9"/>
  <c r="F1664" i="9"/>
  <c r="E1664" i="9"/>
  <c r="D1664" i="9"/>
  <c r="C1664" i="9"/>
  <c r="B1664" i="9"/>
  <c r="A1664" i="9"/>
  <c r="I1663" i="9"/>
  <c r="H1663" i="9"/>
  <c r="F1663" i="9"/>
  <c r="E1663" i="9"/>
  <c r="D1663" i="9"/>
  <c r="C1663" i="9"/>
  <c r="B1663" i="9"/>
  <c r="A1663" i="9"/>
  <c r="I1662" i="9"/>
  <c r="H1662" i="9"/>
  <c r="F1662" i="9"/>
  <c r="E1662" i="9"/>
  <c r="D1662" i="9"/>
  <c r="C1662" i="9"/>
  <c r="B1662" i="9"/>
  <c r="A1662" i="9"/>
  <c r="I1661" i="9"/>
  <c r="H1661" i="9"/>
  <c r="F1661" i="9"/>
  <c r="E1661" i="9"/>
  <c r="D1661" i="9"/>
  <c r="C1661" i="9"/>
  <c r="B1661" i="9"/>
  <c r="A1661" i="9"/>
  <c r="I1660" i="9"/>
  <c r="H1660" i="9"/>
  <c r="F1660" i="9"/>
  <c r="E1660" i="9"/>
  <c r="D1660" i="9"/>
  <c r="C1660" i="9"/>
  <c r="B1660" i="9"/>
  <c r="A1660" i="9"/>
  <c r="I1659" i="9"/>
  <c r="H1659" i="9"/>
  <c r="F1659" i="9"/>
  <c r="E1659" i="9"/>
  <c r="D1659" i="9"/>
  <c r="C1659" i="9"/>
  <c r="B1659" i="9"/>
  <c r="A1659" i="9"/>
  <c r="I1658" i="9"/>
  <c r="H1658" i="9"/>
  <c r="F1658" i="9"/>
  <c r="E1658" i="9"/>
  <c r="D1658" i="9"/>
  <c r="C1658" i="9"/>
  <c r="B1658" i="9"/>
  <c r="A1658" i="9"/>
  <c r="I1657" i="9"/>
  <c r="H1657" i="9"/>
  <c r="F1657" i="9"/>
  <c r="E1657" i="9"/>
  <c r="D1657" i="9"/>
  <c r="C1657" i="9"/>
  <c r="B1657" i="9"/>
  <c r="A1657" i="9"/>
  <c r="I1656" i="9"/>
  <c r="H1656" i="9"/>
  <c r="F1656" i="9"/>
  <c r="E1656" i="9"/>
  <c r="D1656" i="9"/>
  <c r="C1656" i="9"/>
  <c r="B1656" i="9"/>
  <c r="A1656" i="9"/>
  <c r="I1655" i="9"/>
  <c r="H1655" i="9"/>
  <c r="F1655" i="9"/>
  <c r="E1655" i="9"/>
  <c r="D1655" i="9"/>
  <c r="C1655" i="9"/>
  <c r="B1655" i="9"/>
  <c r="A1655" i="9"/>
  <c r="I1654" i="9"/>
  <c r="H1654" i="9"/>
  <c r="G1654" i="9"/>
  <c r="F1654" i="9"/>
  <c r="E1654" i="9"/>
  <c r="D1654" i="9"/>
  <c r="C1654" i="9"/>
  <c r="B1654" i="9"/>
  <c r="A1654" i="9"/>
  <c r="I1653" i="9"/>
  <c r="H1653" i="9"/>
  <c r="G1653" i="9"/>
  <c r="F1653" i="9"/>
  <c r="E1653" i="9"/>
  <c r="D1653" i="9"/>
  <c r="C1653" i="9"/>
  <c r="B1653" i="9"/>
  <c r="A1653" i="9"/>
  <c r="I1652" i="9"/>
  <c r="H1652" i="9"/>
  <c r="F1652" i="9"/>
  <c r="E1652" i="9"/>
  <c r="D1652" i="9"/>
  <c r="C1652" i="9"/>
  <c r="B1652" i="9"/>
  <c r="A1652" i="9"/>
  <c r="I1651" i="9"/>
  <c r="H1651" i="9"/>
  <c r="F1651" i="9"/>
  <c r="E1651" i="9"/>
  <c r="D1651" i="9"/>
  <c r="C1651" i="9"/>
  <c r="B1651" i="9"/>
  <c r="A1651" i="9"/>
  <c r="I1650" i="9"/>
  <c r="H1650" i="9"/>
  <c r="F1650" i="9"/>
  <c r="E1650" i="9"/>
  <c r="D1650" i="9"/>
  <c r="C1650" i="9"/>
  <c r="B1650" i="9"/>
  <c r="A1650" i="9"/>
  <c r="I1649" i="9"/>
  <c r="H1649" i="9"/>
  <c r="F1649" i="9"/>
  <c r="E1649" i="9"/>
  <c r="D1649" i="9"/>
  <c r="C1649" i="9"/>
  <c r="B1649" i="9"/>
  <c r="A1649" i="9"/>
  <c r="I1648" i="9"/>
  <c r="H1648" i="9"/>
  <c r="F1648" i="9"/>
  <c r="E1648" i="9"/>
  <c r="D1648" i="9"/>
  <c r="C1648" i="9"/>
  <c r="B1648" i="9"/>
  <c r="A1648" i="9"/>
  <c r="I1647" i="9"/>
  <c r="H1647" i="9"/>
  <c r="F1647" i="9"/>
  <c r="E1647" i="9"/>
  <c r="D1647" i="9"/>
  <c r="C1647" i="9"/>
  <c r="B1647" i="9"/>
  <c r="A1647" i="9"/>
  <c r="I1646" i="9"/>
  <c r="H1646" i="9"/>
  <c r="F1646" i="9"/>
  <c r="E1646" i="9"/>
  <c r="D1646" i="9"/>
  <c r="C1646" i="9"/>
  <c r="B1646" i="9"/>
  <c r="A1646" i="9"/>
  <c r="I1645" i="9"/>
  <c r="H1645" i="9"/>
  <c r="F1645" i="9"/>
  <c r="E1645" i="9"/>
  <c r="D1645" i="9"/>
  <c r="C1645" i="9"/>
  <c r="B1645" i="9"/>
  <c r="A1645" i="9"/>
  <c r="I1644" i="9"/>
  <c r="H1644" i="9"/>
  <c r="F1644" i="9"/>
  <c r="E1644" i="9"/>
  <c r="D1644" i="9"/>
  <c r="C1644" i="9"/>
  <c r="B1644" i="9"/>
  <c r="A1644" i="9"/>
  <c r="I1643" i="9"/>
  <c r="H1643" i="9"/>
  <c r="F1643" i="9"/>
  <c r="E1643" i="9"/>
  <c r="D1643" i="9"/>
  <c r="C1643" i="9"/>
  <c r="B1643" i="9"/>
  <c r="A1643" i="9"/>
  <c r="I1642" i="9"/>
  <c r="H1642" i="9"/>
  <c r="F1642" i="9"/>
  <c r="E1642" i="9"/>
  <c r="D1642" i="9"/>
  <c r="C1642" i="9"/>
  <c r="B1642" i="9"/>
  <c r="A1642" i="9"/>
  <c r="I1641" i="9"/>
  <c r="H1641" i="9"/>
  <c r="F1641" i="9"/>
  <c r="E1641" i="9"/>
  <c r="D1641" i="9"/>
  <c r="C1641" i="9"/>
  <c r="B1641" i="9"/>
  <c r="A1641" i="9"/>
  <c r="I1640" i="9"/>
  <c r="H1640" i="9"/>
  <c r="F1640" i="9"/>
  <c r="E1640" i="9"/>
  <c r="D1640" i="9"/>
  <c r="C1640" i="9"/>
  <c r="B1640" i="9"/>
  <c r="A1640" i="9"/>
  <c r="I1639" i="9"/>
  <c r="H1639" i="9"/>
  <c r="F1639" i="9"/>
  <c r="E1639" i="9"/>
  <c r="D1639" i="9"/>
  <c r="C1639" i="9"/>
  <c r="B1639" i="9"/>
  <c r="A1639" i="9"/>
  <c r="I1638" i="9"/>
  <c r="H1638" i="9"/>
  <c r="F1638" i="9"/>
  <c r="E1638" i="9"/>
  <c r="D1638" i="9"/>
  <c r="C1638" i="9"/>
  <c r="B1638" i="9"/>
  <c r="A1638" i="9"/>
  <c r="I1637" i="9"/>
  <c r="H1637" i="9"/>
  <c r="G1637" i="9"/>
  <c r="F1637" i="9"/>
  <c r="E1637" i="9"/>
  <c r="D1637" i="9"/>
  <c r="C1637" i="9"/>
  <c r="B1637" i="9"/>
  <c r="A1637" i="9"/>
  <c r="I1636" i="9"/>
  <c r="H1636" i="9"/>
  <c r="G1636" i="9"/>
  <c r="F1636" i="9"/>
  <c r="E1636" i="9"/>
  <c r="D1636" i="9"/>
  <c r="C1636" i="9"/>
  <c r="B1636" i="9"/>
  <c r="A1636" i="9"/>
  <c r="I1635" i="9"/>
  <c r="H1635" i="9"/>
  <c r="G1635" i="9"/>
  <c r="F1635" i="9"/>
  <c r="E1635" i="9"/>
  <c r="D1635" i="9"/>
  <c r="C1635" i="9"/>
  <c r="B1635" i="9"/>
  <c r="A1635" i="9"/>
  <c r="I1634" i="9"/>
  <c r="H1634" i="9"/>
  <c r="F1634" i="9"/>
  <c r="E1634" i="9"/>
  <c r="D1634" i="9"/>
  <c r="C1634" i="9"/>
  <c r="B1634" i="9"/>
  <c r="A1634" i="9"/>
  <c r="I1633" i="9"/>
  <c r="H1633" i="9"/>
  <c r="F1633" i="9"/>
  <c r="E1633" i="9"/>
  <c r="D1633" i="9"/>
  <c r="C1633" i="9"/>
  <c r="B1633" i="9"/>
  <c r="A1633" i="9"/>
  <c r="I1632" i="9"/>
  <c r="H1632" i="9"/>
  <c r="F1632" i="9"/>
  <c r="E1632" i="9"/>
  <c r="D1632" i="9"/>
  <c r="C1632" i="9"/>
  <c r="B1632" i="9"/>
  <c r="A1632" i="9"/>
  <c r="I1631" i="9"/>
  <c r="H1631" i="9"/>
  <c r="F1631" i="9"/>
  <c r="E1631" i="9"/>
  <c r="D1631" i="9"/>
  <c r="C1631" i="9"/>
  <c r="B1631" i="9"/>
  <c r="A1631" i="9"/>
  <c r="I1630" i="9"/>
  <c r="H1630" i="9"/>
  <c r="F1630" i="9"/>
  <c r="E1630" i="9"/>
  <c r="D1630" i="9"/>
  <c r="C1630" i="9"/>
  <c r="B1630" i="9"/>
  <c r="A1630" i="9"/>
  <c r="I1629" i="9"/>
  <c r="H1629" i="9"/>
  <c r="F1629" i="9"/>
  <c r="E1629" i="9"/>
  <c r="D1629" i="9"/>
  <c r="C1629" i="9"/>
  <c r="B1629" i="9"/>
  <c r="A1629" i="9"/>
  <c r="I1628" i="9"/>
  <c r="H1628" i="9"/>
  <c r="F1628" i="9"/>
  <c r="E1628" i="9"/>
  <c r="D1628" i="9"/>
  <c r="C1628" i="9"/>
  <c r="B1628" i="9"/>
  <c r="A1628" i="9"/>
  <c r="I1627" i="9"/>
  <c r="H1627" i="9"/>
  <c r="F1627" i="9"/>
  <c r="E1627" i="9"/>
  <c r="D1627" i="9"/>
  <c r="C1627" i="9"/>
  <c r="B1627" i="9"/>
  <c r="A1627" i="9"/>
  <c r="I1626" i="9"/>
  <c r="H1626" i="9"/>
  <c r="F1626" i="9"/>
  <c r="E1626" i="9"/>
  <c r="D1626" i="9"/>
  <c r="C1626" i="9"/>
  <c r="B1626" i="9"/>
  <c r="A1626" i="9"/>
  <c r="I1625" i="9"/>
  <c r="H1625" i="9"/>
  <c r="F1625" i="9"/>
  <c r="E1625" i="9"/>
  <c r="D1625" i="9"/>
  <c r="C1625" i="9"/>
  <c r="B1625" i="9"/>
  <c r="A1625" i="9"/>
  <c r="I1624" i="9"/>
  <c r="H1624" i="9"/>
  <c r="F1624" i="9"/>
  <c r="E1624" i="9"/>
  <c r="D1624" i="9"/>
  <c r="C1624" i="9"/>
  <c r="B1624" i="9"/>
  <c r="A1624" i="9"/>
  <c r="I1623" i="9"/>
  <c r="H1623" i="9"/>
  <c r="F1623" i="9"/>
  <c r="E1623" i="9"/>
  <c r="D1623" i="9"/>
  <c r="C1623" i="9"/>
  <c r="B1623" i="9"/>
  <c r="A1623" i="9"/>
  <c r="I1622" i="9"/>
  <c r="H1622" i="9"/>
  <c r="G1622" i="9"/>
  <c r="F1622" i="9"/>
  <c r="E1622" i="9"/>
  <c r="D1622" i="9"/>
  <c r="C1622" i="9"/>
  <c r="B1622" i="9"/>
  <c r="A1622" i="9"/>
  <c r="I1621" i="9"/>
  <c r="H1621" i="9"/>
  <c r="G1621" i="9"/>
  <c r="F1621" i="9"/>
  <c r="E1621" i="9"/>
  <c r="D1621" i="9"/>
  <c r="C1621" i="9"/>
  <c r="B1621" i="9"/>
  <c r="A1621" i="9"/>
  <c r="I1620" i="9"/>
  <c r="H1620" i="9"/>
  <c r="F1620" i="9"/>
  <c r="E1620" i="9"/>
  <c r="D1620" i="9"/>
  <c r="C1620" i="9"/>
  <c r="B1620" i="9"/>
  <c r="A1620" i="9"/>
  <c r="I1619" i="9"/>
  <c r="H1619" i="9"/>
  <c r="F1619" i="9"/>
  <c r="E1619" i="9"/>
  <c r="D1619" i="9"/>
  <c r="C1619" i="9"/>
  <c r="B1619" i="9"/>
  <c r="A1619" i="9"/>
  <c r="I1618" i="9"/>
  <c r="H1618" i="9"/>
  <c r="F1618" i="9"/>
  <c r="E1618" i="9"/>
  <c r="D1618" i="9"/>
  <c r="C1618" i="9"/>
  <c r="B1618" i="9"/>
  <c r="A1618" i="9"/>
  <c r="I1617" i="9"/>
  <c r="H1617" i="9"/>
  <c r="F1617" i="9"/>
  <c r="E1617" i="9"/>
  <c r="D1617" i="9"/>
  <c r="C1617" i="9"/>
  <c r="B1617" i="9"/>
  <c r="A1617" i="9"/>
  <c r="I1616" i="9"/>
  <c r="H1616" i="9"/>
  <c r="F1616" i="9"/>
  <c r="E1616" i="9"/>
  <c r="D1616" i="9"/>
  <c r="C1616" i="9"/>
  <c r="B1616" i="9"/>
  <c r="A1616" i="9"/>
  <c r="I1615" i="9"/>
  <c r="H1615" i="9"/>
  <c r="F1615" i="9"/>
  <c r="E1615" i="9"/>
  <c r="D1615" i="9"/>
  <c r="C1615" i="9"/>
  <c r="B1615" i="9"/>
  <c r="A1615" i="9"/>
  <c r="I1614" i="9"/>
  <c r="H1614" i="9"/>
  <c r="F1614" i="9"/>
  <c r="E1614" i="9"/>
  <c r="D1614" i="9"/>
  <c r="C1614" i="9"/>
  <c r="B1614" i="9"/>
  <c r="A1614" i="9"/>
  <c r="I1613" i="9"/>
  <c r="H1613" i="9"/>
  <c r="F1613" i="9"/>
  <c r="E1613" i="9"/>
  <c r="D1613" i="9"/>
  <c r="C1613" i="9"/>
  <c r="B1613" i="9"/>
  <c r="A1613" i="9"/>
  <c r="I1612" i="9"/>
  <c r="H1612" i="9"/>
  <c r="F1612" i="9"/>
  <c r="E1612" i="9"/>
  <c r="D1612" i="9"/>
  <c r="C1612" i="9"/>
  <c r="B1612" i="9"/>
  <c r="A1612" i="9"/>
  <c r="I1611" i="9"/>
  <c r="H1611" i="9"/>
  <c r="F1611" i="9"/>
  <c r="E1611" i="9"/>
  <c r="D1611" i="9"/>
  <c r="C1611" i="9"/>
  <c r="B1611" i="9"/>
  <c r="A1611" i="9"/>
  <c r="I1610" i="9"/>
  <c r="H1610" i="9"/>
  <c r="F1610" i="9"/>
  <c r="E1610" i="9"/>
  <c r="D1610" i="9"/>
  <c r="C1610" i="9"/>
  <c r="B1610" i="9"/>
  <c r="A1610" i="9"/>
  <c r="I1609" i="9"/>
  <c r="H1609" i="9"/>
  <c r="F1609" i="9"/>
  <c r="E1609" i="9"/>
  <c r="D1609" i="9"/>
  <c r="C1609" i="9"/>
  <c r="B1609" i="9"/>
  <c r="A1609" i="9"/>
  <c r="I1608" i="9"/>
  <c r="H1608" i="9"/>
  <c r="F1608" i="9"/>
  <c r="E1608" i="9"/>
  <c r="D1608" i="9"/>
  <c r="C1608" i="9"/>
  <c r="B1608" i="9"/>
  <c r="A1608" i="9"/>
  <c r="I1607" i="9"/>
  <c r="H1607" i="9"/>
  <c r="F1607" i="9"/>
  <c r="E1607" i="9"/>
  <c r="D1607" i="9"/>
  <c r="C1607" i="9"/>
  <c r="B1607" i="9"/>
  <c r="A1607" i="9"/>
  <c r="I1606" i="9"/>
  <c r="H1606" i="9"/>
  <c r="F1606" i="9"/>
  <c r="E1606" i="9"/>
  <c r="D1606" i="9"/>
  <c r="C1606" i="9"/>
  <c r="B1606" i="9"/>
  <c r="A1606" i="9"/>
  <c r="I1605" i="9"/>
  <c r="H1605" i="9"/>
  <c r="F1605" i="9"/>
  <c r="E1605" i="9"/>
  <c r="D1605" i="9"/>
  <c r="C1605" i="9"/>
  <c r="B1605" i="9"/>
  <c r="A1605" i="9"/>
  <c r="I1604" i="9"/>
  <c r="H1604" i="9"/>
  <c r="F1604" i="9"/>
  <c r="E1604" i="9"/>
  <c r="D1604" i="9"/>
  <c r="C1604" i="9"/>
  <c r="B1604" i="9"/>
  <c r="A1604" i="9"/>
  <c r="I1603" i="9"/>
  <c r="H1603" i="9"/>
  <c r="F1603" i="9"/>
  <c r="E1603" i="9"/>
  <c r="D1603" i="9"/>
  <c r="C1603" i="9"/>
  <c r="B1603" i="9"/>
  <c r="A1603" i="9"/>
  <c r="I1602" i="9"/>
  <c r="H1602" i="9"/>
  <c r="F1602" i="9"/>
  <c r="E1602" i="9"/>
  <c r="D1602" i="9"/>
  <c r="C1602" i="9"/>
  <c r="B1602" i="9"/>
  <c r="A1602" i="9"/>
  <c r="I1601" i="9"/>
  <c r="H1601" i="9"/>
  <c r="F1601" i="9"/>
  <c r="E1601" i="9"/>
  <c r="D1601" i="9"/>
  <c r="C1601" i="9"/>
  <c r="B1601" i="9"/>
  <c r="A1601" i="9"/>
  <c r="I1600" i="9"/>
  <c r="H1600" i="9"/>
  <c r="F1600" i="9"/>
  <c r="E1600" i="9"/>
  <c r="D1600" i="9"/>
  <c r="C1600" i="9"/>
  <c r="B1600" i="9"/>
  <c r="A1600" i="9"/>
  <c r="I1599" i="9"/>
  <c r="H1599" i="9"/>
  <c r="F1599" i="9"/>
  <c r="E1599" i="9"/>
  <c r="D1599" i="9"/>
  <c r="C1599" i="9"/>
  <c r="B1599" i="9"/>
  <c r="A1599" i="9"/>
  <c r="I1598" i="9"/>
  <c r="H1598" i="9"/>
  <c r="F1598" i="9"/>
  <c r="E1598" i="9"/>
  <c r="D1598" i="9"/>
  <c r="C1598" i="9"/>
  <c r="B1598" i="9"/>
  <c r="A1598" i="9"/>
  <c r="I1597" i="9"/>
  <c r="H1597" i="9"/>
  <c r="F1597" i="9"/>
  <c r="E1597" i="9"/>
  <c r="D1597" i="9"/>
  <c r="C1597" i="9"/>
  <c r="B1597" i="9"/>
  <c r="A1597" i="9"/>
  <c r="I1596" i="9"/>
  <c r="H1596" i="9"/>
  <c r="F1596" i="9"/>
  <c r="E1596" i="9"/>
  <c r="D1596" i="9"/>
  <c r="C1596" i="9"/>
  <c r="B1596" i="9"/>
  <c r="A1596" i="9"/>
  <c r="I1595" i="9"/>
  <c r="H1595" i="9"/>
  <c r="F1595" i="9"/>
  <c r="E1595" i="9"/>
  <c r="D1595" i="9"/>
  <c r="C1595" i="9"/>
  <c r="B1595" i="9"/>
  <c r="A1595" i="9"/>
  <c r="I1594" i="9"/>
  <c r="H1594" i="9"/>
  <c r="F1594" i="9"/>
  <c r="E1594" i="9"/>
  <c r="D1594" i="9"/>
  <c r="C1594" i="9"/>
  <c r="B1594" i="9"/>
  <c r="A1594" i="9"/>
  <c r="I1593" i="9"/>
  <c r="H1593" i="9"/>
  <c r="F1593" i="9"/>
  <c r="E1593" i="9"/>
  <c r="D1593" i="9"/>
  <c r="C1593" i="9"/>
  <c r="B1593" i="9"/>
  <c r="A1593" i="9"/>
  <c r="I1592" i="9"/>
  <c r="H1592" i="9"/>
  <c r="F1592" i="9"/>
  <c r="E1592" i="9"/>
  <c r="D1592" i="9"/>
  <c r="C1592" i="9"/>
  <c r="B1592" i="9"/>
  <c r="A1592" i="9"/>
  <c r="I1591" i="9"/>
  <c r="H1591" i="9"/>
  <c r="F1591" i="9"/>
  <c r="E1591" i="9"/>
  <c r="D1591" i="9"/>
  <c r="C1591" i="9"/>
  <c r="B1591" i="9"/>
  <c r="A1591" i="9"/>
  <c r="I1590" i="9"/>
  <c r="H1590" i="9"/>
  <c r="F1590" i="9"/>
  <c r="E1590" i="9"/>
  <c r="D1590" i="9"/>
  <c r="C1590" i="9"/>
  <c r="B1590" i="9"/>
  <c r="A1590" i="9"/>
  <c r="I1589" i="9"/>
  <c r="H1589" i="9"/>
  <c r="F1589" i="9"/>
  <c r="E1589" i="9"/>
  <c r="D1589" i="9"/>
  <c r="C1589" i="9"/>
  <c r="B1589" i="9"/>
  <c r="A1589" i="9"/>
  <c r="I1588" i="9"/>
  <c r="H1588" i="9"/>
  <c r="F1588" i="9"/>
  <c r="E1588" i="9"/>
  <c r="D1588" i="9"/>
  <c r="C1588" i="9"/>
  <c r="B1588" i="9"/>
  <c r="A1588" i="9"/>
  <c r="I1587" i="9"/>
  <c r="H1587" i="9"/>
  <c r="F1587" i="9"/>
  <c r="E1587" i="9"/>
  <c r="D1587" i="9"/>
  <c r="C1587" i="9"/>
  <c r="B1587" i="9"/>
  <c r="A1587" i="9"/>
  <c r="I1586" i="9"/>
  <c r="H1586" i="9"/>
  <c r="F1586" i="9"/>
  <c r="E1586" i="9"/>
  <c r="D1586" i="9"/>
  <c r="C1586" i="9"/>
  <c r="B1586" i="9"/>
  <c r="A1586" i="9"/>
  <c r="I1585" i="9"/>
  <c r="H1585" i="9"/>
  <c r="F1585" i="9"/>
  <c r="E1585" i="9"/>
  <c r="D1585" i="9"/>
  <c r="C1585" i="9"/>
  <c r="B1585" i="9"/>
  <c r="A1585" i="9"/>
  <c r="I1584" i="9"/>
  <c r="H1584" i="9"/>
  <c r="F1584" i="9"/>
  <c r="E1584" i="9"/>
  <c r="D1584" i="9"/>
  <c r="C1584" i="9"/>
  <c r="B1584" i="9"/>
  <c r="A1584" i="9"/>
  <c r="I1583" i="9"/>
  <c r="H1583" i="9"/>
  <c r="F1583" i="9"/>
  <c r="E1583" i="9"/>
  <c r="D1583" i="9"/>
  <c r="C1583" i="9"/>
  <c r="B1583" i="9"/>
  <c r="A1583" i="9"/>
  <c r="I1582" i="9"/>
  <c r="H1582" i="9"/>
  <c r="F1582" i="9"/>
  <c r="E1582" i="9"/>
  <c r="D1582" i="9"/>
  <c r="C1582" i="9"/>
  <c r="B1582" i="9"/>
  <c r="A1582" i="9"/>
  <c r="I1581" i="9"/>
  <c r="H1581" i="9"/>
  <c r="G1581" i="9"/>
  <c r="F1581" i="9"/>
  <c r="E1581" i="9"/>
  <c r="D1581" i="9"/>
  <c r="C1581" i="9"/>
  <c r="B1581" i="9"/>
  <c r="A1581" i="9"/>
  <c r="I1580" i="9"/>
  <c r="H1580" i="9"/>
  <c r="G1580" i="9"/>
  <c r="F1580" i="9"/>
  <c r="E1580" i="9"/>
  <c r="D1580" i="9"/>
  <c r="C1580" i="9"/>
  <c r="B1580" i="9"/>
  <c r="A1580" i="9"/>
  <c r="I1579" i="9"/>
  <c r="H1579" i="9"/>
  <c r="F1579" i="9"/>
  <c r="E1579" i="9"/>
  <c r="D1579" i="9"/>
  <c r="C1579" i="9"/>
  <c r="B1579" i="9"/>
  <c r="A1579" i="9"/>
  <c r="I1578" i="9"/>
  <c r="H1578" i="9"/>
  <c r="F1578" i="9"/>
  <c r="E1578" i="9"/>
  <c r="D1578" i="9"/>
  <c r="C1578" i="9"/>
  <c r="B1578" i="9"/>
  <c r="A1578" i="9"/>
  <c r="I1577" i="9"/>
  <c r="H1577" i="9"/>
  <c r="F1577" i="9"/>
  <c r="E1577" i="9"/>
  <c r="D1577" i="9"/>
  <c r="C1577" i="9"/>
  <c r="B1577" i="9"/>
  <c r="A1577" i="9"/>
  <c r="I1576" i="9"/>
  <c r="H1576" i="9"/>
  <c r="F1576" i="9"/>
  <c r="E1576" i="9"/>
  <c r="D1576" i="9"/>
  <c r="C1576" i="9"/>
  <c r="B1576" i="9"/>
  <c r="A1576" i="9"/>
  <c r="I1575" i="9"/>
  <c r="H1575" i="9"/>
  <c r="F1575" i="9"/>
  <c r="E1575" i="9"/>
  <c r="D1575" i="9"/>
  <c r="C1575" i="9"/>
  <c r="B1575" i="9"/>
  <c r="A1575" i="9"/>
  <c r="I1574" i="9"/>
  <c r="H1574" i="9"/>
  <c r="F1574" i="9"/>
  <c r="E1574" i="9"/>
  <c r="D1574" i="9"/>
  <c r="C1574" i="9"/>
  <c r="B1574" i="9"/>
  <c r="A1574" i="9"/>
  <c r="I1573" i="9"/>
  <c r="H1573" i="9"/>
  <c r="F1573" i="9"/>
  <c r="E1573" i="9"/>
  <c r="D1573" i="9"/>
  <c r="C1573" i="9"/>
  <c r="B1573" i="9"/>
  <c r="A1573" i="9"/>
  <c r="I1572" i="9"/>
  <c r="H1572" i="9"/>
  <c r="F1572" i="9"/>
  <c r="E1572" i="9"/>
  <c r="D1572" i="9"/>
  <c r="C1572" i="9"/>
  <c r="B1572" i="9"/>
  <c r="A1572" i="9"/>
  <c r="I1571" i="9"/>
  <c r="H1571" i="9"/>
  <c r="F1571" i="9"/>
  <c r="E1571" i="9"/>
  <c r="D1571" i="9"/>
  <c r="C1571" i="9"/>
  <c r="B1571" i="9"/>
  <c r="A1571" i="9"/>
  <c r="I1570" i="9"/>
  <c r="H1570" i="9"/>
  <c r="F1570" i="9"/>
  <c r="E1570" i="9"/>
  <c r="D1570" i="9"/>
  <c r="C1570" i="9"/>
  <c r="B1570" i="9"/>
  <c r="A1570" i="9"/>
  <c r="I1569" i="9"/>
  <c r="H1569" i="9"/>
  <c r="F1569" i="9"/>
  <c r="E1569" i="9"/>
  <c r="D1569" i="9"/>
  <c r="C1569" i="9"/>
  <c r="B1569" i="9"/>
  <c r="A1569" i="9"/>
  <c r="I1568" i="9"/>
  <c r="H1568" i="9"/>
  <c r="F1568" i="9"/>
  <c r="E1568" i="9"/>
  <c r="D1568" i="9"/>
  <c r="C1568" i="9"/>
  <c r="B1568" i="9"/>
  <c r="A1568" i="9"/>
  <c r="I1567" i="9"/>
  <c r="H1567" i="9"/>
  <c r="F1567" i="9"/>
  <c r="E1567" i="9"/>
  <c r="D1567" i="9"/>
  <c r="C1567" i="9"/>
  <c r="B1567" i="9"/>
  <c r="A1567" i="9"/>
  <c r="I1566" i="9"/>
  <c r="H1566" i="9"/>
  <c r="F1566" i="9"/>
  <c r="E1566" i="9"/>
  <c r="D1566" i="9"/>
  <c r="C1566" i="9"/>
  <c r="B1566" i="9"/>
  <c r="A1566" i="9"/>
  <c r="I1565" i="9"/>
  <c r="H1565" i="9"/>
  <c r="F1565" i="9"/>
  <c r="E1565" i="9"/>
  <c r="D1565" i="9"/>
  <c r="C1565" i="9"/>
  <c r="B1565" i="9"/>
  <c r="A1565" i="9"/>
  <c r="I1564" i="9"/>
  <c r="H1564" i="9"/>
  <c r="F1564" i="9"/>
  <c r="E1564" i="9"/>
  <c r="D1564" i="9"/>
  <c r="C1564" i="9"/>
  <c r="B1564" i="9"/>
  <c r="A1564" i="9"/>
  <c r="I1563" i="9"/>
  <c r="H1563" i="9"/>
  <c r="F1563" i="9"/>
  <c r="E1563" i="9"/>
  <c r="D1563" i="9"/>
  <c r="C1563" i="9"/>
  <c r="B1563" i="9"/>
  <c r="A1563" i="9"/>
  <c r="I1562" i="9"/>
  <c r="H1562" i="9"/>
  <c r="F1562" i="9"/>
  <c r="E1562" i="9"/>
  <c r="D1562" i="9"/>
  <c r="C1562" i="9"/>
  <c r="B1562" i="9"/>
  <c r="A1562" i="9"/>
  <c r="I1561" i="9"/>
  <c r="H1561" i="9"/>
  <c r="F1561" i="9"/>
  <c r="E1561" i="9"/>
  <c r="D1561" i="9"/>
  <c r="C1561" i="9"/>
  <c r="B1561" i="9"/>
  <c r="A1561" i="9"/>
  <c r="I1560" i="9"/>
  <c r="H1560" i="9"/>
  <c r="F1560" i="9"/>
  <c r="E1560" i="9"/>
  <c r="D1560" i="9"/>
  <c r="C1560" i="9"/>
  <c r="B1560" i="9"/>
  <c r="A1560" i="9"/>
  <c r="I1559" i="9"/>
  <c r="H1559" i="9"/>
  <c r="F1559" i="9"/>
  <c r="E1559" i="9"/>
  <c r="D1559" i="9"/>
  <c r="C1559" i="9"/>
  <c r="B1559" i="9"/>
  <c r="A1559" i="9"/>
  <c r="I1558" i="9"/>
  <c r="H1558" i="9"/>
  <c r="F1558" i="9"/>
  <c r="E1558" i="9"/>
  <c r="D1558" i="9"/>
  <c r="C1558" i="9"/>
  <c r="B1558" i="9"/>
  <c r="A1558" i="9"/>
  <c r="I1557" i="9"/>
  <c r="H1557" i="9"/>
  <c r="F1557" i="9"/>
  <c r="E1557" i="9"/>
  <c r="D1557" i="9"/>
  <c r="C1557" i="9"/>
  <c r="B1557" i="9"/>
  <c r="A1557" i="9"/>
  <c r="I1556" i="9"/>
  <c r="H1556" i="9"/>
  <c r="F1556" i="9"/>
  <c r="E1556" i="9"/>
  <c r="D1556" i="9"/>
  <c r="C1556" i="9"/>
  <c r="B1556" i="9"/>
  <c r="A1556" i="9"/>
  <c r="I1555" i="9"/>
  <c r="H1555" i="9"/>
  <c r="F1555" i="9"/>
  <c r="E1555" i="9"/>
  <c r="D1555" i="9"/>
  <c r="C1555" i="9"/>
  <c r="B1555" i="9"/>
  <c r="A1555" i="9"/>
  <c r="I1554" i="9"/>
  <c r="H1554" i="9"/>
  <c r="F1554" i="9"/>
  <c r="E1554" i="9"/>
  <c r="D1554" i="9"/>
  <c r="C1554" i="9"/>
  <c r="B1554" i="9"/>
  <c r="A1554" i="9"/>
  <c r="I1553" i="9"/>
  <c r="H1553" i="9"/>
  <c r="F1553" i="9"/>
  <c r="E1553" i="9"/>
  <c r="D1553" i="9"/>
  <c r="C1553" i="9"/>
  <c r="B1553" i="9"/>
  <c r="A1553" i="9"/>
  <c r="I1552" i="9"/>
  <c r="H1552" i="9"/>
  <c r="G1552" i="9"/>
  <c r="F1552" i="9"/>
  <c r="E1552" i="9"/>
  <c r="D1552" i="9"/>
  <c r="C1552" i="9"/>
  <c r="B1552" i="9"/>
  <c r="A1552" i="9"/>
  <c r="I1551" i="9"/>
  <c r="H1551" i="9"/>
  <c r="F1551" i="9"/>
  <c r="E1551" i="9"/>
  <c r="D1551" i="9"/>
  <c r="C1551" i="9"/>
  <c r="B1551" i="9"/>
  <c r="A1551" i="9"/>
  <c r="I1550" i="9"/>
  <c r="H1550" i="9"/>
  <c r="F1550" i="9"/>
  <c r="E1550" i="9"/>
  <c r="D1550" i="9"/>
  <c r="C1550" i="9"/>
  <c r="B1550" i="9"/>
  <c r="A1550" i="9"/>
  <c r="I1549" i="9"/>
  <c r="H1549" i="9"/>
  <c r="F1549" i="9"/>
  <c r="E1549" i="9"/>
  <c r="D1549" i="9"/>
  <c r="C1549" i="9"/>
  <c r="B1549" i="9"/>
  <c r="A1549" i="9"/>
  <c r="I1548" i="9"/>
  <c r="H1548" i="9"/>
  <c r="F1548" i="9"/>
  <c r="E1548" i="9"/>
  <c r="D1548" i="9"/>
  <c r="C1548" i="9"/>
  <c r="B1548" i="9"/>
  <c r="A1548" i="9"/>
  <c r="I1547" i="9"/>
  <c r="H1547" i="9"/>
  <c r="F1547" i="9"/>
  <c r="E1547" i="9"/>
  <c r="D1547" i="9"/>
  <c r="C1547" i="9"/>
  <c r="B1547" i="9"/>
  <c r="A1547" i="9"/>
  <c r="I1546" i="9"/>
  <c r="H1546" i="9"/>
  <c r="F1546" i="9"/>
  <c r="E1546" i="9"/>
  <c r="D1546" i="9"/>
  <c r="C1546" i="9"/>
  <c r="B1546" i="9"/>
  <c r="A1546" i="9"/>
  <c r="I1545" i="9"/>
  <c r="H1545" i="9"/>
  <c r="F1545" i="9"/>
  <c r="E1545" i="9"/>
  <c r="D1545" i="9"/>
  <c r="C1545" i="9"/>
  <c r="B1545" i="9"/>
  <c r="A1545" i="9"/>
  <c r="I1544" i="9"/>
  <c r="H1544" i="9"/>
  <c r="F1544" i="9"/>
  <c r="E1544" i="9"/>
  <c r="D1544" i="9"/>
  <c r="C1544" i="9"/>
  <c r="B1544" i="9"/>
  <c r="A1544" i="9"/>
  <c r="I1543" i="9"/>
  <c r="H1543" i="9"/>
  <c r="F1543" i="9"/>
  <c r="E1543" i="9"/>
  <c r="D1543" i="9"/>
  <c r="C1543" i="9"/>
  <c r="B1543" i="9"/>
  <c r="A1543" i="9"/>
  <c r="I1542" i="9"/>
  <c r="H1542" i="9"/>
  <c r="F1542" i="9"/>
  <c r="E1542" i="9"/>
  <c r="D1542" i="9"/>
  <c r="C1542" i="9"/>
  <c r="B1542" i="9"/>
  <c r="A1542" i="9"/>
  <c r="I1541" i="9"/>
  <c r="H1541" i="9"/>
  <c r="F1541" i="9"/>
  <c r="E1541" i="9"/>
  <c r="D1541" i="9"/>
  <c r="C1541" i="9"/>
  <c r="B1541" i="9"/>
  <c r="A1541" i="9"/>
  <c r="I1540" i="9"/>
  <c r="H1540" i="9"/>
  <c r="F1540" i="9"/>
  <c r="E1540" i="9"/>
  <c r="D1540" i="9"/>
  <c r="C1540" i="9"/>
  <c r="B1540" i="9"/>
  <c r="A1540" i="9"/>
  <c r="I1539" i="9"/>
  <c r="H1539" i="9"/>
  <c r="F1539" i="9"/>
  <c r="E1539" i="9"/>
  <c r="D1539" i="9"/>
  <c r="C1539" i="9"/>
  <c r="B1539" i="9"/>
  <c r="A1539" i="9"/>
  <c r="I1538" i="9"/>
  <c r="H1538" i="9"/>
  <c r="G1538" i="9"/>
  <c r="F1538" i="9"/>
  <c r="E1538" i="9"/>
  <c r="D1538" i="9"/>
  <c r="C1538" i="9"/>
  <c r="B1538" i="9"/>
  <c r="A1538" i="9"/>
  <c r="I1537" i="9"/>
  <c r="H1537" i="9"/>
  <c r="G1537" i="9"/>
  <c r="F1537" i="9"/>
  <c r="E1537" i="9"/>
  <c r="D1537" i="9"/>
  <c r="C1537" i="9"/>
  <c r="B1537" i="9"/>
  <c r="A1537" i="9"/>
  <c r="I1536" i="9"/>
  <c r="H1536" i="9"/>
  <c r="F1536" i="9"/>
  <c r="E1536" i="9"/>
  <c r="D1536" i="9"/>
  <c r="C1536" i="9"/>
  <c r="B1536" i="9"/>
  <c r="A1536" i="9"/>
  <c r="I1535" i="9"/>
  <c r="H1535" i="9"/>
  <c r="F1535" i="9"/>
  <c r="E1535" i="9"/>
  <c r="D1535" i="9"/>
  <c r="C1535" i="9"/>
  <c r="B1535" i="9"/>
  <c r="A1535" i="9"/>
  <c r="I1534" i="9"/>
  <c r="H1534" i="9"/>
  <c r="F1534" i="9"/>
  <c r="E1534" i="9"/>
  <c r="D1534" i="9"/>
  <c r="C1534" i="9"/>
  <c r="B1534" i="9"/>
  <c r="A1534" i="9"/>
  <c r="I1533" i="9"/>
  <c r="H1533" i="9"/>
  <c r="F1533" i="9"/>
  <c r="E1533" i="9"/>
  <c r="D1533" i="9"/>
  <c r="C1533" i="9"/>
  <c r="B1533" i="9"/>
  <c r="A1533" i="9"/>
  <c r="I1532" i="9"/>
  <c r="H1532" i="9"/>
  <c r="F1532" i="9"/>
  <c r="E1532" i="9"/>
  <c r="D1532" i="9"/>
  <c r="C1532" i="9"/>
  <c r="B1532" i="9"/>
  <c r="A1532" i="9"/>
  <c r="I1531" i="9"/>
  <c r="H1531" i="9"/>
  <c r="F1531" i="9"/>
  <c r="E1531" i="9"/>
  <c r="D1531" i="9"/>
  <c r="C1531" i="9"/>
  <c r="B1531" i="9"/>
  <c r="A1531" i="9"/>
  <c r="I1530" i="9"/>
  <c r="H1530" i="9"/>
  <c r="F1530" i="9"/>
  <c r="E1530" i="9"/>
  <c r="D1530" i="9"/>
  <c r="C1530" i="9"/>
  <c r="B1530" i="9"/>
  <c r="A1530" i="9"/>
  <c r="I1529" i="9"/>
  <c r="H1529" i="9"/>
  <c r="F1529" i="9"/>
  <c r="E1529" i="9"/>
  <c r="D1529" i="9"/>
  <c r="C1529" i="9"/>
  <c r="B1529" i="9"/>
  <c r="A1529" i="9"/>
  <c r="I1528" i="9"/>
  <c r="H1528" i="9"/>
  <c r="F1528" i="9"/>
  <c r="E1528" i="9"/>
  <c r="D1528" i="9"/>
  <c r="C1528" i="9"/>
  <c r="B1528" i="9"/>
  <c r="A1528" i="9"/>
  <c r="I1527" i="9"/>
  <c r="H1527" i="9"/>
  <c r="F1527" i="9"/>
  <c r="E1527" i="9"/>
  <c r="D1527" i="9"/>
  <c r="C1527" i="9"/>
  <c r="B1527" i="9"/>
  <c r="A1527" i="9"/>
  <c r="I1526" i="9"/>
  <c r="H1526" i="9"/>
  <c r="F1526" i="9"/>
  <c r="E1526" i="9"/>
  <c r="D1526" i="9"/>
  <c r="C1526" i="9"/>
  <c r="B1526" i="9"/>
  <c r="A1526" i="9"/>
  <c r="I1525" i="9"/>
  <c r="H1525" i="9"/>
  <c r="F1525" i="9"/>
  <c r="E1525" i="9"/>
  <c r="D1525" i="9"/>
  <c r="C1525" i="9"/>
  <c r="B1525" i="9"/>
  <c r="A1525" i="9"/>
  <c r="I1524" i="9"/>
  <c r="H1524" i="9"/>
  <c r="F1524" i="9"/>
  <c r="E1524" i="9"/>
  <c r="D1524" i="9"/>
  <c r="C1524" i="9"/>
  <c r="B1524" i="9"/>
  <c r="A1524" i="9"/>
  <c r="I1523" i="9"/>
  <c r="H1523" i="9"/>
  <c r="F1523" i="9"/>
  <c r="E1523" i="9"/>
  <c r="D1523" i="9"/>
  <c r="C1523" i="9"/>
  <c r="B1523" i="9"/>
  <c r="A1523" i="9"/>
  <c r="I1522" i="9"/>
  <c r="H1522" i="9"/>
  <c r="F1522" i="9"/>
  <c r="E1522" i="9"/>
  <c r="D1522" i="9"/>
  <c r="C1522" i="9"/>
  <c r="B1522" i="9"/>
  <c r="A1522" i="9"/>
  <c r="I1521" i="9"/>
  <c r="H1521" i="9"/>
  <c r="F1521" i="9"/>
  <c r="E1521" i="9"/>
  <c r="D1521" i="9"/>
  <c r="C1521" i="9"/>
  <c r="B1521" i="9"/>
  <c r="A1521" i="9"/>
  <c r="I1520" i="9"/>
  <c r="H1520" i="9"/>
  <c r="F1520" i="9"/>
  <c r="E1520" i="9"/>
  <c r="D1520" i="9"/>
  <c r="C1520" i="9"/>
  <c r="B1520" i="9"/>
  <c r="A1520" i="9"/>
  <c r="I1519" i="9"/>
  <c r="H1519" i="9"/>
  <c r="F1519" i="9"/>
  <c r="E1519" i="9"/>
  <c r="D1519" i="9"/>
  <c r="C1519" i="9"/>
  <c r="B1519" i="9"/>
  <c r="A1519" i="9"/>
  <c r="I1518" i="9"/>
  <c r="H1518" i="9"/>
  <c r="G1518" i="9"/>
  <c r="F1518" i="9"/>
  <c r="E1518" i="9"/>
  <c r="D1518" i="9"/>
  <c r="C1518" i="9"/>
  <c r="B1518" i="9"/>
  <c r="A1518" i="9"/>
  <c r="I1517" i="9"/>
  <c r="H1517" i="9"/>
  <c r="G1517" i="9"/>
  <c r="F1517" i="9"/>
  <c r="E1517" i="9"/>
  <c r="D1517" i="9"/>
  <c r="C1517" i="9"/>
  <c r="B1517" i="9"/>
  <c r="A1517" i="9"/>
  <c r="I1516" i="9"/>
  <c r="H1516" i="9"/>
  <c r="F1516" i="9"/>
  <c r="E1516" i="9"/>
  <c r="D1516" i="9"/>
  <c r="C1516" i="9"/>
  <c r="B1516" i="9"/>
  <c r="A1516" i="9"/>
  <c r="I1515" i="9"/>
  <c r="H1515" i="9"/>
  <c r="F1515" i="9"/>
  <c r="E1515" i="9"/>
  <c r="D1515" i="9"/>
  <c r="C1515" i="9"/>
  <c r="B1515" i="9"/>
  <c r="A1515" i="9"/>
  <c r="I1514" i="9"/>
  <c r="H1514" i="9"/>
  <c r="F1514" i="9"/>
  <c r="E1514" i="9"/>
  <c r="D1514" i="9"/>
  <c r="C1514" i="9"/>
  <c r="B1514" i="9"/>
  <c r="A1514" i="9"/>
  <c r="I1513" i="9"/>
  <c r="H1513" i="9"/>
  <c r="F1513" i="9"/>
  <c r="E1513" i="9"/>
  <c r="D1513" i="9"/>
  <c r="C1513" i="9"/>
  <c r="B1513" i="9"/>
  <c r="A1513" i="9"/>
  <c r="I1512" i="9"/>
  <c r="H1512" i="9"/>
  <c r="F1512" i="9"/>
  <c r="E1512" i="9"/>
  <c r="D1512" i="9"/>
  <c r="C1512" i="9"/>
  <c r="B1512" i="9"/>
  <c r="A1512" i="9"/>
  <c r="I1511" i="9"/>
  <c r="H1511" i="9"/>
  <c r="F1511" i="9"/>
  <c r="E1511" i="9"/>
  <c r="D1511" i="9"/>
  <c r="C1511" i="9"/>
  <c r="B1511" i="9"/>
  <c r="A1511" i="9"/>
  <c r="I1510" i="9"/>
  <c r="H1510" i="9"/>
  <c r="F1510" i="9"/>
  <c r="E1510" i="9"/>
  <c r="D1510" i="9"/>
  <c r="C1510" i="9"/>
  <c r="B1510" i="9"/>
  <c r="A1510" i="9"/>
  <c r="I1509" i="9"/>
  <c r="H1509" i="9"/>
  <c r="F1509" i="9"/>
  <c r="E1509" i="9"/>
  <c r="D1509" i="9"/>
  <c r="C1509" i="9"/>
  <c r="B1509" i="9"/>
  <c r="A1509" i="9"/>
  <c r="I1508" i="9"/>
  <c r="H1508" i="9"/>
  <c r="F1508" i="9"/>
  <c r="E1508" i="9"/>
  <c r="D1508" i="9"/>
  <c r="C1508" i="9"/>
  <c r="B1508" i="9"/>
  <c r="A1508" i="9"/>
  <c r="I1507" i="9"/>
  <c r="H1507" i="9"/>
  <c r="F1507" i="9"/>
  <c r="E1507" i="9"/>
  <c r="D1507" i="9"/>
  <c r="C1507" i="9"/>
  <c r="B1507" i="9"/>
  <c r="A1507" i="9"/>
  <c r="I1506" i="9"/>
  <c r="H1506" i="9"/>
  <c r="F1506" i="9"/>
  <c r="E1506" i="9"/>
  <c r="D1506" i="9"/>
  <c r="C1506" i="9"/>
  <c r="B1506" i="9"/>
  <c r="A1506" i="9"/>
  <c r="I1505" i="9"/>
  <c r="H1505" i="9"/>
  <c r="F1505" i="9"/>
  <c r="E1505" i="9"/>
  <c r="D1505" i="9"/>
  <c r="C1505" i="9"/>
  <c r="B1505" i="9"/>
  <c r="A1505" i="9"/>
  <c r="I1504" i="9"/>
  <c r="H1504" i="9"/>
  <c r="F1504" i="9"/>
  <c r="E1504" i="9"/>
  <c r="D1504" i="9"/>
  <c r="C1504" i="9"/>
  <c r="B1504" i="9"/>
  <c r="A1504" i="9"/>
  <c r="I1503" i="9"/>
  <c r="H1503" i="9"/>
  <c r="F1503" i="9"/>
  <c r="E1503" i="9"/>
  <c r="D1503" i="9"/>
  <c r="C1503" i="9"/>
  <c r="B1503" i="9"/>
  <c r="A1503" i="9"/>
  <c r="I1502" i="9"/>
  <c r="H1502" i="9"/>
  <c r="F1502" i="9"/>
  <c r="E1502" i="9"/>
  <c r="D1502" i="9"/>
  <c r="C1502" i="9"/>
  <c r="B1502" i="9"/>
  <c r="A1502" i="9"/>
  <c r="I1501" i="9"/>
  <c r="H1501" i="9"/>
  <c r="F1501" i="9"/>
  <c r="E1501" i="9"/>
  <c r="D1501" i="9"/>
  <c r="C1501" i="9"/>
  <c r="B1501" i="9"/>
  <c r="A1501" i="9"/>
  <c r="I1500" i="9"/>
  <c r="H1500" i="9"/>
  <c r="F1500" i="9"/>
  <c r="E1500" i="9"/>
  <c r="D1500" i="9"/>
  <c r="C1500" i="9"/>
  <c r="B1500" i="9"/>
  <c r="A1500" i="9"/>
  <c r="I1499" i="9"/>
  <c r="H1499" i="9"/>
  <c r="F1499" i="9"/>
  <c r="E1499" i="9"/>
  <c r="D1499" i="9"/>
  <c r="C1499" i="9"/>
  <c r="B1499" i="9"/>
  <c r="A1499" i="9"/>
  <c r="I1498" i="9"/>
  <c r="H1498" i="9"/>
  <c r="F1498" i="9"/>
  <c r="E1498" i="9"/>
  <c r="D1498" i="9"/>
  <c r="C1498" i="9"/>
  <c r="B1498" i="9"/>
  <c r="A1498" i="9"/>
  <c r="I1497" i="9"/>
  <c r="H1497" i="9"/>
  <c r="F1497" i="9"/>
  <c r="E1497" i="9"/>
  <c r="D1497" i="9"/>
  <c r="C1497" i="9"/>
  <c r="B1497" i="9"/>
  <c r="A1497" i="9"/>
  <c r="I1496" i="9"/>
  <c r="H1496" i="9"/>
  <c r="F1496" i="9"/>
  <c r="E1496" i="9"/>
  <c r="D1496" i="9"/>
  <c r="C1496" i="9"/>
  <c r="B1496" i="9"/>
  <c r="A1496" i="9"/>
  <c r="I1495" i="9"/>
  <c r="H1495" i="9"/>
  <c r="F1495" i="9"/>
  <c r="E1495" i="9"/>
  <c r="D1495" i="9"/>
  <c r="C1495" i="9"/>
  <c r="B1495" i="9"/>
  <c r="A1495" i="9"/>
  <c r="I1494" i="9"/>
  <c r="H1494" i="9"/>
  <c r="F1494" i="9"/>
  <c r="E1494" i="9"/>
  <c r="D1494" i="9"/>
  <c r="C1494" i="9"/>
  <c r="B1494" i="9"/>
  <c r="A1494" i="9"/>
  <c r="I1493" i="9"/>
  <c r="H1493" i="9"/>
  <c r="F1493" i="9"/>
  <c r="E1493" i="9"/>
  <c r="D1493" i="9"/>
  <c r="C1493" i="9"/>
  <c r="B1493" i="9"/>
  <c r="A1493" i="9"/>
  <c r="I1492" i="9"/>
  <c r="H1492" i="9"/>
  <c r="F1492" i="9"/>
  <c r="E1492" i="9"/>
  <c r="D1492" i="9"/>
  <c r="C1492" i="9"/>
  <c r="B1492" i="9"/>
  <c r="A1492" i="9"/>
  <c r="I1491" i="9"/>
  <c r="H1491" i="9"/>
  <c r="F1491" i="9"/>
  <c r="E1491" i="9"/>
  <c r="D1491" i="9"/>
  <c r="C1491" i="9"/>
  <c r="B1491" i="9"/>
  <c r="A1491" i="9"/>
  <c r="I1490" i="9"/>
  <c r="H1490" i="9"/>
  <c r="F1490" i="9"/>
  <c r="E1490" i="9"/>
  <c r="D1490" i="9"/>
  <c r="C1490" i="9"/>
  <c r="B1490" i="9"/>
  <c r="A1490" i="9"/>
  <c r="I1489" i="9"/>
  <c r="H1489" i="9"/>
  <c r="F1489" i="9"/>
  <c r="E1489" i="9"/>
  <c r="D1489" i="9"/>
  <c r="C1489" i="9"/>
  <c r="B1489" i="9"/>
  <c r="A1489" i="9"/>
  <c r="I1488" i="9"/>
  <c r="H1488" i="9"/>
  <c r="F1488" i="9"/>
  <c r="E1488" i="9"/>
  <c r="D1488" i="9"/>
  <c r="C1488" i="9"/>
  <c r="B1488" i="9"/>
  <c r="A1488" i="9"/>
  <c r="I1487" i="9"/>
  <c r="H1487" i="9"/>
  <c r="F1487" i="9"/>
  <c r="E1487" i="9"/>
  <c r="D1487" i="9"/>
  <c r="C1487" i="9"/>
  <c r="B1487" i="9"/>
  <c r="A1487" i="9"/>
  <c r="I1486" i="9"/>
  <c r="H1486" i="9"/>
  <c r="F1486" i="9"/>
  <c r="E1486" i="9"/>
  <c r="D1486" i="9"/>
  <c r="C1486" i="9"/>
  <c r="B1486" i="9"/>
  <c r="A1486" i="9"/>
  <c r="I1485" i="9"/>
  <c r="H1485" i="9"/>
  <c r="F1485" i="9"/>
  <c r="E1485" i="9"/>
  <c r="D1485" i="9"/>
  <c r="C1485" i="9"/>
  <c r="B1485" i="9"/>
  <c r="A1485" i="9"/>
  <c r="I1484" i="9"/>
  <c r="H1484" i="9"/>
  <c r="F1484" i="9"/>
  <c r="E1484" i="9"/>
  <c r="D1484" i="9"/>
  <c r="C1484" i="9"/>
  <c r="B1484" i="9"/>
  <c r="A1484" i="9"/>
  <c r="I1483" i="9"/>
  <c r="H1483" i="9"/>
  <c r="F1483" i="9"/>
  <c r="E1483" i="9"/>
  <c r="D1483" i="9"/>
  <c r="C1483" i="9"/>
  <c r="B1483" i="9"/>
  <c r="A1483" i="9"/>
  <c r="I1482" i="9"/>
  <c r="H1482" i="9"/>
  <c r="F1482" i="9"/>
  <c r="E1482" i="9"/>
  <c r="D1482" i="9"/>
  <c r="C1482" i="9"/>
  <c r="B1482" i="9"/>
  <c r="A1482" i="9"/>
  <c r="I1481" i="9"/>
  <c r="H1481" i="9"/>
  <c r="G1481" i="9"/>
  <c r="F1481" i="9"/>
  <c r="E1481" i="9"/>
  <c r="D1481" i="9"/>
  <c r="C1481" i="9"/>
  <c r="B1481" i="9"/>
  <c r="A1481" i="9"/>
  <c r="I1480" i="9"/>
  <c r="H1480" i="9"/>
  <c r="G1480" i="9"/>
  <c r="F1480" i="9"/>
  <c r="E1480" i="9"/>
  <c r="D1480" i="9"/>
  <c r="C1480" i="9"/>
  <c r="B1480" i="9"/>
  <c r="A1480" i="9"/>
  <c r="I1479" i="9"/>
  <c r="H1479" i="9"/>
  <c r="F1479" i="9"/>
  <c r="E1479" i="9"/>
  <c r="D1479" i="9"/>
  <c r="C1479" i="9"/>
  <c r="B1479" i="9"/>
  <c r="A1479" i="9"/>
  <c r="I1478" i="9"/>
  <c r="H1478" i="9"/>
  <c r="G1478" i="9"/>
  <c r="F1478" i="9"/>
  <c r="E1478" i="9"/>
  <c r="D1478" i="9"/>
  <c r="C1478" i="9"/>
  <c r="B1478" i="9"/>
  <c r="A1478" i="9"/>
  <c r="I1477" i="9"/>
  <c r="H1477" i="9"/>
  <c r="G1477" i="9"/>
  <c r="F1477" i="9"/>
  <c r="E1477" i="9"/>
  <c r="D1477" i="9"/>
  <c r="C1477" i="9"/>
  <c r="B1477" i="9"/>
  <c r="A1477" i="9"/>
  <c r="I1476" i="9"/>
  <c r="H1476" i="9"/>
  <c r="G1476" i="9"/>
  <c r="F1476" i="9"/>
  <c r="E1476" i="9"/>
  <c r="D1476" i="9"/>
  <c r="C1476" i="9"/>
  <c r="B1476" i="9"/>
  <c r="A1476" i="9"/>
  <c r="I1475" i="9"/>
  <c r="H1475" i="9"/>
  <c r="G1475" i="9"/>
  <c r="F1475" i="9"/>
  <c r="E1475" i="9"/>
  <c r="D1475" i="9"/>
  <c r="C1475" i="9"/>
  <c r="B1475" i="9"/>
  <c r="A1475" i="9"/>
  <c r="I1474" i="9"/>
  <c r="H1474" i="9"/>
  <c r="G1474" i="9"/>
  <c r="F1474" i="9"/>
  <c r="E1474" i="9"/>
  <c r="D1474" i="9"/>
  <c r="C1474" i="9"/>
  <c r="B1474" i="9"/>
  <c r="A1474" i="9"/>
  <c r="I1473" i="9"/>
  <c r="H1473" i="9"/>
  <c r="G1473" i="9"/>
  <c r="F1473" i="9"/>
  <c r="E1473" i="9"/>
  <c r="D1473" i="9"/>
  <c r="C1473" i="9"/>
  <c r="B1473" i="9"/>
  <c r="A1473" i="9"/>
  <c r="I1472" i="9"/>
  <c r="H1472" i="9"/>
  <c r="G1472" i="9"/>
  <c r="F1472" i="9"/>
  <c r="E1472" i="9"/>
  <c r="D1472" i="9"/>
  <c r="C1472" i="9"/>
  <c r="B1472" i="9"/>
  <c r="A1472" i="9"/>
  <c r="I1471" i="9"/>
  <c r="H1471" i="9"/>
  <c r="F1471" i="9"/>
  <c r="E1471" i="9"/>
  <c r="D1471" i="9"/>
  <c r="C1471" i="9"/>
  <c r="B1471" i="9"/>
  <c r="A1471" i="9"/>
  <c r="I1470" i="9"/>
  <c r="H1470" i="9"/>
  <c r="F1470" i="9"/>
  <c r="E1470" i="9"/>
  <c r="D1470" i="9"/>
  <c r="C1470" i="9"/>
  <c r="B1470" i="9"/>
  <c r="A1470" i="9"/>
  <c r="I1469" i="9"/>
  <c r="H1469" i="9"/>
  <c r="F1469" i="9"/>
  <c r="E1469" i="9"/>
  <c r="D1469" i="9"/>
  <c r="C1469" i="9"/>
  <c r="B1469" i="9"/>
  <c r="A1469" i="9"/>
  <c r="I1468" i="9"/>
  <c r="H1468" i="9"/>
  <c r="F1468" i="9"/>
  <c r="E1468" i="9"/>
  <c r="D1468" i="9"/>
  <c r="C1468" i="9"/>
  <c r="B1468" i="9"/>
  <c r="A1468" i="9"/>
  <c r="I1467" i="9"/>
  <c r="H1467" i="9"/>
  <c r="F1467" i="9"/>
  <c r="E1467" i="9"/>
  <c r="D1467" i="9"/>
  <c r="C1467" i="9"/>
  <c r="B1467" i="9"/>
  <c r="A1467" i="9"/>
  <c r="I1466" i="9"/>
  <c r="H1466" i="9"/>
  <c r="F1466" i="9"/>
  <c r="E1466" i="9"/>
  <c r="D1466" i="9"/>
  <c r="C1466" i="9"/>
  <c r="B1466" i="9"/>
  <c r="A1466" i="9"/>
  <c r="I1465" i="9"/>
  <c r="H1465" i="9"/>
  <c r="F1465" i="9"/>
  <c r="E1465" i="9"/>
  <c r="D1465" i="9"/>
  <c r="C1465" i="9"/>
  <c r="B1465" i="9"/>
  <c r="A1465" i="9"/>
  <c r="I1464" i="9"/>
  <c r="H1464" i="9"/>
  <c r="F1464" i="9"/>
  <c r="E1464" i="9"/>
  <c r="D1464" i="9"/>
  <c r="C1464" i="9"/>
  <c r="B1464" i="9"/>
  <c r="A1464" i="9"/>
  <c r="I1463" i="9"/>
  <c r="H1463" i="9"/>
  <c r="F1463" i="9"/>
  <c r="E1463" i="9"/>
  <c r="D1463" i="9"/>
  <c r="C1463" i="9"/>
  <c r="B1463" i="9"/>
  <c r="A1463" i="9"/>
  <c r="I1462" i="9"/>
  <c r="H1462" i="9"/>
  <c r="F1462" i="9"/>
  <c r="E1462" i="9"/>
  <c r="D1462" i="9"/>
  <c r="C1462" i="9"/>
  <c r="B1462" i="9"/>
  <c r="A1462" i="9"/>
  <c r="I1461" i="9"/>
  <c r="H1461" i="9"/>
  <c r="F1461" i="9"/>
  <c r="E1461" i="9"/>
  <c r="D1461" i="9"/>
  <c r="C1461" i="9"/>
  <c r="B1461" i="9"/>
  <c r="A1461" i="9"/>
  <c r="I1460" i="9"/>
  <c r="H1460" i="9"/>
  <c r="F1460" i="9"/>
  <c r="E1460" i="9"/>
  <c r="D1460" i="9"/>
  <c r="C1460" i="9"/>
  <c r="B1460" i="9"/>
  <c r="A1460" i="9"/>
  <c r="I1459" i="9"/>
  <c r="H1459" i="9"/>
  <c r="F1459" i="9"/>
  <c r="E1459" i="9"/>
  <c r="D1459" i="9"/>
  <c r="C1459" i="9"/>
  <c r="B1459" i="9"/>
  <c r="A1459" i="9"/>
  <c r="I1458" i="9"/>
  <c r="H1458" i="9"/>
  <c r="F1458" i="9"/>
  <c r="E1458" i="9"/>
  <c r="D1458" i="9"/>
  <c r="C1458" i="9"/>
  <c r="B1458" i="9"/>
  <c r="A1458" i="9"/>
  <c r="I1457" i="9"/>
  <c r="H1457" i="9"/>
  <c r="F1457" i="9"/>
  <c r="E1457" i="9"/>
  <c r="D1457" i="9"/>
  <c r="C1457" i="9"/>
  <c r="B1457" i="9"/>
  <c r="A1457" i="9"/>
  <c r="I1456" i="9"/>
  <c r="H1456" i="9"/>
  <c r="F1456" i="9"/>
  <c r="E1456" i="9"/>
  <c r="D1456" i="9"/>
  <c r="C1456" i="9"/>
  <c r="B1456" i="9"/>
  <c r="A1456" i="9"/>
  <c r="I1455" i="9"/>
  <c r="H1455" i="9"/>
  <c r="F1455" i="9"/>
  <c r="E1455" i="9"/>
  <c r="D1455" i="9"/>
  <c r="C1455" i="9"/>
  <c r="B1455" i="9"/>
  <c r="A1455" i="9"/>
  <c r="I1454" i="9"/>
  <c r="H1454" i="9"/>
  <c r="F1454" i="9"/>
  <c r="E1454" i="9"/>
  <c r="D1454" i="9"/>
  <c r="C1454" i="9"/>
  <c r="B1454" i="9"/>
  <c r="A1454" i="9"/>
  <c r="I1453" i="9"/>
  <c r="H1453" i="9"/>
  <c r="G1453" i="9"/>
  <c r="F1453" i="9"/>
  <c r="E1453" i="9"/>
  <c r="D1453" i="9"/>
  <c r="C1453" i="9"/>
  <c r="B1453" i="9"/>
  <c r="A1453" i="9"/>
  <c r="I1452" i="9"/>
  <c r="H1452" i="9"/>
  <c r="F1452" i="9"/>
  <c r="E1452" i="9"/>
  <c r="D1452" i="9"/>
  <c r="C1452" i="9"/>
  <c r="B1452" i="9"/>
  <c r="A1452" i="9"/>
  <c r="I1451" i="9"/>
  <c r="H1451" i="9"/>
  <c r="F1451" i="9"/>
  <c r="E1451" i="9"/>
  <c r="D1451" i="9"/>
  <c r="C1451" i="9"/>
  <c r="B1451" i="9"/>
  <c r="A1451" i="9"/>
  <c r="I1450" i="9"/>
  <c r="H1450" i="9"/>
  <c r="F1450" i="9"/>
  <c r="E1450" i="9"/>
  <c r="D1450" i="9"/>
  <c r="C1450" i="9"/>
  <c r="B1450" i="9"/>
  <c r="A1450" i="9"/>
  <c r="I1449" i="9"/>
  <c r="H1449" i="9"/>
  <c r="F1449" i="9"/>
  <c r="E1449" i="9"/>
  <c r="D1449" i="9"/>
  <c r="C1449" i="9"/>
  <c r="B1449" i="9"/>
  <c r="A1449" i="9"/>
  <c r="I1448" i="9"/>
  <c r="H1448" i="9"/>
  <c r="F1448" i="9"/>
  <c r="E1448" i="9"/>
  <c r="D1448" i="9"/>
  <c r="C1448" i="9"/>
  <c r="B1448" i="9"/>
  <c r="A1448" i="9"/>
  <c r="I1447" i="9"/>
  <c r="H1447" i="9"/>
  <c r="F1447" i="9"/>
  <c r="E1447" i="9"/>
  <c r="D1447" i="9"/>
  <c r="C1447" i="9"/>
  <c r="B1447" i="9"/>
  <c r="A1447" i="9"/>
  <c r="I1446" i="9"/>
  <c r="H1446" i="9"/>
  <c r="F1446" i="9"/>
  <c r="E1446" i="9"/>
  <c r="D1446" i="9"/>
  <c r="C1446" i="9"/>
  <c r="B1446" i="9"/>
  <c r="A1446" i="9"/>
  <c r="I1445" i="9"/>
  <c r="H1445" i="9"/>
  <c r="F1445" i="9"/>
  <c r="E1445" i="9"/>
  <c r="D1445" i="9"/>
  <c r="C1445" i="9"/>
  <c r="B1445" i="9"/>
  <c r="A1445" i="9"/>
  <c r="I1444" i="9"/>
  <c r="H1444" i="9"/>
  <c r="F1444" i="9"/>
  <c r="E1444" i="9"/>
  <c r="D1444" i="9"/>
  <c r="C1444" i="9"/>
  <c r="B1444" i="9"/>
  <c r="A1444" i="9"/>
  <c r="I1443" i="9"/>
  <c r="H1443" i="9"/>
  <c r="F1443" i="9"/>
  <c r="E1443" i="9"/>
  <c r="D1443" i="9"/>
  <c r="C1443" i="9"/>
  <c r="B1443" i="9"/>
  <c r="A1443" i="9"/>
  <c r="I1442" i="9"/>
  <c r="H1442" i="9"/>
  <c r="F1442" i="9"/>
  <c r="E1442" i="9"/>
  <c r="D1442" i="9"/>
  <c r="C1442" i="9"/>
  <c r="B1442" i="9"/>
  <c r="A1442" i="9"/>
  <c r="I1441" i="9"/>
  <c r="H1441" i="9"/>
  <c r="F1441" i="9"/>
  <c r="E1441" i="9"/>
  <c r="D1441" i="9"/>
  <c r="C1441" i="9"/>
  <c r="B1441" i="9"/>
  <c r="A1441" i="9"/>
  <c r="I1440" i="9"/>
  <c r="H1440" i="9"/>
  <c r="F1440" i="9"/>
  <c r="E1440" i="9"/>
  <c r="D1440" i="9"/>
  <c r="C1440" i="9"/>
  <c r="B1440" i="9"/>
  <c r="A1440" i="9"/>
  <c r="I1439" i="9"/>
  <c r="H1439" i="9"/>
  <c r="F1439" i="9"/>
  <c r="E1439" i="9"/>
  <c r="D1439" i="9"/>
  <c r="C1439" i="9"/>
  <c r="B1439" i="9"/>
  <c r="A1439" i="9"/>
  <c r="I1438" i="9"/>
  <c r="H1438" i="9"/>
  <c r="F1438" i="9"/>
  <c r="E1438" i="9"/>
  <c r="D1438" i="9"/>
  <c r="C1438" i="9"/>
  <c r="B1438" i="9"/>
  <c r="A1438" i="9"/>
  <c r="I1437" i="9"/>
  <c r="H1437" i="9"/>
  <c r="F1437" i="9"/>
  <c r="E1437" i="9"/>
  <c r="D1437" i="9"/>
  <c r="C1437" i="9"/>
  <c r="B1437" i="9"/>
  <c r="A1437" i="9"/>
  <c r="I1436" i="9"/>
  <c r="H1436" i="9"/>
  <c r="F1436" i="9"/>
  <c r="E1436" i="9"/>
  <c r="D1436" i="9"/>
  <c r="C1436" i="9"/>
  <c r="B1436" i="9"/>
  <c r="A1436" i="9"/>
  <c r="I1435" i="9"/>
  <c r="H1435" i="9"/>
  <c r="F1435" i="9"/>
  <c r="E1435" i="9"/>
  <c r="D1435" i="9"/>
  <c r="C1435" i="9"/>
  <c r="B1435" i="9"/>
  <c r="A1435" i="9"/>
  <c r="I1434" i="9"/>
  <c r="H1434" i="9"/>
  <c r="F1434" i="9"/>
  <c r="E1434" i="9"/>
  <c r="D1434" i="9"/>
  <c r="C1434" i="9"/>
  <c r="B1434" i="9"/>
  <c r="A1434" i="9"/>
  <c r="I1433" i="9"/>
  <c r="H1433" i="9"/>
  <c r="F1433" i="9"/>
  <c r="E1433" i="9"/>
  <c r="D1433" i="9"/>
  <c r="C1433" i="9"/>
  <c r="B1433" i="9"/>
  <c r="A1433" i="9"/>
  <c r="I1432" i="9"/>
  <c r="H1432" i="9"/>
  <c r="F1432" i="9"/>
  <c r="E1432" i="9"/>
  <c r="D1432" i="9"/>
  <c r="C1432" i="9"/>
  <c r="B1432" i="9"/>
  <c r="A1432" i="9"/>
  <c r="I1431" i="9"/>
  <c r="H1431" i="9"/>
  <c r="F1431" i="9"/>
  <c r="E1431" i="9"/>
  <c r="D1431" i="9"/>
  <c r="C1431" i="9"/>
  <c r="B1431" i="9"/>
  <c r="A1431" i="9"/>
  <c r="I1430" i="9"/>
  <c r="H1430" i="9"/>
  <c r="F1430" i="9"/>
  <c r="E1430" i="9"/>
  <c r="D1430" i="9"/>
  <c r="C1430" i="9"/>
  <c r="B1430" i="9"/>
  <c r="A1430" i="9"/>
  <c r="I1429" i="9"/>
  <c r="H1429" i="9"/>
  <c r="F1429" i="9"/>
  <c r="E1429" i="9"/>
  <c r="D1429" i="9"/>
  <c r="C1429" i="9"/>
  <c r="B1429" i="9"/>
  <c r="A1429" i="9"/>
  <c r="I1428" i="9"/>
  <c r="H1428" i="9"/>
  <c r="F1428" i="9"/>
  <c r="E1428" i="9"/>
  <c r="D1428" i="9"/>
  <c r="C1428" i="9"/>
  <c r="B1428" i="9"/>
  <c r="A1428" i="9"/>
  <c r="I1427" i="9"/>
  <c r="H1427" i="9"/>
  <c r="F1427" i="9"/>
  <c r="E1427" i="9"/>
  <c r="D1427" i="9"/>
  <c r="C1427" i="9"/>
  <c r="B1427" i="9"/>
  <c r="A1427" i="9"/>
  <c r="I1426" i="9"/>
  <c r="H1426" i="9"/>
  <c r="F1426" i="9"/>
  <c r="E1426" i="9"/>
  <c r="D1426" i="9"/>
  <c r="C1426" i="9"/>
  <c r="B1426" i="9"/>
  <c r="A1426" i="9"/>
  <c r="I1425" i="9"/>
  <c r="H1425" i="9"/>
  <c r="F1425" i="9"/>
  <c r="E1425" i="9"/>
  <c r="D1425" i="9"/>
  <c r="C1425" i="9"/>
  <c r="B1425" i="9"/>
  <c r="A1425" i="9"/>
  <c r="I1424" i="9"/>
  <c r="H1424" i="9"/>
  <c r="F1424" i="9"/>
  <c r="E1424" i="9"/>
  <c r="D1424" i="9"/>
  <c r="C1424" i="9"/>
  <c r="B1424" i="9"/>
  <c r="A1424" i="9"/>
  <c r="I1423" i="9"/>
  <c r="H1423" i="9"/>
  <c r="G1423" i="9"/>
  <c r="F1423" i="9"/>
  <c r="E1423" i="9"/>
  <c r="D1423" i="9"/>
  <c r="C1423" i="9"/>
  <c r="B1423" i="9"/>
  <c r="A1423" i="9"/>
  <c r="I1422" i="9"/>
  <c r="H1422" i="9"/>
  <c r="F1422" i="9"/>
  <c r="E1422" i="9"/>
  <c r="D1422" i="9"/>
  <c r="C1422" i="9"/>
  <c r="B1422" i="9"/>
  <c r="A1422" i="9"/>
  <c r="I1421" i="9"/>
  <c r="H1421" i="9"/>
  <c r="F1421" i="9"/>
  <c r="E1421" i="9"/>
  <c r="D1421" i="9"/>
  <c r="C1421" i="9"/>
  <c r="B1421" i="9"/>
  <c r="A1421" i="9"/>
  <c r="I1420" i="9"/>
  <c r="H1420" i="9"/>
  <c r="F1420" i="9"/>
  <c r="E1420" i="9"/>
  <c r="D1420" i="9"/>
  <c r="C1420" i="9"/>
  <c r="B1420" i="9"/>
  <c r="A1420" i="9"/>
  <c r="I1419" i="9"/>
  <c r="H1419" i="9"/>
  <c r="G1419" i="9"/>
  <c r="F1419" i="9"/>
  <c r="E1419" i="9"/>
  <c r="D1419" i="9"/>
  <c r="C1419" i="9"/>
  <c r="B1419" i="9"/>
  <c r="A1419" i="9"/>
  <c r="I1418" i="9"/>
  <c r="H1418" i="9"/>
  <c r="G1418" i="9"/>
  <c r="F1418" i="9"/>
  <c r="E1418" i="9"/>
  <c r="D1418" i="9"/>
  <c r="C1418" i="9"/>
  <c r="B1418" i="9"/>
  <c r="A1418" i="9"/>
  <c r="I1417" i="9"/>
  <c r="H1417" i="9"/>
  <c r="F1417" i="9"/>
  <c r="E1417" i="9"/>
  <c r="D1417" i="9"/>
  <c r="C1417" i="9"/>
  <c r="B1417" i="9"/>
  <c r="A1417" i="9"/>
  <c r="I1416" i="9"/>
  <c r="H1416" i="9"/>
  <c r="F1416" i="9"/>
  <c r="E1416" i="9"/>
  <c r="D1416" i="9"/>
  <c r="C1416" i="9"/>
  <c r="B1416" i="9"/>
  <c r="A1416" i="9"/>
  <c r="I1415" i="9"/>
  <c r="H1415" i="9"/>
  <c r="F1415" i="9"/>
  <c r="E1415" i="9"/>
  <c r="D1415" i="9"/>
  <c r="C1415" i="9"/>
  <c r="B1415" i="9"/>
  <c r="A1415" i="9"/>
  <c r="I1414" i="9"/>
  <c r="H1414" i="9"/>
  <c r="F1414" i="9"/>
  <c r="E1414" i="9"/>
  <c r="D1414" i="9"/>
  <c r="C1414" i="9"/>
  <c r="B1414" i="9"/>
  <c r="A1414" i="9"/>
  <c r="I1413" i="9"/>
  <c r="H1413" i="9"/>
  <c r="F1413" i="9"/>
  <c r="E1413" i="9"/>
  <c r="D1413" i="9"/>
  <c r="C1413" i="9"/>
  <c r="B1413" i="9"/>
  <c r="A1413" i="9"/>
  <c r="I1412" i="9"/>
  <c r="H1412" i="9"/>
  <c r="F1412" i="9"/>
  <c r="E1412" i="9"/>
  <c r="D1412" i="9"/>
  <c r="C1412" i="9"/>
  <c r="B1412" i="9"/>
  <c r="A1412" i="9"/>
  <c r="I1411" i="9"/>
  <c r="H1411" i="9"/>
  <c r="F1411" i="9"/>
  <c r="E1411" i="9"/>
  <c r="D1411" i="9"/>
  <c r="C1411" i="9"/>
  <c r="B1411" i="9"/>
  <c r="A1411" i="9"/>
  <c r="I1410" i="9"/>
  <c r="H1410" i="9"/>
  <c r="F1410" i="9"/>
  <c r="E1410" i="9"/>
  <c r="D1410" i="9"/>
  <c r="C1410" i="9"/>
  <c r="B1410" i="9"/>
  <c r="A1410" i="9"/>
  <c r="I1409" i="9"/>
  <c r="H1409" i="9"/>
  <c r="F1409" i="9"/>
  <c r="E1409" i="9"/>
  <c r="D1409" i="9"/>
  <c r="C1409" i="9"/>
  <c r="B1409" i="9"/>
  <c r="A1409" i="9"/>
  <c r="I1408" i="9"/>
  <c r="H1408" i="9"/>
  <c r="G1408" i="9"/>
  <c r="F1408" i="9"/>
  <c r="E1408" i="9"/>
  <c r="D1408" i="9"/>
  <c r="C1408" i="9"/>
  <c r="B1408" i="9"/>
  <c r="A1408" i="9"/>
  <c r="I1407" i="9"/>
  <c r="H1407" i="9"/>
  <c r="F1407" i="9"/>
  <c r="E1407" i="9"/>
  <c r="D1407" i="9"/>
  <c r="C1407" i="9"/>
  <c r="B1407" i="9"/>
  <c r="A1407" i="9"/>
  <c r="I1406" i="9"/>
  <c r="H1406" i="9"/>
  <c r="F1406" i="9"/>
  <c r="E1406" i="9"/>
  <c r="D1406" i="9"/>
  <c r="C1406" i="9"/>
  <c r="B1406" i="9"/>
  <c r="A1406" i="9"/>
  <c r="I1405" i="9"/>
  <c r="H1405" i="9"/>
  <c r="F1405" i="9"/>
  <c r="E1405" i="9"/>
  <c r="D1405" i="9"/>
  <c r="C1405" i="9"/>
  <c r="B1405" i="9"/>
  <c r="A1405" i="9"/>
  <c r="I1404" i="9"/>
  <c r="H1404" i="9"/>
  <c r="F1404" i="9"/>
  <c r="E1404" i="9"/>
  <c r="D1404" i="9"/>
  <c r="C1404" i="9"/>
  <c r="B1404" i="9"/>
  <c r="A1404" i="9"/>
  <c r="I1403" i="9"/>
  <c r="H1403" i="9"/>
  <c r="F1403" i="9"/>
  <c r="E1403" i="9"/>
  <c r="D1403" i="9"/>
  <c r="C1403" i="9"/>
  <c r="B1403" i="9"/>
  <c r="A1403" i="9"/>
  <c r="I1402" i="9"/>
  <c r="H1402" i="9"/>
  <c r="G1402" i="9"/>
  <c r="F1402" i="9"/>
  <c r="E1402" i="9"/>
  <c r="D1402" i="9"/>
  <c r="C1402" i="9"/>
  <c r="B1402" i="9"/>
  <c r="A1402" i="9"/>
  <c r="I1401" i="9"/>
  <c r="H1401" i="9"/>
  <c r="G1401" i="9"/>
  <c r="F1401" i="9"/>
  <c r="E1401" i="9"/>
  <c r="D1401" i="9"/>
  <c r="C1401" i="9"/>
  <c r="B1401" i="9"/>
  <c r="A1401" i="9"/>
  <c r="I1400" i="9"/>
  <c r="H1400" i="9"/>
  <c r="G1400" i="9"/>
  <c r="F1400" i="9"/>
  <c r="E1400" i="9"/>
  <c r="D1400" i="9"/>
  <c r="C1400" i="9"/>
  <c r="B1400" i="9"/>
  <c r="A1400" i="9"/>
  <c r="I1399" i="9"/>
  <c r="H1399" i="9"/>
  <c r="G1399" i="9"/>
  <c r="F1399" i="9"/>
  <c r="E1399" i="9"/>
  <c r="D1399" i="9"/>
  <c r="C1399" i="9"/>
  <c r="B1399" i="9"/>
  <c r="A1399" i="9"/>
  <c r="I1398" i="9"/>
  <c r="H1398" i="9"/>
  <c r="F1398" i="9"/>
  <c r="E1398" i="9"/>
  <c r="D1398" i="9"/>
  <c r="C1398" i="9"/>
  <c r="B1398" i="9"/>
  <c r="A1398" i="9"/>
  <c r="I1397" i="9"/>
  <c r="H1397" i="9"/>
  <c r="F1397" i="9"/>
  <c r="E1397" i="9"/>
  <c r="D1397" i="9"/>
  <c r="C1397" i="9"/>
  <c r="B1397" i="9"/>
  <c r="A1397" i="9"/>
  <c r="I1396" i="9"/>
  <c r="H1396" i="9"/>
  <c r="F1396" i="9"/>
  <c r="E1396" i="9"/>
  <c r="D1396" i="9"/>
  <c r="C1396" i="9"/>
  <c r="B1396" i="9"/>
  <c r="A1396" i="9"/>
  <c r="I1395" i="9"/>
  <c r="H1395" i="9"/>
  <c r="G1395" i="9"/>
  <c r="F1395" i="9"/>
  <c r="E1395" i="9"/>
  <c r="D1395" i="9"/>
  <c r="C1395" i="9"/>
  <c r="B1395" i="9"/>
  <c r="A1395" i="9"/>
  <c r="I1394" i="9"/>
  <c r="H1394" i="9"/>
  <c r="G1394" i="9"/>
  <c r="F1394" i="9"/>
  <c r="E1394" i="9"/>
  <c r="D1394" i="9"/>
  <c r="C1394" i="9"/>
  <c r="B1394" i="9"/>
  <c r="A1394" i="9"/>
  <c r="I1393" i="9"/>
  <c r="H1393" i="9"/>
  <c r="F1393" i="9"/>
  <c r="E1393" i="9"/>
  <c r="D1393" i="9"/>
  <c r="C1393" i="9"/>
  <c r="B1393" i="9"/>
  <c r="A1393" i="9"/>
  <c r="I1392" i="9"/>
  <c r="H1392" i="9"/>
  <c r="F1392" i="9"/>
  <c r="E1392" i="9"/>
  <c r="D1392" i="9"/>
  <c r="C1392" i="9"/>
  <c r="B1392" i="9"/>
  <c r="A1392" i="9"/>
  <c r="I1391" i="9"/>
  <c r="H1391" i="9"/>
  <c r="G1391" i="9"/>
  <c r="F1391" i="9"/>
  <c r="E1391" i="9"/>
  <c r="D1391" i="9"/>
  <c r="C1391" i="9"/>
  <c r="B1391" i="9"/>
  <c r="A1391" i="9"/>
  <c r="I1390" i="9"/>
  <c r="H1390" i="9"/>
  <c r="G1390" i="9"/>
  <c r="F1390" i="9"/>
  <c r="E1390" i="9"/>
  <c r="D1390" i="9"/>
  <c r="C1390" i="9"/>
  <c r="B1390" i="9"/>
  <c r="A1390" i="9"/>
  <c r="I1389" i="9"/>
  <c r="H1389" i="9"/>
  <c r="F1389" i="9"/>
  <c r="E1389" i="9"/>
  <c r="D1389" i="9"/>
  <c r="C1389" i="9"/>
  <c r="B1389" i="9"/>
  <c r="A1389" i="9"/>
  <c r="I1388" i="9"/>
  <c r="H1388" i="9"/>
  <c r="F1388" i="9"/>
  <c r="E1388" i="9"/>
  <c r="D1388" i="9"/>
  <c r="C1388" i="9"/>
  <c r="B1388" i="9"/>
  <c r="A1388" i="9"/>
  <c r="I1387" i="9"/>
  <c r="H1387" i="9"/>
  <c r="F1387" i="9"/>
  <c r="E1387" i="9"/>
  <c r="D1387" i="9"/>
  <c r="C1387" i="9"/>
  <c r="B1387" i="9"/>
  <c r="A1387" i="9"/>
  <c r="I1386" i="9"/>
  <c r="H1386" i="9"/>
  <c r="F1386" i="9"/>
  <c r="E1386" i="9"/>
  <c r="D1386" i="9"/>
  <c r="C1386" i="9"/>
  <c r="B1386" i="9"/>
  <c r="A1386" i="9"/>
  <c r="I1385" i="9"/>
  <c r="H1385" i="9"/>
  <c r="F1385" i="9"/>
  <c r="E1385" i="9"/>
  <c r="D1385" i="9"/>
  <c r="C1385" i="9"/>
  <c r="B1385" i="9"/>
  <c r="A1385" i="9"/>
  <c r="I1384" i="9"/>
  <c r="H1384" i="9"/>
  <c r="F1384" i="9"/>
  <c r="E1384" i="9"/>
  <c r="D1384" i="9"/>
  <c r="C1384" i="9"/>
  <c r="B1384" i="9"/>
  <c r="A1384" i="9"/>
  <c r="I1383" i="9"/>
  <c r="H1383" i="9"/>
  <c r="F1383" i="9"/>
  <c r="E1383" i="9"/>
  <c r="D1383" i="9"/>
  <c r="C1383" i="9"/>
  <c r="B1383" i="9"/>
  <c r="A1383" i="9"/>
  <c r="I1382" i="9"/>
  <c r="H1382" i="9"/>
  <c r="F1382" i="9"/>
  <c r="E1382" i="9"/>
  <c r="D1382" i="9"/>
  <c r="C1382" i="9"/>
  <c r="B1382" i="9"/>
  <c r="A1382" i="9"/>
  <c r="I1381" i="9"/>
  <c r="H1381" i="9"/>
  <c r="F1381" i="9"/>
  <c r="E1381" i="9"/>
  <c r="D1381" i="9"/>
  <c r="C1381" i="9"/>
  <c r="B1381" i="9"/>
  <c r="A1381" i="9"/>
  <c r="I1380" i="9"/>
  <c r="H1380" i="9"/>
  <c r="F1380" i="9"/>
  <c r="E1380" i="9"/>
  <c r="D1380" i="9"/>
  <c r="C1380" i="9"/>
  <c r="B1380" i="9"/>
  <c r="A1380" i="9"/>
  <c r="I1379" i="9"/>
  <c r="H1379" i="9"/>
  <c r="F1379" i="9"/>
  <c r="E1379" i="9"/>
  <c r="D1379" i="9"/>
  <c r="C1379" i="9"/>
  <c r="B1379" i="9"/>
  <c r="A1379" i="9"/>
  <c r="I1378" i="9"/>
  <c r="H1378" i="9"/>
  <c r="F1378" i="9"/>
  <c r="E1378" i="9"/>
  <c r="D1378" i="9"/>
  <c r="C1378" i="9"/>
  <c r="B1378" i="9"/>
  <c r="A1378" i="9"/>
  <c r="I1377" i="9"/>
  <c r="H1377" i="9"/>
  <c r="F1377" i="9"/>
  <c r="E1377" i="9"/>
  <c r="D1377" i="9"/>
  <c r="C1377" i="9"/>
  <c r="B1377" i="9"/>
  <c r="A1377" i="9"/>
  <c r="I1376" i="9"/>
  <c r="H1376" i="9"/>
  <c r="F1376" i="9"/>
  <c r="E1376" i="9"/>
  <c r="D1376" i="9"/>
  <c r="C1376" i="9"/>
  <c r="B1376" i="9"/>
  <c r="A1376" i="9"/>
  <c r="I1375" i="9"/>
  <c r="H1375" i="9"/>
  <c r="F1375" i="9"/>
  <c r="E1375" i="9"/>
  <c r="D1375" i="9"/>
  <c r="C1375" i="9"/>
  <c r="B1375" i="9"/>
  <c r="A1375" i="9"/>
  <c r="I1374" i="9"/>
  <c r="H1374" i="9"/>
  <c r="F1374" i="9"/>
  <c r="E1374" i="9"/>
  <c r="D1374" i="9"/>
  <c r="C1374" i="9"/>
  <c r="B1374" i="9"/>
  <c r="A1374" i="9"/>
  <c r="I1373" i="9"/>
  <c r="H1373" i="9"/>
  <c r="F1373" i="9"/>
  <c r="E1373" i="9"/>
  <c r="D1373" i="9"/>
  <c r="C1373" i="9"/>
  <c r="B1373" i="9"/>
  <c r="A1373" i="9"/>
  <c r="I1372" i="9"/>
  <c r="H1372" i="9"/>
  <c r="F1372" i="9"/>
  <c r="E1372" i="9"/>
  <c r="D1372" i="9"/>
  <c r="C1372" i="9"/>
  <c r="B1372" i="9"/>
  <c r="A1372" i="9"/>
  <c r="I1371" i="9"/>
  <c r="H1371" i="9"/>
  <c r="F1371" i="9"/>
  <c r="E1371" i="9"/>
  <c r="D1371" i="9"/>
  <c r="C1371" i="9"/>
  <c r="B1371" i="9"/>
  <c r="A1371" i="9"/>
  <c r="I1370" i="9"/>
  <c r="H1370" i="9"/>
  <c r="F1370" i="9"/>
  <c r="E1370" i="9"/>
  <c r="D1370" i="9"/>
  <c r="C1370" i="9"/>
  <c r="B1370" i="9"/>
  <c r="A1370" i="9"/>
  <c r="I1369" i="9"/>
  <c r="H1369" i="9"/>
  <c r="F1369" i="9"/>
  <c r="E1369" i="9"/>
  <c r="D1369" i="9"/>
  <c r="C1369" i="9"/>
  <c r="B1369" i="9"/>
  <c r="A1369" i="9"/>
  <c r="I1368" i="9"/>
  <c r="H1368" i="9"/>
  <c r="F1368" i="9"/>
  <c r="E1368" i="9"/>
  <c r="D1368" i="9"/>
  <c r="C1368" i="9"/>
  <c r="B1368" i="9"/>
  <c r="A1368" i="9"/>
  <c r="I1367" i="9"/>
  <c r="H1367" i="9"/>
  <c r="F1367" i="9"/>
  <c r="E1367" i="9"/>
  <c r="D1367" i="9"/>
  <c r="C1367" i="9"/>
  <c r="B1367" i="9"/>
  <c r="A1367" i="9"/>
  <c r="I1366" i="9"/>
  <c r="H1366" i="9"/>
  <c r="F1366" i="9"/>
  <c r="E1366" i="9"/>
  <c r="D1366" i="9"/>
  <c r="C1366" i="9"/>
  <c r="B1366" i="9"/>
  <c r="A1366" i="9"/>
  <c r="I1365" i="9"/>
  <c r="H1365" i="9"/>
  <c r="F1365" i="9"/>
  <c r="E1365" i="9"/>
  <c r="D1365" i="9"/>
  <c r="C1365" i="9"/>
  <c r="B1365" i="9"/>
  <c r="A1365" i="9"/>
  <c r="I1364" i="9"/>
  <c r="H1364" i="9"/>
  <c r="F1364" i="9"/>
  <c r="E1364" i="9"/>
  <c r="D1364" i="9"/>
  <c r="C1364" i="9"/>
  <c r="B1364" i="9"/>
  <c r="A1364" i="9"/>
  <c r="I1363" i="9"/>
  <c r="H1363" i="9"/>
  <c r="F1363" i="9"/>
  <c r="E1363" i="9"/>
  <c r="D1363" i="9"/>
  <c r="C1363" i="9"/>
  <c r="B1363" i="9"/>
  <c r="A1363" i="9"/>
  <c r="I1362" i="9"/>
  <c r="H1362" i="9"/>
  <c r="F1362" i="9"/>
  <c r="E1362" i="9"/>
  <c r="D1362" i="9"/>
  <c r="C1362" i="9"/>
  <c r="B1362" i="9"/>
  <c r="A1362" i="9"/>
  <c r="I1361" i="9"/>
  <c r="H1361" i="9"/>
  <c r="F1361" i="9"/>
  <c r="E1361" i="9"/>
  <c r="D1361" i="9"/>
  <c r="C1361" i="9"/>
  <c r="B1361" i="9"/>
  <c r="A1361" i="9"/>
  <c r="I1360" i="9"/>
  <c r="H1360" i="9"/>
  <c r="F1360" i="9"/>
  <c r="E1360" i="9"/>
  <c r="D1360" i="9"/>
  <c r="C1360" i="9"/>
  <c r="B1360" i="9"/>
  <c r="A1360" i="9"/>
  <c r="I1359" i="9"/>
  <c r="H1359" i="9"/>
  <c r="F1359" i="9"/>
  <c r="E1359" i="9"/>
  <c r="D1359" i="9"/>
  <c r="C1359" i="9"/>
  <c r="B1359" i="9"/>
  <c r="A1359" i="9"/>
  <c r="I1358" i="9"/>
  <c r="H1358" i="9"/>
  <c r="F1358" i="9"/>
  <c r="E1358" i="9"/>
  <c r="D1358" i="9"/>
  <c r="C1358" i="9"/>
  <c r="B1358" i="9"/>
  <c r="A1358" i="9"/>
  <c r="I1357" i="9"/>
  <c r="H1357" i="9"/>
  <c r="F1357" i="9"/>
  <c r="E1357" i="9"/>
  <c r="D1357" i="9"/>
  <c r="C1357" i="9"/>
  <c r="B1357" i="9"/>
  <c r="A1357" i="9"/>
  <c r="I1356" i="9"/>
  <c r="H1356" i="9"/>
  <c r="F1356" i="9"/>
  <c r="E1356" i="9"/>
  <c r="D1356" i="9"/>
  <c r="C1356" i="9"/>
  <c r="B1356" i="9"/>
  <c r="A1356" i="9"/>
  <c r="I1355" i="9"/>
  <c r="H1355" i="9"/>
  <c r="F1355" i="9"/>
  <c r="E1355" i="9"/>
  <c r="D1355" i="9"/>
  <c r="C1355" i="9"/>
  <c r="B1355" i="9"/>
  <c r="A1355" i="9"/>
  <c r="I1354" i="9"/>
  <c r="H1354" i="9"/>
  <c r="F1354" i="9"/>
  <c r="E1354" i="9"/>
  <c r="D1354" i="9"/>
  <c r="C1354" i="9"/>
  <c r="B1354" i="9"/>
  <c r="A1354" i="9"/>
  <c r="I1353" i="9"/>
  <c r="H1353" i="9"/>
  <c r="F1353" i="9"/>
  <c r="E1353" i="9"/>
  <c r="D1353" i="9"/>
  <c r="C1353" i="9"/>
  <c r="B1353" i="9"/>
  <c r="A1353" i="9"/>
  <c r="I1352" i="9"/>
  <c r="H1352" i="9"/>
  <c r="F1352" i="9"/>
  <c r="E1352" i="9"/>
  <c r="D1352" i="9"/>
  <c r="C1352" i="9"/>
  <c r="B1352" i="9"/>
  <c r="A1352" i="9"/>
  <c r="I1351" i="9"/>
  <c r="H1351" i="9"/>
  <c r="F1351" i="9"/>
  <c r="E1351" i="9"/>
  <c r="D1351" i="9"/>
  <c r="C1351" i="9"/>
  <c r="B1351" i="9"/>
  <c r="A1351" i="9"/>
  <c r="I1350" i="9"/>
  <c r="H1350" i="9"/>
  <c r="F1350" i="9"/>
  <c r="E1350" i="9"/>
  <c r="D1350" i="9"/>
  <c r="C1350" i="9"/>
  <c r="B1350" i="9"/>
  <c r="A1350" i="9"/>
  <c r="I1349" i="9"/>
  <c r="H1349" i="9"/>
  <c r="F1349" i="9"/>
  <c r="E1349" i="9"/>
  <c r="D1349" i="9"/>
  <c r="C1349" i="9"/>
  <c r="B1349" i="9"/>
  <c r="A1349" i="9"/>
  <c r="I1348" i="9"/>
  <c r="H1348" i="9"/>
  <c r="F1348" i="9"/>
  <c r="E1348" i="9"/>
  <c r="D1348" i="9"/>
  <c r="C1348" i="9"/>
  <c r="B1348" i="9"/>
  <c r="A1348" i="9"/>
  <c r="I1347" i="9"/>
  <c r="H1347" i="9"/>
  <c r="F1347" i="9"/>
  <c r="E1347" i="9"/>
  <c r="D1347" i="9"/>
  <c r="C1347" i="9"/>
  <c r="B1347" i="9"/>
  <c r="A1347" i="9"/>
  <c r="I1346" i="9"/>
  <c r="H1346" i="9"/>
  <c r="F1346" i="9"/>
  <c r="E1346" i="9"/>
  <c r="D1346" i="9"/>
  <c r="C1346" i="9"/>
  <c r="B1346" i="9"/>
  <c r="A1346" i="9"/>
  <c r="I1345" i="9"/>
  <c r="H1345" i="9"/>
  <c r="F1345" i="9"/>
  <c r="E1345" i="9"/>
  <c r="D1345" i="9"/>
  <c r="C1345" i="9"/>
  <c r="B1345" i="9"/>
  <c r="A1345" i="9"/>
  <c r="I1344" i="9"/>
  <c r="H1344" i="9"/>
  <c r="F1344" i="9"/>
  <c r="E1344" i="9"/>
  <c r="D1344" i="9"/>
  <c r="C1344" i="9"/>
  <c r="B1344" i="9"/>
  <c r="A1344" i="9"/>
  <c r="I1343" i="9"/>
  <c r="H1343" i="9"/>
  <c r="F1343" i="9"/>
  <c r="E1343" i="9"/>
  <c r="D1343" i="9"/>
  <c r="C1343" i="9"/>
  <c r="B1343" i="9"/>
  <c r="A1343" i="9"/>
  <c r="I1342" i="9"/>
  <c r="H1342" i="9"/>
  <c r="F1342" i="9"/>
  <c r="E1342" i="9"/>
  <c r="D1342" i="9"/>
  <c r="C1342" i="9"/>
  <c r="B1342" i="9"/>
  <c r="A1342" i="9"/>
  <c r="I1341" i="9"/>
  <c r="H1341" i="9"/>
  <c r="F1341" i="9"/>
  <c r="E1341" i="9"/>
  <c r="D1341" i="9"/>
  <c r="C1341" i="9"/>
  <c r="B1341" i="9"/>
  <c r="A1341" i="9"/>
  <c r="I1340" i="9"/>
  <c r="H1340" i="9"/>
  <c r="F1340" i="9"/>
  <c r="E1340" i="9"/>
  <c r="D1340" i="9"/>
  <c r="C1340" i="9"/>
  <c r="B1340" i="9"/>
  <c r="A1340" i="9"/>
  <c r="I1339" i="9"/>
  <c r="H1339" i="9"/>
  <c r="F1339" i="9"/>
  <c r="E1339" i="9"/>
  <c r="D1339" i="9"/>
  <c r="C1339" i="9"/>
  <c r="B1339" i="9"/>
  <c r="A1339" i="9"/>
  <c r="I1338" i="9"/>
  <c r="H1338" i="9"/>
  <c r="G1338" i="9"/>
  <c r="F1338" i="9"/>
  <c r="E1338" i="9"/>
  <c r="D1338" i="9"/>
  <c r="C1338" i="9"/>
  <c r="B1338" i="9"/>
  <c r="A1338" i="9"/>
  <c r="I1337" i="9"/>
  <c r="H1337" i="9"/>
  <c r="F1337" i="9"/>
  <c r="E1337" i="9"/>
  <c r="D1337" i="9"/>
  <c r="C1337" i="9"/>
  <c r="B1337" i="9"/>
  <c r="A1337" i="9"/>
  <c r="I1336" i="9"/>
  <c r="H1336" i="9"/>
  <c r="F1336" i="9"/>
  <c r="E1336" i="9"/>
  <c r="D1336" i="9"/>
  <c r="C1336" i="9"/>
  <c r="B1336" i="9"/>
  <c r="A1336" i="9"/>
  <c r="I1335" i="9"/>
  <c r="H1335" i="9"/>
  <c r="F1335" i="9"/>
  <c r="E1335" i="9"/>
  <c r="D1335" i="9"/>
  <c r="C1335" i="9"/>
  <c r="B1335" i="9"/>
  <c r="A1335" i="9"/>
  <c r="I1334" i="9"/>
  <c r="H1334" i="9"/>
  <c r="F1334" i="9"/>
  <c r="E1334" i="9"/>
  <c r="D1334" i="9"/>
  <c r="C1334" i="9"/>
  <c r="B1334" i="9"/>
  <c r="A1334" i="9"/>
  <c r="I1333" i="9"/>
  <c r="H1333" i="9"/>
  <c r="G1333" i="9"/>
  <c r="F1333" i="9"/>
  <c r="E1333" i="9"/>
  <c r="D1333" i="9"/>
  <c r="C1333" i="9"/>
  <c r="B1333" i="9"/>
  <c r="A1333" i="9"/>
  <c r="I1332" i="9"/>
  <c r="H1332" i="9"/>
  <c r="G1332" i="9"/>
  <c r="F1332" i="9"/>
  <c r="E1332" i="9"/>
  <c r="D1332" i="9"/>
  <c r="C1332" i="9"/>
  <c r="B1332" i="9"/>
  <c r="A1332" i="9"/>
  <c r="I1331" i="9"/>
  <c r="H1331" i="9"/>
  <c r="F1331" i="9"/>
  <c r="E1331" i="9"/>
  <c r="D1331" i="9"/>
  <c r="C1331" i="9"/>
  <c r="B1331" i="9"/>
  <c r="A1331" i="9"/>
  <c r="I1330" i="9"/>
  <c r="H1330" i="9"/>
  <c r="F1330" i="9"/>
  <c r="E1330" i="9"/>
  <c r="D1330" i="9"/>
  <c r="C1330" i="9"/>
  <c r="B1330" i="9"/>
  <c r="A1330" i="9"/>
  <c r="I1329" i="9"/>
  <c r="H1329" i="9"/>
  <c r="G1329" i="9"/>
  <c r="F1329" i="9"/>
  <c r="E1329" i="9"/>
  <c r="D1329" i="9"/>
  <c r="C1329" i="9"/>
  <c r="B1329" i="9"/>
  <c r="A1329" i="9"/>
  <c r="I1328" i="9"/>
  <c r="H1328" i="9"/>
  <c r="F1328" i="9"/>
  <c r="E1328" i="9"/>
  <c r="D1328" i="9"/>
  <c r="C1328" i="9"/>
  <c r="B1328" i="9"/>
  <c r="A1328" i="9"/>
  <c r="I1327" i="9"/>
  <c r="H1327" i="9"/>
  <c r="F1327" i="9"/>
  <c r="E1327" i="9"/>
  <c r="D1327" i="9"/>
  <c r="C1327" i="9"/>
  <c r="B1327" i="9"/>
  <c r="A1327" i="9"/>
  <c r="I1326" i="9"/>
  <c r="H1326" i="9"/>
  <c r="F1326" i="9"/>
  <c r="E1326" i="9"/>
  <c r="D1326" i="9"/>
  <c r="C1326" i="9"/>
  <c r="B1326" i="9"/>
  <c r="A1326" i="9"/>
  <c r="I1325" i="9"/>
  <c r="H1325" i="9"/>
  <c r="F1325" i="9"/>
  <c r="E1325" i="9"/>
  <c r="D1325" i="9"/>
  <c r="C1325" i="9"/>
  <c r="B1325" i="9"/>
  <c r="A1325" i="9"/>
  <c r="I1324" i="9"/>
  <c r="H1324" i="9"/>
  <c r="F1324" i="9"/>
  <c r="E1324" i="9"/>
  <c r="D1324" i="9"/>
  <c r="C1324" i="9"/>
  <c r="B1324" i="9"/>
  <c r="A1324" i="9"/>
  <c r="I1323" i="9"/>
  <c r="H1323" i="9"/>
  <c r="F1323" i="9"/>
  <c r="E1323" i="9"/>
  <c r="D1323" i="9"/>
  <c r="C1323" i="9"/>
  <c r="B1323" i="9"/>
  <c r="A1323" i="9"/>
  <c r="I1322" i="9"/>
  <c r="H1322" i="9"/>
  <c r="F1322" i="9"/>
  <c r="E1322" i="9"/>
  <c r="D1322" i="9"/>
  <c r="C1322" i="9"/>
  <c r="B1322" i="9"/>
  <c r="A1322" i="9"/>
  <c r="I1321" i="9"/>
  <c r="H1321" i="9"/>
  <c r="F1321" i="9"/>
  <c r="E1321" i="9"/>
  <c r="D1321" i="9"/>
  <c r="C1321" i="9"/>
  <c r="B1321" i="9"/>
  <c r="A1321" i="9"/>
  <c r="I1320" i="9"/>
  <c r="H1320" i="9"/>
  <c r="F1320" i="9"/>
  <c r="E1320" i="9"/>
  <c r="D1320" i="9"/>
  <c r="C1320" i="9"/>
  <c r="B1320" i="9"/>
  <c r="A1320" i="9"/>
  <c r="I1319" i="9"/>
  <c r="H1319" i="9"/>
  <c r="F1319" i="9"/>
  <c r="E1319" i="9"/>
  <c r="D1319" i="9"/>
  <c r="C1319" i="9"/>
  <c r="B1319" i="9"/>
  <c r="A1319" i="9"/>
  <c r="I1318" i="9"/>
  <c r="H1318" i="9"/>
  <c r="F1318" i="9"/>
  <c r="E1318" i="9"/>
  <c r="D1318" i="9"/>
  <c r="C1318" i="9"/>
  <c r="B1318" i="9"/>
  <c r="A1318" i="9"/>
  <c r="I1317" i="9"/>
  <c r="H1317" i="9"/>
  <c r="F1317" i="9"/>
  <c r="E1317" i="9"/>
  <c r="D1317" i="9"/>
  <c r="C1317" i="9"/>
  <c r="B1317" i="9"/>
  <c r="A1317" i="9"/>
  <c r="I1316" i="9"/>
  <c r="H1316" i="9"/>
  <c r="G1316" i="9"/>
  <c r="F1316" i="9"/>
  <c r="E1316" i="9"/>
  <c r="D1316" i="9"/>
  <c r="C1316" i="9"/>
  <c r="B1316" i="9"/>
  <c r="A1316" i="9"/>
  <c r="I1315" i="9"/>
  <c r="H1315" i="9"/>
  <c r="G1315" i="9"/>
  <c r="F1315" i="9"/>
  <c r="E1315" i="9"/>
  <c r="D1315" i="9"/>
  <c r="C1315" i="9"/>
  <c r="B1315" i="9"/>
  <c r="A1315" i="9"/>
  <c r="I1314" i="9"/>
  <c r="H1314" i="9"/>
  <c r="F1314" i="9"/>
  <c r="E1314" i="9"/>
  <c r="D1314" i="9"/>
  <c r="C1314" i="9"/>
  <c r="B1314" i="9"/>
  <c r="A1314" i="9"/>
  <c r="I1313" i="9"/>
  <c r="H1313" i="9"/>
  <c r="F1313" i="9"/>
  <c r="E1313" i="9"/>
  <c r="D1313" i="9"/>
  <c r="C1313" i="9"/>
  <c r="B1313" i="9"/>
  <c r="A1313" i="9"/>
  <c r="I1312" i="9"/>
  <c r="H1312" i="9"/>
  <c r="F1312" i="9"/>
  <c r="E1312" i="9"/>
  <c r="D1312" i="9"/>
  <c r="C1312" i="9"/>
  <c r="B1312" i="9"/>
  <c r="A1312" i="9"/>
  <c r="I1311" i="9"/>
  <c r="H1311" i="9"/>
  <c r="F1311" i="9"/>
  <c r="E1311" i="9"/>
  <c r="D1311" i="9"/>
  <c r="C1311" i="9"/>
  <c r="B1311" i="9"/>
  <c r="A1311" i="9"/>
  <c r="I1310" i="9"/>
  <c r="H1310" i="9"/>
  <c r="G1310" i="9"/>
  <c r="F1310" i="9"/>
  <c r="E1310" i="9"/>
  <c r="D1310" i="9"/>
  <c r="C1310" i="9"/>
  <c r="B1310" i="9"/>
  <c r="A1310" i="9"/>
  <c r="I1309" i="9"/>
  <c r="H1309" i="9"/>
  <c r="G1309" i="9"/>
  <c r="F1309" i="9"/>
  <c r="E1309" i="9"/>
  <c r="D1309" i="9"/>
  <c r="C1309" i="9"/>
  <c r="B1309" i="9"/>
  <c r="A1309" i="9"/>
  <c r="I1308" i="9"/>
  <c r="H1308" i="9"/>
  <c r="F1308" i="9"/>
  <c r="E1308" i="9"/>
  <c r="D1308" i="9"/>
  <c r="C1308" i="9"/>
  <c r="B1308" i="9"/>
  <c r="A1308" i="9"/>
  <c r="I1307" i="9"/>
  <c r="H1307" i="9"/>
  <c r="F1307" i="9"/>
  <c r="E1307" i="9"/>
  <c r="D1307" i="9"/>
  <c r="C1307" i="9"/>
  <c r="B1307" i="9"/>
  <c r="A1307" i="9"/>
  <c r="I1306" i="9"/>
  <c r="H1306" i="9"/>
  <c r="F1306" i="9"/>
  <c r="E1306" i="9"/>
  <c r="D1306" i="9"/>
  <c r="C1306" i="9"/>
  <c r="B1306" i="9"/>
  <c r="A1306" i="9"/>
  <c r="I1305" i="9"/>
  <c r="H1305" i="9"/>
  <c r="G1305" i="9"/>
  <c r="F1305" i="9"/>
  <c r="E1305" i="9"/>
  <c r="D1305" i="9"/>
  <c r="C1305" i="9"/>
  <c r="B1305" i="9"/>
  <c r="A1305" i="9"/>
  <c r="I1304" i="9"/>
  <c r="H1304" i="9"/>
  <c r="G1304" i="9"/>
  <c r="F1304" i="9"/>
  <c r="E1304" i="9"/>
  <c r="D1304" i="9"/>
  <c r="C1304" i="9"/>
  <c r="B1304" i="9"/>
  <c r="A1304" i="9"/>
  <c r="I1303" i="9"/>
  <c r="H1303" i="9"/>
  <c r="F1303" i="9"/>
  <c r="E1303" i="9"/>
  <c r="D1303" i="9"/>
  <c r="C1303" i="9"/>
  <c r="B1303" i="9"/>
  <c r="A1303" i="9"/>
  <c r="I1302" i="9"/>
  <c r="H1302" i="9"/>
  <c r="F1302" i="9"/>
  <c r="E1302" i="9"/>
  <c r="D1302" i="9"/>
  <c r="C1302" i="9"/>
  <c r="B1302" i="9"/>
  <c r="A1302" i="9"/>
  <c r="I1301" i="9"/>
  <c r="H1301" i="9"/>
  <c r="F1301" i="9"/>
  <c r="E1301" i="9"/>
  <c r="D1301" i="9"/>
  <c r="C1301" i="9"/>
  <c r="B1301" i="9"/>
  <c r="A1301" i="9"/>
  <c r="I1300" i="9"/>
  <c r="H1300" i="9"/>
  <c r="F1300" i="9"/>
  <c r="E1300" i="9"/>
  <c r="D1300" i="9"/>
  <c r="C1300" i="9"/>
  <c r="B1300" i="9"/>
  <c r="A1300" i="9"/>
  <c r="I1299" i="9"/>
  <c r="H1299" i="9"/>
  <c r="G1299" i="9"/>
  <c r="F1299" i="9"/>
  <c r="E1299" i="9"/>
  <c r="D1299" i="9"/>
  <c r="C1299" i="9"/>
  <c r="B1299" i="9"/>
  <c r="A1299" i="9"/>
  <c r="I1298" i="9"/>
  <c r="H1298" i="9"/>
  <c r="G1298" i="9"/>
  <c r="F1298" i="9"/>
  <c r="E1298" i="9"/>
  <c r="D1298" i="9"/>
  <c r="C1298" i="9"/>
  <c r="B1298" i="9"/>
  <c r="A1298" i="9"/>
  <c r="I1297" i="9"/>
  <c r="H1297" i="9"/>
  <c r="F1297" i="9"/>
  <c r="E1297" i="9"/>
  <c r="D1297" i="9"/>
  <c r="C1297" i="9"/>
  <c r="B1297" i="9"/>
  <c r="A1297" i="9"/>
  <c r="I1296" i="9"/>
  <c r="H1296" i="9"/>
  <c r="F1296" i="9"/>
  <c r="E1296" i="9"/>
  <c r="D1296" i="9"/>
  <c r="C1296" i="9"/>
  <c r="B1296" i="9"/>
  <c r="A1296" i="9"/>
  <c r="I1295" i="9"/>
  <c r="H1295" i="9"/>
  <c r="F1295" i="9"/>
  <c r="E1295" i="9"/>
  <c r="D1295" i="9"/>
  <c r="C1295" i="9"/>
  <c r="B1295" i="9"/>
  <c r="A1295" i="9"/>
  <c r="I1294" i="9"/>
  <c r="H1294" i="9"/>
  <c r="F1294" i="9"/>
  <c r="E1294" i="9"/>
  <c r="D1294" i="9"/>
  <c r="C1294" i="9"/>
  <c r="B1294" i="9"/>
  <c r="A1294" i="9"/>
  <c r="I1293" i="9"/>
  <c r="H1293" i="9"/>
  <c r="F1293" i="9"/>
  <c r="E1293" i="9"/>
  <c r="D1293" i="9"/>
  <c r="C1293" i="9"/>
  <c r="B1293" i="9"/>
  <c r="A1293" i="9"/>
  <c r="I1292" i="9"/>
  <c r="H1292" i="9"/>
  <c r="F1292" i="9"/>
  <c r="E1292" i="9"/>
  <c r="D1292" i="9"/>
  <c r="C1292" i="9"/>
  <c r="B1292" i="9"/>
  <c r="A1292" i="9"/>
  <c r="I1291" i="9"/>
  <c r="H1291" i="9"/>
  <c r="F1291" i="9"/>
  <c r="E1291" i="9"/>
  <c r="D1291" i="9"/>
  <c r="C1291" i="9"/>
  <c r="B1291" i="9"/>
  <c r="A1291" i="9"/>
  <c r="I1290" i="9"/>
  <c r="H1290" i="9"/>
  <c r="F1290" i="9"/>
  <c r="E1290" i="9"/>
  <c r="D1290" i="9"/>
  <c r="C1290" i="9"/>
  <c r="B1290" i="9"/>
  <c r="A1290" i="9"/>
  <c r="I1289" i="9"/>
  <c r="H1289" i="9"/>
  <c r="F1289" i="9"/>
  <c r="E1289" i="9"/>
  <c r="D1289" i="9"/>
  <c r="C1289" i="9"/>
  <c r="B1289" i="9"/>
  <c r="A1289" i="9"/>
  <c r="I1288" i="9"/>
  <c r="H1288" i="9"/>
  <c r="F1288" i="9"/>
  <c r="E1288" i="9"/>
  <c r="D1288" i="9"/>
  <c r="C1288" i="9"/>
  <c r="B1288" i="9"/>
  <c r="A1288" i="9"/>
  <c r="I1287" i="9"/>
  <c r="H1287" i="9"/>
  <c r="F1287" i="9"/>
  <c r="E1287" i="9"/>
  <c r="D1287" i="9"/>
  <c r="C1287" i="9"/>
  <c r="B1287" i="9"/>
  <c r="A1287" i="9"/>
  <c r="I1286" i="9"/>
  <c r="H1286" i="9"/>
  <c r="F1286" i="9"/>
  <c r="E1286" i="9"/>
  <c r="D1286" i="9"/>
  <c r="C1286" i="9"/>
  <c r="B1286" i="9"/>
  <c r="A1286" i="9"/>
  <c r="I1285" i="9"/>
  <c r="H1285" i="9"/>
  <c r="F1285" i="9"/>
  <c r="E1285" i="9"/>
  <c r="D1285" i="9"/>
  <c r="C1285" i="9"/>
  <c r="B1285" i="9"/>
  <c r="A1285" i="9"/>
  <c r="I1284" i="9"/>
  <c r="H1284" i="9"/>
  <c r="F1284" i="9"/>
  <c r="E1284" i="9"/>
  <c r="D1284" i="9"/>
  <c r="C1284" i="9"/>
  <c r="B1284" i="9"/>
  <c r="A1284" i="9"/>
  <c r="I1283" i="9"/>
  <c r="H1283" i="9"/>
  <c r="F1283" i="9"/>
  <c r="E1283" i="9"/>
  <c r="D1283" i="9"/>
  <c r="C1283" i="9"/>
  <c r="B1283" i="9"/>
  <c r="A1283" i="9"/>
  <c r="I1282" i="9"/>
  <c r="H1282" i="9"/>
  <c r="F1282" i="9"/>
  <c r="E1282" i="9"/>
  <c r="D1282" i="9"/>
  <c r="C1282" i="9"/>
  <c r="B1282" i="9"/>
  <c r="A1282" i="9"/>
  <c r="I1281" i="9"/>
  <c r="H1281" i="9"/>
  <c r="F1281" i="9"/>
  <c r="E1281" i="9"/>
  <c r="D1281" i="9"/>
  <c r="C1281" i="9"/>
  <c r="B1281" i="9"/>
  <c r="A1281" i="9"/>
  <c r="I1280" i="9"/>
  <c r="H1280" i="9"/>
  <c r="F1280" i="9"/>
  <c r="E1280" i="9"/>
  <c r="D1280" i="9"/>
  <c r="C1280" i="9"/>
  <c r="B1280" i="9"/>
  <c r="A1280" i="9"/>
  <c r="I1279" i="9"/>
  <c r="H1279" i="9"/>
  <c r="F1279" i="9"/>
  <c r="E1279" i="9"/>
  <c r="D1279" i="9"/>
  <c r="C1279" i="9"/>
  <c r="B1279" i="9"/>
  <c r="A1279" i="9"/>
  <c r="I1278" i="9"/>
  <c r="H1278" i="9"/>
  <c r="F1278" i="9"/>
  <c r="E1278" i="9"/>
  <c r="D1278" i="9"/>
  <c r="C1278" i="9"/>
  <c r="B1278" i="9"/>
  <c r="A1278" i="9"/>
  <c r="I1277" i="9"/>
  <c r="H1277" i="9"/>
  <c r="F1277" i="9"/>
  <c r="E1277" i="9"/>
  <c r="D1277" i="9"/>
  <c r="C1277" i="9"/>
  <c r="B1277" i="9"/>
  <c r="A1277" i="9"/>
  <c r="I1276" i="9"/>
  <c r="H1276" i="9"/>
  <c r="F1276" i="9"/>
  <c r="E1276" i="9"/>
  <c r="D1276" i="9"/>
  <c r="C1276" i="9"/>
  <c r="B1276" i="9"/>
  <c r="A1276" i="9"/>
  <c r="I1275" i="9"/>
  <c r="H1275" i="9"/>
  <c r="F1275" i="9"/>
  <c r="E1275" i="9"/>
  <c r="D1275" i="9"/>
  <c r="C1275" i="9"/>
  <c r="B1275" i="9"/>
  <c r="A1275" i="9"/>
  <c r="I1274" i="9"/>
  <c r="H1274" i="9"/>
  <c r="F1274" i="9"/>
  <c r="E1274" i="9"/>
  <c r="D1274" i="9"/>
  <c r="C1274" i="9"/>
  <c r="B1274" i="9"/>
  <c r="A1274" i="9"/>
  <c r="I1273" i="9"/>
  <c r="H1273" i="9"/>
  <c r="F1273" i="9"/>
  <c r="E1273" i="9"/>
  <c r="D1273" i="9"/>
  <c r="C1273" i="9"/>
  <c r="B1273" i="9"/>
  <c r="A1273" i="9"/>
  <c r="I1272" i="9"/>
  <c r="H1272" i="9"/>
  <c r="F1272" i="9"/>
  <c r="E1272" i="9"/>
  <c r="D1272" i="9"/>
  <c r="C1272" i="9"/>
  <c r="B1272" i="9"/>
  <c r="A1272" i="9"/>
  <c r="I1271" i="9"/>
  <c r="H1271" i="9"/>
  <c r="F1271" i="9"/>
  <c r="E1271" i="9"/>
  <c r="D1271" i="9"/>
  <c r="C1271" i="9"/>
  <c r="B1271" i="9"/>
  <c r="A1271" i="9"/>
  <c r="I1270" i="9"/>
  <c r="H1270" i="9"/>
  <c r="F1270" i="9"/>
  <c r="E1270" i="9"/>
  <c r="D1270" i="9"/>
  <c r="C1270" i="9"/>
  <c r="B1270" i="9"/>
  <c r="A1270" i="9"/>
  <c r="I1269" i="9"/>
  <c r="H1269" i="9"/>
  <c r="F1269" i="9"/>
  <c r="E1269" i="9"/>
  <c r="D1269" i="9"/>
  <c r="C1269" i="9"/>
  <c r="B1269" i="9"/>
  <c r="A1269" i="9"/>
  <c r="I1268" i="9"/>
  <c r="H1268" i="9"/>
  <c r="F1268" i="9"/>
  <c r="E1268" i="9"/>
  <c r="D1268" i="9"/>
  <c r="C1268" i="9"/>
  <c r="B1268" i="9"/>
  <c r="A1268" i="9"/>
  <c r="I1267" i="9"/>
  <c r="H1267" i="9"/>
  <c r="F1267" i="9"/>
  <c r="E1267" i="9"/>
  <c r="D1267" i="9"/>
  <c r="C1267" i="9"/>
  <c r="B1267" i="9"/>
  <c r="A1267" i="9"/>
  <c r="I1266" i="9"/>
  <c r="H1266" i="9"/>
  <c r="F1266" i="9"/>
  <c r="E1266" i="9"/>
  <c r="D1266" i="9"/>
  <c r="C1266" i="9"/>
  <c r="B1266" i="9"/>
  <c r="A1266" i="9"/>
  <c r="I1265" i="9"/>
  <c r="H1265" i="9"/>
  <c r="F1265" i="9"/>
  <c r="E1265" i="9"/>
  <c r="D1265" i="9"/>
  <c r="C1265" i="9"/>
  <c r="B1265" i="9"/>
  <c r="A1265" i="9"/>
  <c r="I1264" i="9"/>
  <c r="H1264" i="9"/>
  <c r="F1264" i="9"/>
  <c r="E1264" i="9"/>
  <c r="D1264" i="9"/>
  <c r="C1264" i="9"/>
  <c r="B1264" i="9"/>
  <c r="A1264" i="9"/>
  <c r="I1263" i="9"/>
  <c r="H1263" i="9"/>
  <c r="F1263" i="9"/>
  <c r="E1263" i="9"/>
  <c r="D1263" i="9"/>
  <c r="C1263" i="9"/>
  <c r="B1263" i="9"/>
  <c r="A1263" i="9"/>
  <c r="I1262" i="9"/>
  <c r="H1262" i="9"/>
  <c r="F1262" i="9"/>
  <c r="E1262" i="9"/>
  <c r="D1262" i="9"/>
  <c r="C1262" i="9"/>
  <c r="B1262" i="9"/>
  <c r="A1262" i="9"/>
  <c r="I1261" i="9"/>
  <c r="H1261" i="9"/>
  <c r="F1261" i="9"/>
  <c r="E1261" i="9"/>
  <c r="D1261" i="9"/>
  <c r="C1261" i="9"/>
  <c r="B1261" i="9"/>
  <c r="A1261" i="9"/>
  <c r="I1260" i="9"/>
  <c r="H1260" i="9"/>
  <c r="F1260" i="9"/>
  <c r="E1260" i="9"/>
  <c r="D1260" i="9"/>
  <c r="C1260" i="9"/>
  <c r="B1260" i="9"/>
  <c r="A1260" i="9"/>
  <c r="I1259" i="9"/>
  <c r="H1259" i="9"/>
  <c r="F1259" i="9"/>
  <c r="E1259" i="9"/>
  <c r="D1259" i="9"/>
  <c r="C1259" i="9"/>
  <c r="B1259" i="9"/>
  <c r="A1259" i="9"/>
  <c r="I1258" i="9"/>
  <c r="H1258" i="9"/>
  <c r="F1258" i="9"/>
  <c r="E1258" i="9"/>
  <c r="D1258" i="9"/>
  <c r="C1258" i="9"/>
  <c r="B1258" i="9"/>
  <c r="A1258" i="9"/>
  <c r="I1257" i="9"/>
  <c r="H1257" i="9"/>
  <c r="F1257" i="9"/>
  <c r="E1257" i="9"/>
  <c r="D1257" i="9"/>
  <c r="C1257" i="9"/>
  <c r="B1257" i="9"/>
  <c r="A1257" i="9"/>
  <c r="I1256" i="9"/>
  <c r="H1256" i="9"/>
  <c r="F1256" i="9"/>
  <c r="E1256" i="9"/>
  <c r="D1256" i="9"/>
  <c r="C1256" i="9"/>
  <c r="B1256" i="9"/>
  <c r="A1256" i="9"/>
  <c r="I1255" i="9"/>
  <c r="H1255" i="9"/>
  <c r="F1255" i="9"/>
  <c r="E1255" i="9"/>
  <c r="D1255" i="9"/>
  <c r="C1255" i="9"/>
  <c r="B1255" i="9"/>
  <c r="A1255" i="9"/>
  <c r="I1254" i="9"/>
  <c r="H1254" i="9"/>
  <c r="F1254" i="9"/>
  <c r="E1254" i="9"/>
  <c r="D1254" i="9"/>
  <c r="C1254" i="9"/>
  <c r="B1254" i="9"/>
  <c r="A1254" i="9"/>
  <c r="I1253" i="9"/>
  <c r="H1253" i="9"/>
  <c r="F1253" i="9"/>
  <c r="E1253" i="9"/>
  <c r="D1253" i="9"/>
  <c r="C1253" i="9"/>
  <c r="B1253" i="9"/>
  <c r="A1253" i="9"/>
  <c r="I1252" i="9"/>
  <c r="H1252" i="9"/>
  <c r="F1252" i="9"/>
  <c r="E1252" i="9"/>
  <c r="D1252" i="9"/>
  <c r="C1252" i="9"/>
  <c r="B1252" i="9"/>
  <c r="A1252" i="9"/>
  <c r="I1251" i="9"/>
  <c r="H1251" i="9"/>
  <c r="F1251" i="9"/>
  <c r="E1251" i="9"/>
  <c r="D1251" i="9"/>
  <c r="C1251" i="9"/>
  <c r="B1251" i="9"/>
  <c r="A1251" i="9"/>
  <c r="I1250" i="9"/>
  <c r="H1250" i="9"/>
  <c r="F1250" i="9"/>
  <c r="E1250" i="9"/>
  <c r="D1250" i="9"/>
  <c r="C1250" i="9"/>
  <c r="B1250" i="9"/>
  <c r="A1250" i="9"/>
  <c r="I1249" i="9"/>
  <c r="H1249" i="9"/>
  <c r="F1249" i="9"/>
  <c r="E1249" i="9"/>
  <c r="D1249" i="9"/>
  <c r="C1249" i="9"/>
  <c r="B1249" i="9"/>
  <c r="A1249" i="9"/>
  <c r="I1248" i="9"/>
  <c r="H1248" i="9"/>
  <c r="F1248" i="9"/>
  <c r="E1248" i="9"/>
  <c r="D1248" i="9"/>
  <c r="C1248" i="9"/>
  <c r="B1248" i="9"/>
  <c r="A1248" i="9"/>
  <c r="I1247" i="9"/>
  <c r="H1247" i="9"/>
  <c r="G1247" i="9"/>
  <c r="F1247" i="9"/>
  <c r="E1247" i="9"/>
  <c r="D1247" i="9"/>
  <c r="C1247" i="9"/>
  <c r="B1247" i="9"/>
  <c r="A1247" i="9"/>
  <c r="I1246" i="9"/>
  <c r="H1246" i="9"/>
  <c r="G1246" i="9"/>
  <c r="F1246" i="9"/>
  <c r="E1246" i="9"/>
  <c r="D1246" i="9"/>
  <c r="C1246" i="9"/>
  <c r="B1246" i="9"/>
  <c r="A1246" i="9"/>
  <c r="I1245" i="9"/>
  <c r="H1245" i="9"/>
  <c r="G1245" i="9"/>
  <c r="F1245" i="9"/>
  <c r="E1245" i="9"/>
  <c r="D1245" i="9"/>
  <c r="C1245" i="9"/>
  <c r="B1245" i="9"/>
  <c r="A1245" i="9"/>
  <c r="I1244" i="9"/>
  <c r="H1244" i="9"/>
  <c r="G1244" i="9"/>
  <c r="F1244" i="9"/>
  <c r="E1244" i="9"/>
  <c r="D1244" i="9"/>
  <c r="C1244" i="9"/>
  <c r="B1244" i="9"/>
  <c r="A1244" i="9"/>
  <c r="I1243" i="9"/>
  <c r="H1243" i="9"/>
  <c r="F1243" i="9"/>
  <c r="E1243" i="9"/>
  <c r="D1243" i="9"/>
  <c r="C1243" i="9"/>
  <c r="B1243" i="9"/>
  <c r="A1243" i="9"/>
  <c r="I1242" i="9"/>
  <c r="H1242" i="9"/>
  <c r="F1242" i="9"/>
  <c r="E1242" i="9"/>
  <c r="D1242" i="9"/>
  <c r="C1242" i="9"/>
  <c r="B1242" i="9"/>
  <c r="A1242" i="9"/>
  <c r="I1241" i="9"/>
  <c r="H1241" i="9"/>
  <c r="F1241" i="9"/>
  <c r="E1241" i="9"/>
  <c r="D1241" i="9"/>
  <c r="C1241" i="9"/>
  <c r="B1241" i="9"/>
  <c r="A1241" i="9"/>
  <c r="I1240" i="9"/>
  <c r="H1240" i="9"/>
  <c r="F1240" i="9"/>
  <c r="E1240" i="9"/>
  <c r="D1240" i="9"/>
  <c r="C1240" i="9"/>
  <c r="B1240" i="9"/>
  <c r="A1240" i="9"/>
  <c r="I1239" i="9"/>
  <c r="H1239" i="9"/>
  <c r="F1239" i="9"/>
  <c r="E1239" i="9"/>
  <c r="D1239" i="9"/>
  <c r="C1239" i="9"/>
  <c r="B1239" i="9"/>
  <c r="A1239" i="9"/>
  <c r="I1238" i="9"/>
  <c r="H1238" i="9"/>
  <c r="F1238" i="9"/>
  <c r="E1238" i="9"/>
  <c r="D1238" i="9"/>
  <c r="C1238" i="9"/>
  <c r="B1238" i="9"/>
  <c r="A1238" i="9"/>
  <c r="I1237" i="9"/>
  <c r="H1237" i="9"/>
  <c r="G1237" i="9"/>
  <c r="F1237" i="9"/>
  <c r="E1237" i="9"/>
  <c r="D1237" i="9"/>
  <c r="C1237" i="9"/>
  <c r="B1237" i="9"/>
  <c r="A1237" i="9"/>
  <c r="I1236" i="9"/>
  <c r="H1236" i="9"/>
  <c r="G1236" i="9"/>
  <c r="F1236" i="9"/>
  <c r="E1236" i="9"/>
  <c r="D1236" i="9"/>
  <c r="C1236" i="9"/>
  <c r="B1236" i="9"/>
  <c r="A1236" i="9"/>
  <c r="I1235" i="9"/>
  <c r="H1235" i="9"/>
  <c r="G1235" i="9"/>
  <c r="F1235" i="9"/>
  <c r="E1235" i="9"/>
  <c r="D1235" i="9"/>
  <c r="C1235" i="9"/>
  <c r="B1235" i="9"/>
  <c r="A1235" i="9"/>
  <c r="I1234" i="9"/>
  <c r="H1234" i="9"/>
  <c r="G1234" i="9"/>
  <c r="F1234" i="9"/>
  <c r="E1234" i="9"/>
  <c r="D1234" i="9"/>
  <c r="C1234" i="9"/>
  <c r="B1234" i="9"/>
  <c r="A1234" i="9"/>
  <c r="I1233" i="9"/>
  <c r="H1233" i="9"/>
  <c r="F1233" i="9"/>
  <c r="E1233" i="9"/>
  <c r="D1233" i="9"/>
  <c r="C1233" i="9"/>
  <c r="B1233" i="9"/>
  <c r="A1233" i="9"/>
  <c r="I1232" i="9"/>
  <c r="H1232" i="9"/>
  <c r="F1232" i="9"/>
  <c r="E1232" i="9"/>
  <c r="D1232" i="9"/>
  <c r="C1232" i="9"/>
  <c r="B1232" i="9"/>
  <c r="A1232" i="9"/>
  <c r="I1231" i="9"/>
  <c r="H1231" i="9"/>
  <c r="F1231" i="9"/>
  <c r="E1231" i="9"/>
  <c r="D1231" i="9"/>
  <c r="C1231" i="9"/>
  <c r="B1231" i="9"/>
  <c r="A1231" i="9"/>
  <c r="I1230" i="9"/>
  <c r="H1230" i="9"/>
  <c r="F1230" i="9"/>
  <c r="E1230" i="9"/>
  <c r="D1230" i="9"/>
  <c r="C1230" i="9"/>
  <c r="B1230" i="9"/>
  <c r="A1230" i="9"/>
  <c r="I1229" i="9"/>
  <c r="H1229" i="9"/>
  <c r="F1229" i="9"/>
  <c r="E1229" i="9"/>
  <c r="D1229" i="9"/>
  <c r="C1229" i="9"/>
  <c r="B1229" i="9"/>
  <c r="A1229" i="9"/>
  <c r="I1228" i="9"/>
  <c r="H1228" i="9"/>
  <c r="F1228" i="9"/>
  <c r="E1228" i="9"/>
  <c r="D1228" i="9"/>
  <c r="C1228" i="9"/>
  <c r="B1228" i="9"/>
  <c r="A1228" i="9"/>
  <c r="I1227" i="9"/>
  <c r="H1227" i="9"/>
  <c r="F1227" i="9"/>
  <c r="E1227" i="9"/>
  <c r="D1227" i="9"/>
  <c r="C1227" i="9"/>
  <c r="B1227" i="9"/>
  <c r="A1227" i="9"/>
  <c r="I1226" i="9"/>
  <c r="H1226" i="9"/>
  <c r="F1226" i="9"/>
  <c r="E1226" i="9"/>
  <c r="D1226" i="9"/>
  <c r="C1226" i="9"/>
  <c r="B1226" i="9"/>
  <c r="A1226" i="9"/>
  <c r="I1225" i="9"/>
  <c r="H1225" i="9"/>
  <c r="F1225" i="9"/>
  <c r="E1225" i="9"/>
  <c r="D1225" i="9"/>
  <c r="C1225" i="9"/>
  <c r="B1225" i="9"/>
  <c r="A1225" i="9"/>
  <c r="I1224" i="9"/>
  <c r="H1224" i="9"/>
  <c r="G1224" i="9"/>
  <c r="F1224" i="9"/>
  <c r="E1224" i="9"/>
  <c r="D1224" i="9"/>
  <c r="C1224" i="9"/>
  <c r="B1224" i="9"/>
  <c r="A1224" i="9"/>
  <c r="I1223" i="9"/>
  <c r="H1223" i="9"/>
  <c r="F1223" i="9"/>
  <c r="E1223" i="9"/>
  <c r="D1223" i="9"/>
  <c r="C1223" i="9"/>
  <c r="B1223" i="9"/>
  <c r="A1223" i="9"/>
  <c r="I1222" i="9"/>
  <c r="H1222" i="9"/>
  <c r="F1222" i="9"/>
  <c r="E1222" i="9"/>
  <c r="D1222" i="9"/>
  <c r="C1222" i="9"/>
  <c r="B1222" i="9"/>
  <c r="A1222" i="9"/>
  <c r="I1221" i="9"/>
  <c r="H1221" i="9"/>
  <c r="G1221" i="9"/>
  <c r="F1221" i="9"/>
  <c r="E1221" i="9"/>
  <c r="D1221" i="9"/>
  <c r="C1221" i="9"/>
  <c r="B1221" i="9"/>
  <c r="A1221" i="9"/>
  <c r="I1220" i="9"/>
  <c r="H1220" i="9"/>
  <c r="G1220" i="9"/>
  <c r="F1220" i="9"/>
  <c r="E1220" i="9"/>
  <c r="D1220" i="9"/>
  <c r="C1220" i="9"/>
  <c r="B1220" i="9"/>
  <c r="A1220" i="9"/>
  <c r="I1219" i="9"/>
  <c r="H1219" i="9"/>
  <c r="F1219" i="9"/>
  <c r="E1219" i="9"/>
  <c r="D1219" i="9"/>
  <c r="C1219" i="9"/>
  <c r="B1219" i="9"/>
  <c r="A1219" i="9"/>
  <c r="I1218" i="9"/>
  <c r="H1218" i="9"/>
  <c r="F1218" i="9"/>
  <c r="E1218" i="9"/>
  <c r="D1218" i="9"/>
  <c r="C1218" i="9"/>
  <c r="B1218" i="9"/>
  <c r="A1218" i="9"/>
  <c r="I1217" i="9"/>
  <c r="H1217" i="9"/>
  <c r="F1217" i="9"/>
  <c r="E1217" i="9"/>
  <c r="D1217" i="9"/>
  <c r="C1217" i="9"/>
  <c r="B1217" i="9"/>
  <c r="A1217" i="9"/>
  <c r="I1216" i="9"/>
  <c r="H1216" i="9"/>
  <c r="F1216" i="9"/>
  <c r="E1216" i="9"/>
  <c r="D1216" i="9"/>
  <c r="C1216" i="9"/>
  <c r="B1216" i="9"/>
  <c r="A1216" i="9"/>
  <c r="I1215" i="9"/>
  <c r="H1215" i="9"/>
  <c r="F1215" i="9"/>
  <c r="E1215" i="9"/>
  <c r="D1215" i="9"/>
  <c r="C1215" i="9"/>
  <c r="B1215" i="9"/>
  <c r="A1215" i="9"/>
  <c r="I1214" i="9"/>
  <c r="H1214" i="9"/>
  <c r="F1214" i="9"/>
  <c r="E1214" i="9"/>
  <c r="D1214" i="9"/>
  <c r="C1214" i="9"/>
  <c r="B1214" i="9"/>
  <c r="A1214" i="9"/>
  <c r="I1213" i="9"/>
  <c r="H1213" i="9"/>
  <c r="F1213" i="9"/>
  <c r="E1213" i="9"/>
  <c r="D1213" i="9"/>
  <c r="C1213" i="9"/>
  <c r="B1213" i="9"/>
  <c r="A1213" i="9"/>
  <c r="I1212" i="9"/>
  <c r="H1212" i="9"/>
  <c r="G1212" i="9"/>
  <c r="F1212" i="9"/>
  <c r="E1212" i="9"/>
  <c r="D1212" i="9"/>
  <c r="C1212" i="9"/>
  <c r="B1212" i="9"/>
  <c r="A1212" i="9"/>
  <c r="I1211" i="9"/>
  <c r="H1211" i="9"/>
  <c r="G1211" i="9"/>
  <c r="F1211" i="9"/>
  <c r="E1211" i="9"/>
  <c r="D1211" i="9"/>
  <c r="C1211" i="9"/>
  <c r="B1211" i="9"/>
  <c r="A1211" i="9"/>
  <c r="I1210" i="9"/>
  <c r="H1210" i="9"/>
  <c r="F1210" i="9"/>
  <c r="E1210" i="9"/>
  <c r="D1210" i="9"/>
  <c r="C1210" i="9"/>
  <c r="B1210" i="9"/>
  <c r="A1210" i="9"/>
  <c r="I1209" i="9"/>
  <c r="H1209" i="9"/>
  <c r="F1209" i="9"/>
  <c r="E1209" i="9"/>
  <c r="D1209" i="9"/>
  <c r="C1209" i="9"/>
  <c r="B1209" i="9"/>
  <c r="A1209" i="9"/>
  <c r="I1208" i="9"/>
  <c r="H1208" i="9"/>
  <c r="F1208" i="9"/>
  <c r="E1208" i="9"/>
  <c r="D1208" i="9"/>
  <c r="C1208" i="9"/>
  <c r="B1208" i="9"/>
  <c r="A1208" i="9"/>
  <c r="I1207" i="9"/>
  <c r="H1207" i="9"/>
  <c r="F1207" i="9"/>
  <c r="E1207" i="9"/>
  <c r="D1207" i="9"/>
  <c r="C1207" i="9"/>
  <c r="B1207" i="9"/>
  <c r="A1207" i="9"/>
  <c r="I1206" i="9"/>
  <c r="H1206" i="9"/>
  <c r="F1206" i="9"/>
  <c r="E1206" i="9"/>
  <c r="D1206" i="9"/>
  <c r="C1206" i="9"/>
  <c r="B1206" i="9"/>
  <c r="A1206" i="9"/>
  <c r="I1205" i="9"/>
  <c r="H1205" i="9"/>
  <c r="F1205" i="9"/>
  <c r="E1205" i="9"/>
  <c r="D1205" i="9"/>
  <c r="C1205" i="9"/>
  <c r="B1205" i="9"/>
  <c r="A1205" i="9"/>
  <c r="I1204" i="9"/>
  <c r="H1204" i="9"/>
  <c r="G1204" i="9"/>
  <c r="F1204" i="9"/>
  <c r="E1204" i="9"/>
  <c r="D1204" i="9"/>
  <c r="C1204" i="9"/>
  <c r="B1204" i="9"/>
  <c r="A1204" i="9"/>
  <c r="I1203" i="9"/>
  <c r="H1203" i="9"/>
  <c r="G1203" i="9"/>
  <c r="F1203" i="9"/>
  <c r="E1203" i="9"/>
  <c r="D1203" i="9"/>
  <c r="C1203" i="9"/>
  <c r="B1203" i="9"/>
  <c r="A1203" i="9"/>
  <c r="I1202" i="9"/>
  <c r="H1202" i="9"/>
  <c r="F1202" i="9"/>
  <c r="E1202" i="9"/>
  <c r="D1202" i="9"/>
  <c r="C1202" i="9"/>
  <c r="B1202" i="9"/>
  <c r="A1202" i="9"/>
  <c r="I1201" i="9"/>
  <c r="H1201" i="9"/>
  <c r="F1201" i="9"/>
  <c r="E1201" i="9"/>
  <c r="D1201" i="9"/>
  <c r="C1201" i="9"/>
  <c r="B1201" i="9"/>
  <c r="A1201" i="9"/>
  <c r="I1200" i="9"/>
  <c r="H1200" i="9"/>
  <c r="F1200" i="9"/>
  <c r="E1200" i="9"/>
  <c r="D1200" i="9"/>
  <c r="C1200" i="9"/>
  <c r="B1200" i="9"/>
  <c r="A1200" i="9"/>
  <c r="I1199" i="9"/>
  <c r="H1199" i="9"/>
  <c r="F1199" i="9"/>
  <c r="E1199" i="9"/>
  <c r="D1199" i="9"/>
  <c r="C1199" i="9"/>
  <c r="B1199" i="9"/>
  <c r="A1199" i="9"/>
  <c r="I1198" i="9"/>
  <c r="H1198" i="9"/>
  <c r="F1198" i="9"/>
  <c r="E1198" i="9"/>
  <c r="D1198" i="9"/>
  <c r="C1198" i="9"/>
  <c r="B1198" i="9"/>
  <c r="A1198" i="9"/>
  <c r="I1197" i="9"/>
  <c r="H1197" i="9"/>
  <c r="F1197" i="9"/>
  <c r="E1197" i="9"/>
  <c r="D1197" i="9"/>
  <c r="C1197" i="9"/>
  <c r="B1197" i="9"/>
  <c r="A1197" i="9"/>
  <c r="I1196" i="9"/>
  <c r="H1196" i="9"/>
  <c r="F1196" i="9"/>
  <c r="E1196" i="9"/>
  <c r="D1196" i="9"/>
  <c r="C1196" i="9"/>
  <c r="B1196" i="9"/>
  <c r="A1196" i="9"/>
  <c r="I1195" i="9"/>
  <c r="H1195" i="9"/>
  <c r="F1195" i="9"/>
  <c r="E1195" i="9"/>
  <c r="D1195" i="9"/>
  <c r="C1195" i="9"/>
  <c r="B1195" i="9"/>
  <c r="A1195" i="9"/>
  <c r="I1194" i="9"/>
  <c r="H1194" i="9"/>
  <c r="F1194" i="9"/>
  <c r="E1194" i="9"/>
  <c r="D1194" i="9"/>
  <c r="C1194" i="9"/>
  <c r="B1194" i="9"/>
  <c r="A1194" i="9"/>
  <c r="I1193" i="9"/>
  <c r="H1193" i="9"/>
  <c r="F1193" i="9"/>
  <c r="E1193" i="9"/>
  <c r="D1193" i="9"/>
  <c r="C1193" i="9"/>
  <c r="B1193" i="9"/>
  <c r="A1193" i="9"/>
  <c r="I1192" i="9"/>
  <c r="H1192" i="9"/>
  <c r="F1192" i="9"/>
  <c r="E1192" i="9"/>
  <c r="D1192" i="9"/>
  <c r="C1192" i="9"/>
  <c r="B1192" i="9"/>
  <c r="A1192" i="9"/>
  <c r="I1191" i="9"/>
  <c r="H1191" i="9"/>
  <c r="F1191" i="9"/>
  <c r="E1191" i="9"/>
  <c r="D1191" i="9"/>
  <c r="C1191" i="9"/>
  <c r="B1191" i="9"/>
  <c r="A1191" i="9"/>
  <c r="I1190" i="9"/>
  <c r="H1190" i="9"/>
  <c r="G1190" i="9"/>
  <c r="F1190" i="9"/>
  <c r="E1190" i="9"/>
  <c r="D1190" i="9"/>
  <c r="C1190" i="9"/>
  <c r="B1190" i="9"/>
  <c r="A1190" i="9"/>
  <c r="I1189" i="9"/>
  <c r="H1189" i="9"/>
  <c r="G1189" i="9"/>
  <c r="F1189" i="9"/>
  <c r="E1189" i="9"/>
  <c r="D1189" i="9"/>
  <c r="C1189" i="9"/>
  <c r="B1189" i="9"/>
  <c r="A1189" i="9"/>
  <c r="I1188" i="9"/>
  <c r="H1188" i="9"/>
  <c r="F1188" i="9"/>
  <c r="E1188" i="9"/>
  <c r="D1188" i="9"/>
  <c r="C1188" i="9"/>
  <c r="B1188" i="9"/>
  <c r="A1188" i="9"/>
  <c r="I1187" i="9"/>
  <c r="H1187" i="9"/>
  <c r="F1187" i="9"/>
  <c r="E1187" i="9"/>
  <c r="D1187" i="9"/>
  <c r="C1187" i="9"/>
  <c r="B1187" i="9"/>
  <c r="A1187" i="9"/>
  <c r="I1186" i="9"/>
  <c r="H1186" i="9"/>
  <c r="G1186" i="9"/>
  <c r="F1186" i="9"/>
  <c r="E1186" i="9"/>
  <c r="D1186" i="9"/>
  <c r="C1186" i="9"/>
  <c r="B1186" i="9"/>
  <c r="A1186" i="9"/>
  <c r="I1185" i="9"/>
  <c r="H1185" i="9"/>
  <c r="G1185" i="9"/>
  <c r="F1185" i="9"/>
  <c r="E1185" i="9"/>
  <c r="D1185" i="9"/>
  <c r="C1185" i="9"/>
  <c r="B1185" i="9"/>
  <c r="A1185" i="9"/>
  <c r="I1184" i="9"/>
  <c r="H1184" i="9"/>
  <c r="G1184" i="9"/>
  <c r="F1184" i="9"/>
  <c r="E1184" i="9"/>
  <c r="D1184" i="9"/>
  <c r="C1184" i="9"/>
  <c r="B1184" i="9"/>
  <c r="A1184" i="9"/>
  <c r="I1183" i="9"/>
  <c r="H1183" i="9"/>
  <c r="G1183" i="9"/>
  <c r="F1183" i="9"/>
  <c r="E1183" i="9"/>
  <c r="D1183" i="9"/>
  <c r="C1183" i="9"/>
  <c r="B1183" i="9"/>
  <c r="A1183" i="9"/>
  <c r="I1182" i="9"/>
  <c r="H1182" i="9"/>
  <c r="F1182" i="9"/>
  <c r="E1182" i="9"/>
  <c r="D1182" i="9"/>
  <c r="C1182" i="9"/>
  <c r="B1182" i="9"/>
  <c r="A1182" i="9"/>
  <c r="I1181" i="9"/>
  <c r="H1181" i="9"/>
  <c r="F1181" i="9"/>
  <c r="E1181" i="9"/>
  <c r="D1181" i="9"/>
  <c r="C1181" i="9"/>
  <c r="B1181" i="9"/>
  <c r="A1181" i="9"/>
  <c r="I1180" i="9"/>
  <c r="H1180" i="9"/>
  <c r="G1180" i="9"/>
  <c r="F1180" i="9"/>
  <c r="E1180" i="9"/>
  <c r="D1180" i="9"/>
  <c r="C1180" i="9"/>
  <c r="B1180" i="9"/>
  <c r="A1180" i="9"/>
  <c r="I1179" i="9"/>
  <c r="H1179" i="9"/>
  <c r="G1179" i="9"/>
  <c r="F1179" i="9"/>
  <c r="E1179" i="9"/>
  <c r="D1179" i="9"/>
  <c r="C1179" i="9"/>
  <c r="B1179" i="9"/>
  <c r="A1179" i="9"/>
  <c r="I1178" i="9"/>
  <c r="H1178" i="9"/>
  <c r="G1178" i="9"/>
  <c r="F1178" i="9"/>
  <c r="E1178" i="9"/>
  <c r="D1178" i="9"/>
  <c r="C1178" i="9"/>
  <c r="B1178" i="9"/>
  <c r="A1178" i="9"/>
  <c r="I1177" i="9"/>
  <c r="H1177" i="9"/>
  <c r="G1177" i="9"/>
  <c r="F1177" i="9"/>
  <c r="E1177" i="9"/>
  <c r="D1177" i="9"/>
  <c r="C1177" i="9"/>
  <c r="B1177" i="9"/>
  <c r="A1177" i="9"/>
  <c r="I1176" i="9"/>
  <c r="H1176" i="9"/>
  <c r="G1176" i="9"/>
  <c r="F1176" i="9"/>
  <c r="E1176" i="9"/>
  <c r="D1176" i="9"/>
  <c r="C1176" i="9"/>
  <c r="B1176" i="9"/>
  <c r="A1176" i="9"/>
  <c r="I1175" i="9"/>
  <c r="H1175" i="9"/>
  <c r="F1175" i="9"/>
  <c r="E1175" i="9"/>
  <c r="D1175" i="9"/>
  <c r="C1175" i="9"/>
  <c r="B1175" i="9"/>
  <c r="A1175" i="9"/>
  <c r="I1174" i="9"/>
  <c r="H1174" i="9"/>
  <c r="G1174" i="9"/>
  <c r="F1174" i="9"/>
  <c r="E1174" i="9"/>
  <c r="D1174" i="9"/>
  <c r="C1174" i="9"/>
  <c r="B1174" i="9"/>
  <c r="A1174" i="9"/>
  <c r="I1173" i="9"/>
  <c r="H1173" i="9"/>
  <c r="F1173" i="9"/>
  <c r="E1173" i="9"/>
  <c r="D1173" i="9"/>
  <c r="C1173" i="9"/>
  <c r="B1173" i="9"/>
  <c r="A1173" i="9"/>
  <c r="I1172" i="9"/>
  <c r="H1172" i="9"/>
  <c r="F1172" i="9"/>
  <c r="E1172" i="9"/>
  <c r="D1172" i="9"/>
  <c r="C1172" i="9"/>
  <c r="B1172" i="9"/>
  <c r="A1172" i="9"/>
  <c r="I1171" i="9"/>
  <c r="H1171" i="9"/>
  <c r="F1171" i="9"/>
  <c r="E1171" i="9"/>
  <c r="D1171" i="9"/>
  <c r="C1171" i="9"/>
  <c r="B1171" i="9"/>
  <c r="A1171" i="9"/>
  <c r="I1170" i="9"/>
  <c r="H1170" i="9"/>
  <c r="F1170" i="9"/>
  <c r="E1170" i="9"/>
  <c r="D1170" i="9"/>
  <c r="C1170" i="9"/>
  <c r="B1170" i="9"/>
  <c r="A1170" i="9"/>
  <c r="I1169" i="9"/>
  <c r="H1169" i="9"/>
  <c r="F1169" i="9"/>
  <c r="E1169" i="9"/>
  <c r="D1169" i="9"/>
  <c r="C1169" i="9"/>
  <c r="B1169" i="9"/>
  <c r="A1169" i="9"/>
  <c r="I1168" i="9"/>
  <c r="H1168" i="9"/>
  <c r="F1168" i="9"/>
  <c r="E1168" i="9"/>
  <c r="D1168" i="9"/>
  <c r="C1168" i="9"/>
  <c r="B1168" i="9"/>
  <c r="A1168" i="9"/>
  <c r="I1167" i="9"/>
  <c r="H1167" i="9"/>
  <c r="G1167" i="9"/>
  <c r="F1167" i="9"/>
  <c r="E1167" i="9"/>
  <c r="D1167" i="9"/>
  <c r="C1167" i="9"/>
  <c r="B1167" i="9"/>
  <c r="A1167" i="9"/>
  <c r="I1166" i="9"/>
  <c r="H1166" i="9"/>
  <c r="G1166" i="9"/>
  <c r="F1166" i="9"/>
  <c r="E1166" i="9"/>
  <c r="D1166" i="9"/>
  <c r="C1166" i="9"/>
  <c r="B1166" i="9"/>
  <c r="A1166" i="9"/>
  <c r="I1165" i="9"/>
  <c r="H1165" i="9"/>
  <c r="G1165" i="9"/>
  <c r="F1165" i="9"/>
  <c r="E1165" i="9"/>
  <c r="D1165" i="9"/>
  <c r="C1165" i="9"/>
  <c r="B1165" i="9"/>
  <c r="A1165" i="9"/>
  <c r="I1164" i="9"/>
  <c r="H1164" i="9"/>
  <c r="F1164" i="9"/>
  <c r="E1164" i="9"/>
  <c r="D1164" i="9"/>
  <c r="C1164" i="9"/>
  <c r="B1164" i="9"/>
  <c r="A1164" i="9"/>
  <c r="I1163" i="9"/>
  <c r="H1163" i="9"/>
  <c r="F1163" i="9"/>
  <c r="E1163" i="9"/>
  <c r="D1163" i="9"/>
  <c r="C1163" i="9"/>
  <c r="B1163" i="9"/>
  <c r="A1163" i="9"/>
  <c r="I1162" i="9"/>
  <c r="H1162" i="9"/>
  <c r="G1162" i="9"/>
  <c r="F1162" i="9"/>
  <c r="E1162" i="9"/>
  <c r="D1162" i="9"/>
  <c r="C1162" i="9"/>
  <c r="B1162" i="9"/>
  <c r="A1162" i="9"/>
  <c r="I1161" i="9"/>
  <c r="H1161" i="9"/>
  <c r="G1161" i="9"/>
  <c r="F1161" i="9"/>
  <c r="E1161" i="9"/>
  <c r="D1161" i="9"/>
  <c r="C1161" i="9"/>
  <c r="B1161" i="9"/>
  <c r="A1161" i="9"/>
  <c r="I1160" i="9"/>
  <c r="H1160" i="9"/>
  <c r="F1160" i="9"/>
  <c r="E1160" i="9"/>
  <c r="D1160" i="9"/>
  <c r="C1160" i="9"/>
  <c r="B1160" i="9"/>
  <c r="A1160" i="9"/>
  <c r="I1159" i="9"/>
  <c r="H1159" i="9"/>
  <c r="F1159" i="9"/>
  <c r="E1159" i="9"/>
  <c r="D1159" i="9"/>
  <c r="C1159" i="9"/>
  <c r="B1159" i="9"/>
  <c r="A1159" i="9"/>
  <c r="I1158" i="9"/>
  <c r="H1158" i="9"/>
  <c r="F1158" i="9"/>
  <c r="E1158" i="9"/>
  <c r="D1158" i="9"/>
  <c r="C1158" i="9"/>
  <c r="B1158" i="9"/>
  <c r="A1158" i="9"/>
  <c r="I1157" i="9"/>
  <c r="H1157" i="9"/>
  <c r="F1157" i="9"/>
  <c r="E1157" i="9"/>
  <c r="D1157" i="9"/>
  <c r="C1157" i="9"/>
  <c r="B1157" i="9"/>
  <c r="A1157" i="9"/>
  <c r="I1156" i="9"/>
  <c r="H1156" i="9"/>
  <c r="F1156" i="9"/>
  <c r="E1156" i="9"/>
  <c r="D1156" i="9"/>
  <c r="C1156" i="9"/>
  <c r="B1156" i="9"/>
  <c r="A1156" i="9"/>
  <c r="I1155" i="9"/>
  <c r="H1155" i="9"/>
  <c r="F1155" i="9"/>
  <c r="E1155" i="9"/>
  <c r="D1155" i="9"/>
  <c r="C1155" i="9"/>
  <c r="B1155" i="9"/>
  <c r="A1155" i="9"/>
  <c r="I1154" i="9"/>
  <c r="H1154" i="9"/>
  <c r="F1154" i="9"/>
  <c r="E1154" i="9"/>
  <c r="D1154" i="9"/>
  <c r="C1154" i="9"/>
  <c r="B1154" i="9"/>
  <c r="A1154" i="9"/>
  <c r="I1153" i="9"/>
  <c r="H1153" i="9"/>
  <c r="F1153" i="9"/>
  <c r="E1153" i="9"/>
  <c r="D1153" i="9"/>
  <c r="C1153" i="9"/>
  <c r="B1153" i="9"/>
  <c r="A1153" i="9"/>
  <c r="I1152" i="9"/>
  <c r="H1152" i="9"/>
  <c r="F1152" i="9"/>
  <c r="E1152" i="9"/>
  <c r="D1152" i="9"/>
  <c r="C1152" i="9"/>
  <c r="B1152" i="9"/>
  <c r="A1152" i="9"/>
  <c r="I1151" i="9"/>
  <c r="H1151" i="9"/>
  <c r="F1151" i="9"/>
  <c r="E1151" i="9"/>
  <c r="D1151" i="9"/>
  <c r="C1151" i="9"/>
  <c r="B1151" i="9"/>
  <c r="A1151" i="9"/>
  <c r="I1150" i="9"/>
  <c r="H1150" i="9"/>
  <c r="F1150" i="9"/>
  <c r="E1150" i="9"/>
  <c r="D1150" i="9"/>
  <c r="C1150" i="9"/>
  <c r="B1150" i="9"/>
  <c r="A1150" i="9"/>
  <c r="I1149" i="9"/>
  <c r="H1149" i="9"/>
  <c r="F1149" i="9"/>
  <c r="E1149" i="9"/>
  <c r="D1149" i="9"/>
  <c r="C1149" i="9"/>
  <c r="B1149" i="9"/>
  <c r="A1149" i="9"/>
  <c r="I1148" i="9"/>
  <c r="H1148" i="9"/>
  <c r="F1148" i="9"/>
  <c r="E1148" i="9"/>
  <c r="D1148" i="9"/>
  <c r="C1148" i="9"/>
  <c r="B1148" i="9"/>
  <c r="A1148" i="9"/>
  <c r="I1147" i="9"/>
  <c r="H1147" i="9"/>
  <c r="G1147" i="9"/>
  <c r="F1147" i="9"/>
  <c r="E1147" i="9"/>
  <c r="D1147" i="9"/>
  <c r="C1147" i="9"/>
  <c r="B1147" i="9"/>
  <c r="A1147" i="9"/>
  <c r="I1146" i="9"/>
  <c r="H1146" i="9"/>
  <c r="F1146" i="9"/>
  <c r="E1146" i="9"/>
  <c r="D1146" i="9"/>
  <c r="C1146" i="9"/>
  <c r="B1146" i="9"/>
  <c r="A1146" i="9"/>
  <c r="I1145" i="9"/>
  <c r="H1145" i="9"/>
  <c r="F1145" i="9"/>
  <c r="E1145" i="9"/>
  <c r="D1145" i="9"/>
  <c r="C1145" i="9"/>
  <c r="B1145" i="9"/>
  <c r="A1145" i="9"/>
  <c r="I1144" i="9"/>
  <c r="H1144" i="9"/>
  <c r="F1144" i="9"/>
  <c r="E1144" i="9"/>
  <c r="D1144" i="9"/>
  <c r="C1144" i="9"/>
  <c r="B1144" i="9"/>
  <c r="A1144" i="9"/>
  <c r="I1143" i="9"/>
  <c r="H1143" i="9"/>
  <c r="F1143" i="9"/>
  <c r="E1143" i="9"/>
  <c r="D1143" i="9"/>
  <c r="C1143" i="9"/>
  <c r="B1143" i="9"/>
  <c r="A1143" i="9"/>
  <c r="I1142" i="9"/>
  <c r="H1142" i="9"/>
  <c r="F1142" i="9"/>
  <c r="E1142" i="9"/>
  <c r="D1142" i="9"/>
  <c r="C1142" i="9"/>
  <c r="B1142" i="9"/>
  <c r="A1142" i="9"/>
  <c r="I1141" i="9"/>
  <c r="H1141" i="9"/>
  <c r="F1141" i="9"/>
  <c r="E1141" i="9"/>
  <c r="D1141" i="9"/>
  <c r="C1141" i="9"/>
  <c r="B1141" i="9"/>
  <c r="A1141" i="9"/>
  <c r="I1140" i="9"/>
  <c r="H1140" i="9"/>
  <c r="F1140" i="9"/>
  <c r="E1140" i="9"/>
  <c r="D1140" i="9"/>
  <c r="C1140" i="9"/>
  <c r="B1140" i="9"/>
  <c r="A1140" i="9"/>
  <c r="I1139" i="9"/>
  <c r="H1139" i="9"/>
  <c r="F1139" i="9"/>
  <c r="E1139" i="9"/>
  <c r="D1139" i="9"/>
  <c r="C1139" i="9"/>
  <c r="B1139" i="9"/>
  <c r="A1139" i="9"/>
  <c r="I1138" i="9"/>
  <c r="H1138" i="9"/>
  <c r="F1138" i="9"/>
  <c r="E1138" i="9"/>
  <c r="D1138" i="9"/>
  <c r="C1138" i="9"/>
  <c r="B1138" i="9"/>
  <c r="A1138" i="9"/>
  <c r="I1137" i="9"/>
  <c r="H1137" i="9"/>
  <c r="F1137" i="9"/>
  <c r="E1137" i="9"/>
  <c r="D1137" i="9"/>
  <c r="C1137" i="9"/>
  <c r="B1137" i="9"/>
  <c r="A1137" i="9"/>
  <c r="I1136" i="9"/>
  <c r="H1136" i="9"/>
  <c r="F1136" i="9"/>
  <c r="E1136" i="9"/>
  <c r="D1136" i="9"/>
  <c r="C1136" i="9"/>
  <c r="B1136" i="9"/>
  <c r="A1136" i="9"/>
  <c r="I1135" i="9"/>
  <c r="H1135" i="9"/>
  <c r="F1135" i="9"/>
  <c r="E1135" i="9"/>
  <c r="D1135" i="9"/>
  <c r="C1135" i="9"/>
  <c r="B1135" i="9"/>
  <c r="A1135" i="9"/>
  <c r="I1134" i="9"/>
  <c r="H1134" i="9"/>
  <c r="F1134" i="9"/>
  <c r="E1134" i="9"/>
  <c r="D1134" i="9"/>
  <c r="C1134" i="9"/>
  <c r="B1134" i="9"/>
  <c r="A1134" i="9"/>
  <c r="I1133" i="9"/>
  <c r="H1133" i="9"/>
  <c r="F1133" i="9"/>
  <c r="E1133" i="9"/>
  <c r="D1133" i="9"/>
  <c r="C1133" i="9"/>
  <c r="B1133" i="9"/>
  <c r="A1133" i="9"/>
  <c r="I1132" i="9"/>
  <c r="H1132" i="9"/>
  <c r="F1132" i="9"/>
  <c r="E1132" i="9"/>
  <c r="D1132" i="9"/>
  <c r="C1132" i="9"/>
  <c r="B1132" i="9"/>
  <c r="A1132" i="9"/>
  <c r="I1131" i="9"/>
  <c r="H1131" i="9"/>
  <c r="F1131" i="9"/>
  <c r="E1131" i="9"/>
  <c r="D1131" i="9"/>
  <c r="C1131" i="9"/>
  <c r="B1131" i="9"/>
  <c r="A1131" i="9"/>
  <c r="I1130" i="9"/>
  <c r="H1130" i="9"/>
  <c r="F1130" i="9"/>
  <c r="E1130" i="9"/>
  <c r="D1130" i="9"/>
  <c r="C1130" i="9"/>
  <c r="B1130" i="9"/>
  <c r="A1130" i="9"/>
  <c r="I1129" i="9"/>
  <c r="H1129" i="9"/>
  <c r="F1129" i="9"/>
  <c r="E1129" i="9"/>
  <c r="D1129" i="9"/>
  <c r="C1129" i="9"/>
  <c r="B1129" i="9"/>
  <c r="A1129" i="9"/>
  <c r="I1128" i="9"/>
  <c r="H1128" i="9"/>
  <c r="F1128" i="9"/>
  <c r="E1128" i="9"/>
  <c r="D1128" i="9"/>
  <c r="C1128" i="9"/>
  <c r="B1128" i="9"/>
  <c r="A1128" i="9"/>
  <c r="I1127" i="9"/>
  <c r="H1127" i="9"/>
  <c r="F1127" i="9"/>
  <c r="E1127" i="9"/>
  <c r="D1127" i="9"/>
  <c r="C1127" i="9"/>
  <c r="B1127" i="9"/>
  <c r="A1127" i="9"/>
  <c r="I1126" i="9"/>
  <c r="H1126" i="9"/>
  <c r="F1126" i="9"/>
  <c r="E1126" i="9"/>
  <c r="D1126" i="9"/>
  <c r="C1126" i="9"/>
  <c r="B1126" i="9"/>
  <c r="A1126" i="9"/>
  <c r="I1125" i="9"/>
  <c r="H1125" i="9"/>
  <c r="F1125" i="9"/>
  <c r="E1125" i="9"/>
  <c r="D1125" i="9"/>
  <c r="C1125" i="9"/>
  <c r="B1125" i="9"/>
  <c r="A1125" i="9"/>
  <c r="I1124" i="9"/>
  <c r="H1124" i="9"/>
  <c r="F1124" i="9"/>
  <c r="E1124" i="9"/>
  <c r="D1124" i="9"/>
  <c r="C1124" i="9"/>
  <c r="B1124" i="9"/>
  <c r="A1124" i="9"/>
  <c r="I1123" i="9"/>
  <c r="H1123" i="9"/>
  <c r="F1123" i="9"/>
  <c r="E1123" i="9"/>
  <c r="D1123" i="9"/>
  <c r="C1123" i="9"/>
  <c r="B1123" i="9"/>
  <c r="A1123" i="9"/>
  <c r="I1122" i="9"/>
  <c r="H1122" i="9"/>
  <c r="F1122" i="9"/>
  <c r="E1122" i="9"/>
  <c r="D1122" i="9"/>
  <c r="C1122" i="9"/>
  <c r="B1122" i="9"/>
  <c r="A1122" i="9"/>
  <c r="I1121" i="9"/>
  <c r="H1121" i="9"/>
  <c r="F1121" i="9"/>
  <c r="E1121" i="9"/>
  <c r="D1121" i="9"/>
  <c r="C1121" i="9"/>
  <c r="B1121" i="9"/>
  <c r="A1121" i="9"/>
  <c r="I1120" i="9"/>
  <c r="H1120" i="9"/>
  <c r="F1120" i="9"/>
  <c r="E1120" i="9"/>
  <c r="D1120" i="9"/>
  <c r="C1120" i="9"/>
  <c r="B1120" i="9"/>
  <c r="A1120" i="9"/>
  <c r="I1119" i="9"/>
  <c r="H1119" i="9"/>
  <c r="F1119" i="9"/>
  <c r="E1119" i="9"/>
  <c r="D1119" i="9"/>
  <c r="C1119" i="9"/>
  <c r="B1119" i="9"/>
  <c r="A1119" i="9"/>
  <c r="I1118" i="9"/>
  <c r="H1118" i="9"/>
  <c r="F1118" i="9"/>
  <c r="E1118" i="9"/>
  <c r="D1118" i="9"/>
  <c r="C1118" i="9"/>
  <c r="B1118" i="9"/>
  <c r="A1118" i="9"/>
  <c r="I1117" i="9"/>
  <c r="H1117" i="9"/>
  <c r="F1117" i="9"/>
  <c r="E1117" i="9"/>
  <c r="D1117" i="9"/>
  <c r="C1117" i="9"/>
  <c r="B1117" i="9"/>
  <c r="A1117" i="9"/>
  <c r="I1116" i="9"/>
  <c r="H1116" i="9"/>
  <c r="F1116" i="9"/>
  <c r="E1116" i="9"/>
  <c r="D1116" i="9"/>
  <c r="C1116" i="9"/>
  <c r="B1116" i="9"/>
  <c r="A1116" i="9"/>
  <c r="I1115" i="9"/>
  <c r="H1115" i="9"/>
  <c r="F1115" i="9"/>
  <c r="E1115" i="9"/>
  <c r="D1115" i="9"/>
  <c r="C1115" i="9"/>
  <c r="B1115" i="9"/>
  <c r="A1115" i="9"/>
  <c r="I1114" i="9"/>
  <c r="H1114" i="9"/>
  <c r="F1114" i="9"/>
  <c r="E1114" i="9"/>
  <c r="D1114" i="9"/>
  <c r="C1114" i="9"/>
  <c r="B1114" i="9"/>
  <c r="A1114" i="9"/>
  <c r="I1113" i="9"/>
  <c r="H1113" i="9"/>
  <c r="F1113" i="9"/>
  <c r="E1113" i="9"/>
  <c r="D1113" i="9"/>
  <c r="C1113" i="9"/>
  <c r="B1113" i="9"/>
  <c r="A1113" i="9"/>
  <c r="I1112" i="9"/>
  <c r="H1112" i="9"/>
  <c r="G1112" i="9"/>
  <c r="F1112" i="9"/>
  <c r="E1112" i="9"/>
  <c r="D1112" i="9"/>
  <c r="C1112" i="9"/>
  <c r="B1112" i="9"/>
  <c r="A1112" i="9"/>
  <c r="I1111" i="9"/>
  <c r="H1111" i="9"/>
  <c r="G1111" i="9"/>
  <c r="F1111" i="9"/>
  <c r="E1111" i="9"/>
  <c r="D1111" i="9"/>
  <c r="C1111" i="9"/>
  <c r="B1111" i="9"/>
  <c r="A1111" i="9"/>
  <c r="I1110" i="9"/>
  <c r="H1110" i="9"/>
  <c r="F1110" i="9"/>
  <c r="E1110" i="9"/>
  <c r="D1110" i="9"/>
  <c r="C1110" i="9"/>
  <c r="B1110" i="9"/>
  <c r="A1110" i="9"/>
  <c r="I1109" i="9"/>
  <c r="H1109" i="9"/>
  <c r="F1109" i="9"/>
  <c r="E1109" i="9"/>
  <c r="D1109" i="9"/>
  <c r="C1109" i="9"/>
  <c r="B1109" i="9"/>
  <c r="A1109" i="9"/>
  <c r="I1108" i="9"/>
  <c r="H1108" i="9"/>
  <c r="F1108" i="9"/>
  <c r="E1108" i="9"/>
  <c r="D1108" i="9"/>
  <c r="C1108" i="9"/>
  <c r="B1108" i="9"/>
  <c r="A1108" i="9"/>
  <c r="I1107" i="9"/>
  <c r="H1107" i="9"/>
  <c r="F1107" i="9"/>
  <c r="E1107" i="9"/>
  <c r="D1107" i="9"/>
  <c r="C1107" i="9"/>
  <c r="B1107" i="9"/>
  <c r="A1107" i="9"/>
  <c r="I1106" i="9"/>
  <c r="H1106" i="9"/>
  <c r="F1106" i="9"/>
  <c r="E1106" i="9"/>
  <c r="D1106" i="9"/>
  <c r="C1106" i="9"/>
  <c r="B1106" i="9"/>
  <c r="A1106" i="9"/>
  <c r="I1105" i="9"/>
  <c r="H1105" i="9"/>
  <c r="F1105" i="9"/>
  <c r="E1105" i="9"/>
  <c r="D1105" i="9"/>
  <c r="C1105" i="9"/>
  <c r="B1105" i="9"/>
  <c r="A1105" i="9"/>
  <c r="I1104" i="9"/>
  <c r="H1104" i="9"/>
  <c r="F1104" i="9"/>
  <c r="E1104" i="9"/>
  <c r="D1104" i="9"/>
  <c r="C1104" i="9"/>
  <c r="B1104" i="9"/>
  <c r="A1104" i="9"/>
  <c r="I1103" i="9"/>
  <c r="H1103" i="9"/>
  <c r="F1103" i="9"/>
  <c r="E1103" i="9"/>
  <c r="D1103" i="9"/>
  <c r="C1103" i="9"/>
  <c r="B1103" i="9"/>
  <c r="A1103" i="9"/>
  <c r="I1102" i="9"/>
  <c r="H1102" i="9"/>
  <c r="F1102" i="9"/>
  <c r="E1102" i="9"/>
  <c r="D1102" i="9"/>
  <c r="C1102" i="9"/>
  <c r="B1102" i="9"/>
  <c r="A1102" i="9"/>
  <c r="I1101" i="9"/>
  <c r="H1101" i="9"/>
  <c r="F1101" i="9"/>
  <c r="E1101" i="9"/>
  <c r="D1101" i="9"/>
  <c r="C1101" i="9"/>
  <c r="B1101" i="9"/>
  <c r="A1101" i="9"/>
  <c r="I1100" i="9"/>
  <c r="H1100" i="9"/>
  <c r="F1100" i="9"/>
  <c r="E1100" i="9"/>
  <c r="D1100" i="9"/>
  <c r="C1100" i="9"/>
  <c r="B1100" i="9"/>
  <c r="A1100" i="9"/>
  <c r="I1099" i="9"/>
  <c r="H1099" i="9"/>
  <c r="F1099" i="9"/>
  <c r="E1099" i="9"/>
  <c r="D1099" i="9"/>
  <c r="C1099" i="9"/>
  <c r="B1099" i="9"/>
  <c r="A1099" i="9"/>
  <c r="I1098" i="9"/>
  <c r="H1098" i="9"/>
  <c r="F1098" i="9"/>
  <c r="E1098" i="9"/>
  <c r="D1098" i="9"/>
  <c r="C1098" i="9"/>
  <c r="B1098" i="9"/>
  <c r="A1098" i="9"/>
  <c r="I1097" i="9"/>
  <c r="H1097" i="9"/>
  <c r="F1097" i="9"/>
  <c r="E1097" i="9"/>
  <c r="D1097" i="9"/>
  <c r="C1097" i="9"/>
  <c r="B1097" i="9"/>
  <c r="A1097" i="9"/>
  <c r="I1096" i="9"/>
  <c r="H1096" i="9"/>
  <c r="F1096" i="9"/>
  <c r="E1096" i="9"/>
  <c r="D1096" i="9"/>
  <c r="C1096" i="9"/>
  <c r="B1096" i="9"/>
  <c r="A1096" i="9"/>
  <c r="I1095" i="9"/>
  <c r="H1095" i="9"/>
  <c r="F1095" i="9"/>
  <c r="E1095" i="9"/>
  <c r="D1095" i="9"/>
  <c r="C1095" i="9"/>
  <c r="B1095" i="9"/>
  <c r="A1095" i="9"/>
  <c r="I1094" i="9"/>
  <c r="H1094" i="9"/>
  <c r="F1094" i="9"/>
  <c r="E1094" i="9"/>
  <c r="D1094" i="9"/>
  <c r="C1094" i="9"/>
  <c r="B1094" i="9"/>
  <c r="A1094" i="9"/>
  <c r="I1093" i="9"/>
  <c r="H1093" i="9"/>
  <c r="F1093" i="9"/>
  <c r="E1093" i="9"/>
  <c r="D1093" i="9"/>
  <c r="C1093" i="9"/>
  <c r="B1093" i="9"/>
  <c r="A1093" i="9"/>
  <c r="I1092" i="9"/>
  <c r="H1092" i="9"/>
  <c r="F1092" i="9"/>
  <c r="E1092" i="9"/>
  <c r="D1092" i="9"/>
  <c r="C1092" i="9"/>
  <c r="B1092" i="9"/>
  <c r="A1092" i="9"/>
  <c r="I1091" i="9"/>
  <c r="H1091" i="9"/>
  <c r="F1091" i="9"/>
  <c r="E1091" i="9"/>
  <c r="D1091" i="9"/>
  <c r="C1091" i="9"/>
  <c r="B1091" i="9"/>
  <c r="A1091" i="9"/>
  <c r="I1090" i="9"/>
  <c r="H1090" i="9"/>
  <c r="F1090" i="9"/>
  <c r="E1090" i="9"/>
  <c r="D1090" i="9"/>
  <c r="C1090" i="9"/>
  <c r="B1090" i="9"/>
  <c r="A1090" i="9"/>
  <c r="I1089" i="9"/>
  <c r="H1089" i="9"/>
  <c r="F1089" i="9"/>
  <c r="E1089" i="9"/>
  <c r="D1089" i="9"/>
  <c r="C1089" i="9"/>
  <c r="B1089" i="9"/>
  <c r="A1089" i="9"/>
  <c r="I1088" i="9"/>
  <c r="H1088" i="9"/>
  <c r="F1088" i="9"/>
  <c r="E1088" i="9"/>
  <c r="D1088" i="9"/>
  <c r="C1088" i="9"/>
  <c r="B1088" i="9"/>
  <c r="A1088" i="9"/>
  <c r="I1087" i="9"/>
  <c r="H1087" i="9"/>
  <c r="G1087" i="9"/>
  <c r="F1087" i="9"/>
  <c r="E1087" i="9"/>
  <c r="D1087" i="9"/>
  <c r="C1087" i="9"/>
  <c r="B1087" i="9"/>
  <c r="A1087" i="9"/>
  <c r="I1086" i="9"/>
  <c r="H1086" i="9"/>
  <c r="F1086" i="9"/>
  <c r="E1086" i="9"/>
  <c r="D1086" i="9"/>
  <c r="C1086" i="9"/>
  <c r="B1086" i="9"/>
  <c r="A1086" i="9"/>
  <c r="I1085" i="9"/>
  <c r="H1085" i="9"/>
  <c r="F1085" i="9"/>
  <c r="E1085" i="9"/>
  <c r="D1085" i="9"/>
  <c r="C1085" i="9"/>
  <c r="B1085" i="9"/>
  <c r="A1085" i="9"/>
  <c r="I1084" i="9"/>
  <c r="H1084" i="9"/>
  <c r="F1084" i="9"/>
  <c r="E1084" i="9"/>
  <c r="D1084" i="9"/>
  <c r="C1084" i="9"/>
  <c r="B1084" i="9"/>
  <c r="A1084" i="9"/>
  <c r="I1083" i="9"/>
  <c r="H1083" i="9"/>
  <c r="F1083" i="9"/>
  <c r="E1083" i="9"/>
  <c r="D1083" i="9"/>
  <c r="C1083" i="9"/>
  <c r="B1083" i="9"/>
  <c r="A1083" i="9"/>
  <c r="I1082" i="9"/>
  <c r="H1082" i="9"/>
  <c r="F1082" i="9"/>
  <c r="E1082" i="9"/>
  <c r="D1082" i="9"/>
  <c r="C1082" i="9"/>
  <c r="B1082" i="9"/>
  <c r="A1082" i="9"/>
  <c r="I1081" i="9"/>
  <c r="H1081" i="9"/>
  <c r="F1081" i="9"/>
  <c r="E1081" i="9"/>
  <c r="D1081" i="9"/>
  <c r="C1081" i="9"/>
  <c r="B1081" i="9"/>
  <c r="A1081" i="9"/>
  <c r="I1080" i="9"/>
  <c r="H1080" i="9"/>
  <c r="F1080" i="9"/>
  <c r="E1080" i="9"/>
  <c r="D1080" i="9"/>
  <c r="C1080" i="9"/>
  <c r="B1080" i="9"/>
  <c r="A1080" i="9"/>
  <c r="I1079" i="9"/>
  <c r="H1079" i="9"/>
  <c r="F1079" i="9"/>
  <c r="E1079" i="9"/>
  <c r="D1079" i="9"/>
  <c r="C1079" i="9"/>
  <c r="B1079" i="9"/>
  <c r="A1079" i="9"/>
  <c r="I1078" i="9"/>
  <c r="H1078" i="9"/>
  <c r="F1078" i="9"/>
  <c r="E1078" i="9"/>
  <c r="D1078" i="9"/>
  <c r="C1078" i="9"/>
  <c r="B1078" i="9"/>
  <c r="A1078" i="9"/>
  <c r="I1077" i="9"/>
  <c r="H1077" i="9"/>
  <c r="F1077" i="9"/>
  <c r="E1077" i="9"/>
  <c r="D1077" i="9"/>
  <c r="C1077" i="9"/>
  <c r="B1077" i="9"/>
  <c r="A1077" i="9"/>
  <c r="I1076" i="9"/>
  <c r="H1076" i="9"/>
  <c r="F1076" i="9"/>
  <c r="E1076" i="9"/>
  <c r="D1076" i="9"/>
  <c r="C1076" i="9"/>
  <c r="B1076" i="9"/>
  <c r="A1076" i="9"/>
  <c r="I1075" i="9"/>
  <c r="H1075" i="9"/>
  <c r="F1075" i="9"/>
  <c r="E1075" i="9"/>
  <c r="D1075" i="9"/>
  <c r="C1075" i="9"/>
  <c r="B1075" i="9"/>
  <c r="A1075" i="9"/>
  <c r="I1074" i="9"/>
  <c r="H1074" i="9"/>
  <c r="F1074" i="9"/>
  <c r="E1074" i="9"/>
  <c r="D1074" i="9"/>
  <c r="C1074" i="9"/>
  <c r="B1074" i="9"/>
  <c r="A1074" i="9"/>
  <c r="I1073" i="9"/>
  <c r="H1073" i="9"/>
  <c r="F1073" i="9"/>
  <c r="E1073" i="9"/>
  <c r="D1073" i="9"/>
  <c r="C1073" i="9"/>
  <c r="B1073" i="9"/>
  <c r="A1073" i="9"/>
  <c r="I1072" i="9"/>
  <c r="H1072" i="9"/>
  <c r="F1072" i="9"/>
  <c r="E1072" i="9"/>
  <c r="D1072" i="9"/>
  <c r="C1072" i="9"/>
  <c r="B1072" i="9"/>
  <c r="A1072" i="9"/>
  <c r="I1071" i="9"/>
  <c r="H1071" i="9"/>
  <c r="F1071" i="9"/>
  <c r="E1071" i="9"/>
  <c r="D1071" i="9"/>
  <c r="C1071" i="9"/>
  <c r="B1071" i="9"/>
  <c r="A1071" i="9"/>
  <c r="I1070" i="9"/>
  <c r="H1070" i="9"/>
  <c r="F1070" i="9"/>
  <c r="E1070" i="9"/>
  <c r="D1070" i="9"/>
  <c r="C1070" i="9"/>
  <c r="B1070" i="9"/>
  <c r="A1070" i="9"/>
  <c r="I1069" i="9"/>
  <c r="H1069" i="9"/>
  <c r="F1069" i="9"/>
  <c r="E1069" i="9"/>
  <c r="D1069" i="9"/>
  <c r="C1069" i="9"/>
  <c r="B1069" i="9"/>
  <c r="A1069" i="9"/>
  <c r="I1068" i="9"/>
  <c r="H1068" i="9"/>
  <c r="F1068" i="9"/>
  <c r="E1068" i="9"/>
  <c r="D1068" i="9"/>
  <c r="C1068" i="9"/>
  <c r="B1068" i="9"/>
  <c r="A1068" i="9"/>
  <c r="I1067" i="9"/>
  <c r="H1067" i="9"/>
  <c r="F1067" i="9"/>
  <c r="E1067" i="9"/>
  <c r="D1067" i="9"/>
  <c r="C1067" i="9"/>
  <c r="B1067" i="9"/>
  <c r="A1067" i="9"/>
  <c r="I1066" i="9"/>
  <c r="H1066" i="9"/>
  <c r="F1066" i="9"/>
  <c r="E1066" i="9"/>
  <c r="D1066" i="9"/>
  <c r="C1066" i="9"/>
  <c r="B1066" i="9"/>
  <c r="A1066" i="9"/>
  <c r="I1065" i="9"/>
  <c r="H1065" i="9"/>
  <c r="F1065" i="9"/>
  <c r="E1065" i="9"/>
  <c r="D1065" i="9"/>
  <c r="C1065" i="9"/>
  <c r="B1065" i="9"/>
  <c r="A1065" i="9"/>
  <c r="I1064" i="9"/>
  <c r="H1064" i="9"/>
  <c r="F1064" i="9"/>
  <c r="E1064" i="9"/>
  <c r="D1064" i="9"/>
  <c r="C1064" i="9"/>
  <c r="B1064" i="9"/>
  <c r="A1064" i="9"/>
  <c r="I1063" i="9"/>
  <c r="H1063" i="9"/>
  <c r="G1063" i="9"/>
  <c r="F1063" i="9"/>
  <c r="E1063" i="9"/>
  <c r="D1063" i="9"/>
  <c r="C1063" i="9"/>
  <c r="B1063" i="9"/>
  <c r="A1063" i="9"/>
  <c r="I1062" i="9"/>
  <c r="H1062" i="9"/>
  <c r="G1062" i="9"/>
  <c r="F1062" i="9"/>
  <c r="E1062" i="9"/>
  <c r="D1062" i="9"/>
  <c r="C1062" i="9"/>
  <c r="B1062" i="9"/>
  <c r="A1062" i="9"/>
  <c r="I1061" i="9"/>
  <c r="H1061" i="9"/>
  <c r="F1061" i="9"/>
  <c r="E1061" i="9"/>
  <c r="D1061" i="9"/>
  <c r="C1061" i="9"/>
  <c r="B1061" i="9"/>
  <c r="A1061" i="9"/>
  <c r="I1060" i="9"/>
  <c r="H1060" i="9"/>
  <c r="G1060" i="9"/>
  <c r="F1060" i="9"/>
  <c r="E1060" i="9"/>
  <c r="D1060" i="9"/>
  <c r="C1060" i="9"/>
  <c r="B1060" i="9"/>
  <c r="A1060" i="9"/>
  <c r="I1059" i="9"/>
  <c r="H1059" i="9"/>
  <c r="G1059" i="9"/>
  <c r="F1059" i="9"/>
  <c r="E1059" i="9"/>
  <c r="D1059" i="9"/>
  <c r="C1059" i="9"/>
  <c r="B1059" i="9"/>
  <c r="A1059" i="9"/>
  <c r="I1058" i="9"/>
  <c r="H1058" i="9"/>
  <c r="F1058" i="9"/>
  <c r="E1058" i="9"/>
  <c r="D1058" i="9"/>
  <c r="C1058" i="9"/>
  <c r="B1058" i="9"/>
  <c r="A1058" i="9"/>
  <c r="I1057" i="9"/>
  <c r="H1057" i="9"/>
  <c r="F1057" i="9"/>
  <c r="E1057" i="9"/>
  <c r="D1057" i="9"/>
  <c r="C1057" i="9"/>
  <c r="B1057" i="9"/>
  <c r="A1057" i="9"/>
  <c r="I1056" i="9"/>
  <c r="H1056" i="9"/>
  <c r="F1056" i="9"/>
  <c r="E1056" i="9"/>
  <c r="D1056" i="9"/>
  <c r="C1056" i="9"/>
  <c r="B1056" i="9"/>
  <c r="A1056" i="9"/>
  <c r="I1055" i="9"/>
  <c r="H1055" i="9"/>
  <c r="G1055" i="9"/>
  <c r="F1055" i="9"/>
  <c r="E1055" i="9"/>
  <c r="D1055" i="9"/>
  <c r="C1055" i="9"/>
  <c r="B1055" i="9"/>
  <c r="A1055" i="9"/>
  <c r="I1054" i="9"/>
  <c r="H1054" i="9"/>
  <c r="G1054" i="9"/>
  <c r="F1054" i="9"/>
  <c r="E1054" i="9"/>
  <c r="D1054" i="9"/>
  <c r="C1054" i="9"/>
  <c r="B1054" i="9"/>
  <c r="A1054" i="9"/>
  <c r="I1053" i="9"/>
  <c r="H1053" i="9"/>
  <c r="G1053" i="9"/>
  <c r="F1053" i="9"/>
  <c r="E1053" i="9"/>
  <c r="D1053" i="9"/>
  <c r="C1053" i="9"/>
  <c r="B1053" i="9"/>
  <c r="A1053" i="9"/>
  <c r="I1052" i="9"/>
  <c r="H1052" i="9"/>
  <c r="F1052" i="9"/>
  <c r="E1052" i="9"/>
  <c r="D1052" i="9"/>
  <c r="C1052" i="9"/>
  <c r="B1052" i="9"/>
  <c r="A1052" i="9"/>
  <c r="I1051" i="9"/>
  <c r="H1051" i="9"/>
  <c r="F1051" i="9"/>
  <c r="E1051" i="9"/>
  <c r="D1051" i="9"/>
  <c r="C1051" i="9"/>
  <c r="B1051" i="9"/>
  <c r="A1051" i="9"/>
  <c r="I1050" i="9"/>
  <c r="H1050" i="9"/>
  <c r="G1050" i="9"/>
  <c r="F1050" i="9"/>
  <c r="E1050" i="9"/>
  <c r="D1050" i="9"/>
  <c r="C1050" i="9"/>
  <c r="B1050" i="9"/>
  <c r="A1050" i="9"/>
  <c r="I1049" i="9"/>
  <c r="H1049" i="9"/>
  <c r="G1049" i="9"/>
  <c r="F1049" i="9"/>
  <c r="E1049" i="9"/>
  <c r="D1049" i="9"/>
  <c r="C1049" i="9"/>
  <c r="B1049" i="9"/>
  <c r="A1049" i="9"/>
  <c r="I1048" i="9"/>
  <c r="H1048" i="9"/>
  <c r="F1048" i="9"/>
  <c r="E1048" i="9"/>
  <c r="D1048" i="9"/>
  <c r="C1048" i="9"/>
  <c r="B1048" i="9"/>
  <c r="A1048" i="9"/>
  <c r="I1047" i="9"/>
  <c r="H1047" i="9"/>
  <c r="F1047" i="9"/>
  <c r="E1047" i="9"/>
  <c r="D1047" i="9"/>
  <c r="C1047" i="9"/>
  <c r="B1047" i="9"/>
  <c r="A1047" i="9"/>
  <c r="I1046" i="9"/>
  <c r="H1046" i="9"/>
  <c r="F1046" i="9"/>
  <c r="E1046" i="9"/>
  <c r="D1046" i="9"/>
  <c r="C1046" i="9"/>
  <c r="B1046" i="9"/>
  <c r="A1046" i="9"/>
  <c r="I1045" i="9"/>
  <c r="H1045" i="9"/>
  <c r="F1045" i="9"/>
  <c r="E1045" i="9"/>
  <c r="D1045" i="9"/>
  <c r="C1045" i="9"/>
  <c r="B1045" i="9"/>
  <c r="A1045" i="9"/>
  <c r="I1044" i="9"/>
  <c r="H1044" i="9"/>
  <c r="F1044" i="9"/>
  <c r="E1044" i="9"/>
  <c r="D1044" i="9"/>
  <c r="C1044" i="9"/>
  <c r="B1044" i="9"/>
  <c r="A1044" i="9"/>
  <c r="I1043" i="9"/>
  <c r="H1043" i="9"/>
  <c r="G1043" i="9"/>
  <c r="F1043" i="9"/>
  <c r="E1043" i="9"/>
  <c r="D1043" i="9"/>
  <c r="C1043" i="9"/>
  <c r="B1043" i="9"/>
  <c r="A1043" i="9"/>
  <c r="I1042" i="9"/>
  <c r="H1042" i="9"/>
  <c r="F1042" i="9"/>
  <c r="E1042" i="9"/>
  <c r="D1042" i="9"/>
  <c r="C1042" i="9"/>
  <c r="B1042" i="9"/>
  <c r="A1042" i="9"/>
  <c r="I1041" i="9"/>
  <c r="H1041" i="9"/>
  <c r="F1041" i="9"/>
  <c r="E1041" i="9"/>
  <c r="D1041" i="9"/>
  <c r="C1041" i="9"/>
  <c r="B1041" i="9"/>
  <c r="A1041" i="9"/>
  <c r="I1040" i="9"/>
  <c r="H1040" i="9"/>
  <c r="F1040" i="9"/>
  <c r="E1040" i="9"/>
  <c r="D1040" i="9"/>
  <c r="C1040" i="9"/>
  <c r="B1040" i="9"/>
  <c r="A1040" i="9"/>
  <c r="I1039" i="9"/>
  <c r="H1039" i="9"/>
  <c r="F1039" i="9"/>
  <c r="E1039" i="9"/>
  <c r="D1039" i="9"/>
  <c r="C1039" i="9"/>
  <c r="B1039" i="9"/>
  <c r="A1039" i="9"/>
  <c r="I1038" i="9"/>
  <c r="H1038" i="9"/>
  <c r="F1038" i="9"/>
  <c r="E1038" i="9"/>
  <c r="D1038" i="9"/>
  <c r="C1038" i="9"/>
  <c r="B1038" i="9"/>
  <c r="A1038" i="9"/>
  <c r="I1037" i="9"/>
  <c r="H1037" i="9"/>
  <c r="F1037" i="9"/>
  <c r="E1037" i="9"/>
  <c r="D1037" i="9"/>
  <c r="C1037" i="9"/>
  <c r="B1037" i="9"/>
  <c r="A1037" i="9"/>
  <c r="I1036" i="9"/>
  <c r="H1036" i="9"/>
  <c r="F1036" i="9"/>
  <c r="E1036" i="9"/>
  <c r="D1036" i="9"/>
  <c r="C1036" i="9"/>
  <c r="B1036" i="9"/>
  <c r="A1036" i="9"/>
  <c r="I1035" i="9"/>
  <c r="H1035" i="9"/>
  <c r="F1035" i="9"/>
  <c r="E1035" i="9"/>
  <c r="D1035" i="9"/>
  <c r="C1035" i="9"/>
  <c r="B1035" i="9"/>
  <c r="A1035" i="9"/>
  <c r="I1034" i="9"/>
  <c r="H1034" i="9"/>
  <c r="F1034" i="9"/>
  <c r="E1034" i="9"/>
  <c r="D1034" i="9"/>
  <c r="C1034" i="9"/>
  <c r="B1034" i="9"/>
  <c r="A1034" i="9"/>
  <c r="I1033" i="9"/>
  <c r="H1033" i="9"/>
  <c r="F1033" i="9"/>
  <c r="E1033" i="9"/>
  <c r="D1033" i="9"/>
  <c r="C1033" i="9"/>
  <c r="B1033" i="9"/>
  <c r="A1033" i="9"/>
  <c r="I1032" i="9"/>
  <c r="H1032" i="9"/>
  <c r="F1032" i="9"/>
  <c r="E1032" i="9"/>
  <c r="D1032" i="9"/>
  <c r="C1032" i="9"/>
  <c r="B1032" i="9"/>
  <c r="A1032" i="9"/>
  <c r="I1031" i="9"/>
  <c r="H1031" i="9"/>
  <c r="F1031" i="9"/>
  <c r="E1031" i="9"/>
  <c r="D1031" i="9"/>
  <c r="C1031" i="9"/>
  <c r="B1031" i="9"/>
  <c r="A1031" i="9"/>
  <c r="I1030" i="9"/>
  <c r="H1030" i="9"/>
  <c r="F1030" i="9"/>
  <c r="E1030" i="9"/>
  <c r="D1030" i="9"/>
  <c r="C1030" i="9"/>
  <c r="B1030" i="9"/>
  <c r="A1030" i="9"/>
  <c r="I1029" i="9"/>
  <c r="H1029" i="9"/>
  <c r="F1029" i="9"/>
  <c r="E1029" i="9"/>
  <c r="D1029" i="9"/>
  <c r="C1029" i="9"/>
  <c r="B1029" i="9"/>
  <c r="A1029" i="9"/>
  <c r="I1028" i="9"/>
  <c r="H1028" i="9"/>
  <c r="G1028" i="9"/>
  <c r="F1028" i="9"/>
  <c r="E1028" i="9"/>
  <c r="D1028" i="9"/>
  <c r="C1028" i="9"/>
  <c r="B1028" i="9"/>
  <c r="A1028" i="9"/>
  <c r="I1027" i="9"/>
  <c r="H1027" i="9"/>
  <c r="F1027" i="9"/>
  <c r="E1027" i="9"/>
  <c r="D1027" i="9"/>
  <c r="C1027" i="9"/>
  <c r="B1027" i="9"/>
  <c r="A1027" i="9"/>
  <c r="I1026" i="9"/>
  <c r="H1026" i="9"/>
  <c r="G1026" i="9"/>
  <c r="F1026" i="9"/>
  <c r="E1026" i="9"/>
  <c r="D1026" i="9"/>
  <c r="C1026" i="9"/>
  <c r="B1026" i="9"/>
  <c r="A1026" i="9"/>
  <c r="I1025" i="9"/>
  <c r="H1025" i="9"/>
  <c r="G1025" i="9"/>
  <c r="F1025" i="9"/>
  <c r="E1025" i="9"/>
  <c r="D1025" i="9"/>
  <c r="C1025" i="9"/>
  <c r="B1025" i="9"/>
  <c r="A1025" i="9"/>
  <c r="I1024" i="9"/>
  <c r="H1024" i="9"/>
  <c r="F1024" i="9"/>
  <c r="E1024" i="9"/>
  <c r="D1024" i="9"/>
  <c r="C1024" i="9"/>
  <c r="B1024" i="9"/>
  <c r="A1024" i="9"/>
  <c r="I1023" i="9"/>
  <c r="H1023" i="9"/>
  <c r="F1023" i="9"/>
  <c r="E1023" i="9"/>
  <c r="D1023" i="9"/>
  <c r="C1023" i="9"/>
  <c r="B1023" i="9"/>
  <c r="A1023" i="9"/>
  <c r="I1022" i="9"/>
  <c r="H1022" i="9"/>
  <c r="G1022" i="9"/>
  <c r="F1022" i="9"/>
  <c r="E1022" i="9"/>
  <c r="D1022" i="9"/>
  <c r="C1022" i="9"/>
  <c r="B1022" i="9"/>
  <c r="A1022" i="9"/>
  <c r="I1021" i="9"/>
  <c r="H1021" i="9"/>
  <c r="G1021" i="9"/>
  <c r="F1021" i="9"/>
  <c r="E1021" i="9"/>
  <c r="D1021" i="9"/>
  <c r="C1021" i="9"/>
  <c r="B1021" i="9"/>
  <c r="A1021" i="9"/>
  <c r="I1020" i="9"/>
  <c r="H1020" i="9"/>
  <c r="G1020" i="9"/>
  <c r="F1020" i="9"/>
  <c r="E1020" i="9"/>
  <c r="D1020" i="9"/>
  <c r="C1020" i="9"/>
  <c r="B1020" i="9"/>
  <c r="A1020" i="9"/>
  <c r="I1019" i="9"/>
  <c r="H1019" i="9"/>
  <c r="F1019" i="9"/>
  <c r="E1019" i="9"/>
  <c r="D1019" i="9"/>
  <c r="C1019" i="9"/>
  <c r="B1019" i="9"/>
  <c r="A1019" i="9"/>
  <c r="I1018" i="9"/>
  <c r="H1018" i="9"/>
  <c r="F1018" i="9"/>
  <c r="E1018" i="9"/>
  <c r="D1018" i="9"/>
  <c r="C1018" i="9"/>
  <c r="B1018" i="9"/>
  <c r="A1018" i="9"/>
  <c r="I1017" i="9"/>
  <c r="H1017" i="9"/>
  <c r="F1017" i="9"/>
  <c r="E1017" i="9"/>
  <c r="D1017" i="9"/>
  <c r="C1017" i="9"/>
  <c r="B1017" i="9"/>
  <c r="A1017" i="9"/>
  <c r="I1016" i="9"/>
  <c r="H1016" i="9"/>
  <c r="G1016" i="9"/>
  <c r="F1016" i="9"/>
  <c r="E1016" i="9"/>
  <c r="D1016" i="9"/>
  <c r="C1016" i="9"/>
  <c r="B1016" i="9"/>
  <c r="A1016" i="9"/>
  <c r="I1015" i="9"/>
  <c r="H1015" i="9"/>
  <c r="F1015" i="9"/>
  <c r="E1015" i="9"/>
  <c r="D1015" i="9"/>
  <c r="C1015" i="9"/>
  <c r="B1015" i="9"/>
  <c r="A1015" i="9"/>
  <c r="I1014" i="9"/>
  <c r="H1014" i="9"/>
  <c r="F1014" i="9"/>
  <c r="E1014" i="9"/>
  <c r="D1014" i="9"/>
  <c r="C1014" i="9"/>
  <c r="B1014" i="9"/>
  <c r="A1014" i="9"/>
  <c r="I1013" i="9"/>
  <c r="H1013" i="9"/>
  <c r="F1013" i="9"/>
  <c r="E1013" i="9"/>
  <c r="D1013" i="9"/>
  <c r="C1013" i="9"/>
  <c r="B1013" i="9"/>
  <c r="A1013" i="9"/>
  <c r="I1012" i="9"/>
  <c r="H1012" i="9"/>
  <c r="F1012" i="9"/>
  <c r="E1012" i="9"/>
  <c r="D1012" i="9"/>
  <c r="C1012" i="9"/>
  <c r="B1012" i="9"/>
  <c r="A1012" i="9"/>
  <c r="I1011" i="9"/>
  <c r="H1011" i="9"/>
  <c r="F1011" i="9"/>
  <c r="E1011" i="9"/>
  <c r="D1011" i="9"/>
  <c r="C1011" i="9"/>
  <c r="B1011" i="9"/>
  <c r="A1011" i="9"/>
  <c r="I1010" i="9"/>
  <c r="H1010" i="9"/>
  <c r="F1010" i="9"/>
  <c r="E1010" i="9"/>
  <c r="D1010" i="9"/>
  <c r="C1010" i="9"/>
  <c r="B1010" i="9"/>
  <c r="A1010" i="9"/>
  <c r="I1009" i="9"/>
  <c r="H1009" i="9"/>
  <c r="F1009" i="9"/>
  <c r="E1009" i="9"/>
  <c r="D1009" i="9"/>
  <c r="C1009" i="9"/>
  <c r="B1009" i="9"/>
  <c r="A1009" i="9"/>
  <c r="I1008" i="9"/>
  <c r="H1008" i="9"/>
  <c r="F1008" i="9"/>
  <c r="E1008" i="9"/>
  <c r="D1008" i="9"/>
  <c r="C1008" i="9"/>
  <c r="B1008" i="9"/>
  <c r="A1008" i="9"/>
  <c r="I1007" i="9"/>
  <c r="H1007" i="9"/>
  <c r="F1007" i="9"/>
  <c r="E1007" i="9"/>
  <c r="D1007" i="9"/>
  <c r="C1007" i="9"/>
  <c r="B1007" i="9"/>
  <c r="A1007" i="9"/>
  <c r="I1006" i="9"/>
  <c r="H1006" i="9"/>
  <c r="F1006" i="9"/>
  <c r="E1006" i="9"/>
  <c r="D1006" i="9"/>
  <c r="C1006" i="9"/>
  <c r="B1006" i="9"/>
  <c r="A1006" i="9"/>
  <c r="I1005" i="9"/>
  <c r="H1005" i="9"/>
  <c r="F1005" i="9"/>
  <c r="E1005" i="9"/>
  <c r="D1005" i="9"/>
  <c r="C1005" i="9"/>
  <c r="B1005" i="9"/>
  <c r="A1005" i="9"/>
  <c r="I1004" i="9"/>
  <c r="H1004" i="9"/>
  <c r="F1004" i="9"/>
  <c r="E1004" i="9"/>
  <c r="D1004" i="9"/>
  <c r="C1004" i="9"/>
  <c r="B1004" i="9"/>
  <c r="A1004" i="9"/>
  <c r="I1003" i="9"/>
  <c r="H1003" i="9"/>
  <c r="F1003" i="9"/>
  <c r="E1003" i="9"/>
  <c r="D1003" i="9"/>
  <c r="C1003" i="9"/>
  <c r="B1003" i="9"/>
  <c r="A1003" i="9"/>
  <c r="I1002" i="9"/>
  <c r="H1002" i="9"/>
  <c r="F1002" i="9"/>
  <c r="E1002" i="9"/>
  <c r="D1002" i="9"/>
  <c r="C1002" i="9"/>
  <c r="B1002" i="9"/>
  <c r="A1002" i="9"/>
  <c r="I1001" i="9"/>
  <c r="H1001" i="9"/>
  <c r="F1001" i="9"/>
  <c r="E1001" i="9"/>
  <c r="D1001" i="9"/>
  <c r="C1001" i="9"/>
  <c r="B1001" i="9"/>
  <c r="A1001" i="9"/>
  <c r="I1000" i="9"/>
  <c r="H1000" i="9"/>
  <c r="F1000" i="9"/>
  <c r="E1000" i="9"/>
  <c r="D1000" i="9"/>
  <c r="C1000" i="9"/>
  <c r="B1000" i="9"/>
  <c r="A1000" i="9"/>
  <c r="I999" i="9"/>
  <c r="H999" i="9"/>
  <c r="F999" i="9"/>
  <c r="E999" i="9"/>
  <c r="D999" i="9"/>
  <c r="C999" i="9"/>
  <c r="B999" i="9"/>
  <c r="A999" i="9"/>
  <c r="I998" i="9"/>
  <c r="H998" i="9"/>
  <c r="F998" i="9"/>
  <c r="E998" i="9"/>
  <c r="D998" i="9"/>
  <c r="C998" i="9"/>
  <c r="B998" i="9"/>
  <c r="A998" i="9"/>
  <c r="I997" i="9"/>
  <c r="H997" i="9"/>
  <c r="F997" i="9"/>
  <c r="E997" i="9"/>
  <c r="D997" i="9"/>
  <c r="C997" i="9"/>
  <c r="B997" i="9"/>
  <c r="A997" i="9"/>
  <c r="I996" i="9"/>
  <c r="H996" i="9"/>
  <c r="F996" i="9"/>
  <c r="E996" i="9"/>
  <c r="D996" i="9"/>
  <c r="C996" i="9"/>
  <c r="B996" i="9"/>
  <c r="A996" i="9"/>
  <c r="I995" i="9"/>
  <c r="H995" i="9"/>
  <c r="F995" i="9"/>
  <c r="E995" i="9"/>
  <c r="D995" i="9"/>
  <c r="C995" i="9"/>
  <c r="B995" i="9"/>
  <c r="A995" i="9"/>
  <c r="I994" i="9"/>
  <c r="H994" i="9"/>
  <c r="G994" i="9"/>
  <c r="F994" i="9"/>
  <c r="E994" i="9"/>
  <c r="D994" i="9"/>
  <c r="C994" i="9"/>
  <c r="B994" i="9"/>
  <c r="A994" i="9"/>
  <c r="I993" i="9"/>
  <c r="H993" i="9"/>
  <c r="G993" i="9"/>
  <c r="F993" i="9"/>
  <c r="E993" i="9"/>
  <c r="D993" i="9"/>
  <c r="C993" i="9"/>
  <c r="B993" i="9"/>
  <c r="A993" i="9"/>
  <c r="I992" i="9"/>
  <c r="H992" i="9"/>
  <c r="F992" i="9"/>
  <c r="E992" i="9"/>
  <c r="D992" i="9"/>
  <c r="C992" i="9"/>
  <c r="B992" i="9"/>
  <c r="A992" i="9"/>
  <c r="I991" i="9"/>
  <c r="H991" i="9"/>
  <c r="F991" i="9"/>
  <c r="E991" i="9"/>
  <c r="D991" i="9"/>
  <c r="C991" i="9"/>
  <c r="B991" i="9"/>
  <c r="A991" i="9"/>
  <c r="I990" i="9"/>
  <c r="H990" i="9"/>
  <c r="F990" i="9"/>
  <c r="E990" i="9"/>
  <c r="D990" i="9"/>
  <c r="C990" i="9"/>
  <c r="B990" i="9"/>
  <c r="A990" i="9"/>
  <c r="I989" i="9"/>
  <c r="H989" i="9"/>
  <c r="G989" i="9"/>
  <c r="F989" i="9"/>
  <c r="E989" i="9"/>
  <c r="D989" i="9"/>
  <c r="C989" i="9"/>
  <c r="B989" i="9"/>
  <c r="A989" i="9"/>
  <c r="I988" i="9"/>
  <c r="H988" i="9"/>
  <c r="G988" i="9"/>
  <c r="F988" i="9"/>
  <c r="E988" i="9"/>
  <c r="D988" i="9"/>
  <c r="C988" i="9"/>
  <c r="B988" i="9"/>
  <c r="A988" i="9"/>
  <c r="I987" i="9"/>
  <c r="H987" i="9"/>
  <c r="F987" i="9"/>
  <c r="E987" i="9"/>
  <c r="D987" i="9"/>
  <c r="C987" i="9"/>
  <c r="B987" i="9"/>
  <c r="A987" i="9"/>
  <c r="I986" i="9"/>
  <c r="H986" i="9"/>
  <c r="F986" i="9"/>
  <c r="E986" i="9"/>
  <c r="D986" i="9"/>
  <c r="C986" i="9"/>
  <c r="B986" i="9"/>
  <c r="A986" i="9"/>
  <c r="I985" i="9"/>
  <c r="H985" i="9"/>
  <c r="F985" i="9"/>
  <c r="E985" i="9"/>
  <c r="D985" i="9"/>
  <c r="C985" i="9"/>
  <c r="B985" i="9"/>
  <c r="A985" i="9"/>
  <c r="I984" i="9"/>
  <c r="H984" i="9"/>
  <c r="F984" i="9"/>
  <c r="E984" i="9"/>
  <c r="D984" i="9"/>
  <c r="C984" i="9"/>
  <c r="B984" i="9"/>
  <c r="A984" i="9"/>
  <c r="I983" i="9"/>
  <c r="H983" i="9"/>
  <c r="G983" i="9"/>
  <c r="F983" i="9"/>
  <c r="E983" i="9"/>
  <c r="D983" i="9"/>
  <c r="C983" i="9"/>
  <c r="B983" i="9"/>
  <c r="A983" i="9"/>
  <c r="I982" i="9"/>
  <c r="H982" i="9"/>
  <c r="F982" i="9"/>
  <c r="E982" i="9"/>
  <c r="D982" i="9"/>
  <c r="C982" i="9"/>
  <c r="B982" i="9"/>
  <c r="A982" i="9"/>
  <c r="I981" i="9"/>
  <c r="H981" i="9"/>
  <c r="F981" i="9"/>
  <c r="E981" i="9"/>
  <c r="D981" i="9"/>
  <c r="C981" i="9"/>
  <c r="B981" i="9"/>
  <c r="A981" i="9"/>
  <c r="I980" i="9"/>
  <c r="H980" i="9"/>
  <c r="F980" i="9"/>
  <c r="E980" i="9"/>
  <c r="D980" i="9"/>
  <c r="C980" i="9"/>
  <c r="B980" i="9"/>
  <c r="A980" i="9"/>
  <c r="I979" i="9"/>
  <c r="H979" i="9"/>
  <c r="F979" i="9"/>
  <c r="E979" i="9"/>
  <c r="D979" i="9"/>
  <c r="C979" i="9"/>
  <c r="B979" i="9"/>
  <c r="A979" i="9"/>
  <c r="I978" i="9"/>
  <c r="H978" i="9"/>
  <c r="F978" i="9"/>
  <c r="E978" i="9"/>
  <c r="D978" i="9"/>
  <c r="C978" i="9"/>
  <c r="B978" i="9"/>
  <c r="A978" i="9"/>
  <c r="I977" i="9"/>
  <c r="H977" i="9"/>
  <c r="F977" i="9"/>
  <c r="E977" i="9"/>
  <c r="D977" i="9"/>
  <c r="C977" i="9"/>
  <c r="B977" i="9"/>
  <c r="A977" i="9"/>
  <c r="I976" i="9"/>
  <c r="H976" i="9"/>
  <c r="F976" i="9"/>
  <c r="E976" i="9"/>
  <c r="D976" i="9"/>
  <c r="C976" i="9"/>
  <c r="B976" i="9"/>
  <c r="A976" i="9"/>
  <c r="I975" i="9"/>
  <c r="H975" i="9"/>
  <c r="F975" i="9"/>
  <c r="E975" i="9"/>
  <c r="D975" i="9"/>
  <c r="C975" i="9"/>
  <c r="B975" i="9"/>
  <c r="A975" i="9"/>
  <c r="I974" i="9"/>
  <c r="H974" i="9"/>
  <c r="F974" i="9"/>
  <c r="E974" i="9"/>
  <c r="D974" i="9"/>
  <c r="C974" i="9"/>
  <c r="B974" i="9"/>
  <c r="A974" i="9"/>
  <c r="I973" i="9"/>
  <c r="H973" i="9"/>
  <c r="F973" i="9"/>
  <c r="E973" i="9"/>
  <c r="D973" i="9"/>
  <c r="C973" i="9"/>
  <c r="B973" i="9"/>
  <c r="A973" i="9"/>
  <c r="I972" i="9"/>
  <c r="H972" i="9"/>
  <c r="F972" i="9"/>
  <c r="E972" i="9"/>
  <c r="D972" i="9"/>
  <c r="C972" i="9"/>
  <c r="B972" i="9"/>
  <c r="A972" i="9"/>
  <c r="I971" i="9"/>
  <c r="H971" i="9"/>
  <c r="F971" i="9"/>
  <c r="E971" i="9"/>
  <c r="D971" i="9"/>
  <c r="C971" i="9"/>
  <c r="B971" i="9"/>
  <c r="A971" i="9"/>
  <c r="I970" i="9"/>
  <c r="H970" i="9"/>
  <c r="F970" i="9"/>
  <c r="E970" i="9"/>
  <c r="D970" i="9"/>
  <c r="C970" i="9"/>
  <c r="B970" i="9"/>
  <c r="A970" i="9"/>
  <c r="I969" i="9"/>
  <c r="H969" i="9"/>
  <c r="F969" i="9"/>
  <c r="E969" i="9"/>
  <c r="D969" i="9"/>
  <c r="C969" i="9"/>
  <c r="B969" i="9"/>
  <c r="A969" i="9"/>
  <c r="I968" i="9"/>
  <c r="H968" i="9"/>
  <c r="F968" i="9"/>
  <c r="E968" i="9"/>
  <c r="D968" i="9"/>
  <c r="C968" i="9"/>
  <c r="B968" i="9"/>
  <c r="A968" i="9"/>
  <c r="I967" i="9"/>
  <c r="H967" i="9"/>
  <c r="F967" i="9"/>
  <c r="E967" i="9"/>
  <c r="D967" i="9"/>
  <c r="C967" i="9"/>
  <c r="B967" i="9"/>
  <c r="A967" i="9"/>
  <c r="I966" i="9"/>
  <c r="H966" i="9"/>
  <c r="F966" i="9"/>
  <c r="E966" i="9"/>
  <c r="D966" i="9"/>
  <c r="C966" i="9"/>
  <c r="B966" i="9"/>
  <c r="A966" i="9"/>
  <c r="I965" i="9"/>
  <c r="H965" i="9"/>
  <c r="F965" i="9"/>
  <c r="E965" i="9"/>
  <c r="D965" i="9"/>
  <c r="C965" i="9"/>
  <c r="B965" i="9"/>
  <c r="A965" i="9"/>
  <c r="I964" i="9"/>
  <c r="H964" i="9"/>
  <c r="F964" i="9"/>
  <c r="E964" i="9"/>
  <c r="D964" i="9"/>
  <c r="C964" i="9"/>
  <c r="B964" i="9"/>
  <c r="A964" i="9"/>
  <c r="I963" i="9"/>
  <c r="H963" i="9"/>
  <c r="F963" i="9"/>
  <c r="E963" i="9"/>
  <c r="D963" i="9"/>
  <c r="C963" i="9"/>
  <c r="B963" i="9"/>
  <c r="A963" i="9"/>
  <c r="I962" i="9"/>
  <c r="H962" i="9"/>
  <c r="F962" i="9"/>
  <c r="E962" i="9"/>
  <c r="D962" i="9"/>
  <c r="C962" i="9"/>
  <c r="B962" i="9"/>
  <c r="A962" i="9"/>
  <c r="I961" i="9"/>
  <c r="H961" i="9"/>
  <c r="F961" i="9"/>
  <c r="E961" i="9"/>
  <c r="D961" i="9"/>
  <c r="C961" i="9"/>
  <c r="B961" i="9"/>
  <c r="A961" i="9"/>
  <c r="I960" i="9"/>
  <c r="H960" i="9"/>
  <c r="F960" i="9"/>
  <c r="E960" i="9"/>
  <c r="D960" i="9"/>
  <c r="C960" i="9"/>
  <c r="B960" i="9"/>
  <c r="A960" i="9"/>
  <c r="I959" i="9"/>
  <c r="H959" i="9"/>
  <c r="F959" i="9"/>
  <c r="E959" i="9"/>
  <c r="D959" i="9"/>
  <c r="C959" i="9"/>
  <c r="B959" i="9"/>
  <c r="A959" i="9"/>
  <c r="I958" i="9"/>
  <c r="H958" i="9"/>
  <c r="F958" i="9"/>
  <c r="E958" i="9"/>
  <c r="D958" i="9"/>
  <c r="C958" i="9"/>
  <c r="B958" i="9"/>
  <c r="A958" i="9"/>
  <c r="I957" i="9"/>
  <c r="H957" i="9"/>
  <c r="F957" i="9"/>
  <c r="E957" i="9"/>
  <c r="D957" i="9"/>
  <c r="C957" i="9"/>
  <c r="B957" i="9"/>
  <c r="A957" i="9"/>
  <c r="I956" i="9"/>
  <c r="H956" i="9"/>
  <c r="F956" i="9"/>
  <c r="E956" i="9"/>
  <c r="D956" i="9"/>
  <c r="C956" i="9"/>
  <c r="B956" i="9"/>
  <c r="A956" i="9"/>
  <c r="I955" i="9"/>
  <c r="H955" i="9"/>
  <c r="F955" i="9"/>
  <c r="E955" i="9"/>
  <c r="D955" i="9"/>
  <c r="C955" i="9"/>
  <c r="B955" i="9"/>
  <c r="A955" i="9"/>
  <c r="I954" i="9"/>
  <c r="H954" i="9"/>
  <c r="F954" i="9"/>
  <c r="E954" i="9"/>
  <c r="D954" i="9"/>
  <c r="C954" i="9"/>
  <c r="B954" i="9"/>
  <c r="A954" i="9"/>
  <c r="I953" i="9"/>
  <c r="H953" i="9"/>
  <c r="G953" i="9"/>
  <c r="F953" i="9"/>
  <c r="E953" i="9"/>
  <c r="D953" i="9"/>
  <c r="C953" i="9"/>
  <c r="B953" i="9"/>
  <c r="A953" i="9"/>
  <c r="I952" i="9"/>
  <c r="H952" i="9"/>
  <c r="G952" i="9"/>
  <c r="F952" i="9"/>
  <c r="E952" i="9"/>
  <c r="D952" i="9"/>
  <c r="C952" i="9"/>
  <c r="B952" i="9"/>
  <c r="A952" i="9"/>
  <c r="I951" i="9"/>
  <c r="H951" i="9"/>
  <c r="G951" i="9"/>
  <c r="F951" i="9"/>
  <c r="E951" i="9"/>
  <c r="D951" i="9"/>
  <c r="C951" i="9"/>
  <c r="B951" i="9"/>
  <c r="A951" i="9"/>
  <c r="I950" i="9"/>
  <c r="H950" i="9"/>
  <c r="F950" i="9"/>
  <c r="E950" i="9"/>
  <c r="D950" i="9"/>
  <c r="C950" i="9"/>
  <c r="B950" i="9"/>
  <c r="A950" i="9"/>
  <c r="I949" i="9"/>
  <c r="H949" i="9"/>
  <c r="F949" i="9"/>
  <c r="E949" i="9"/>
  <c r="D949" i="9"/>
  <c r="C949" i="9"/>
  <c r="B949" i="9"/>
  <c r="A949" i="9"/>
  <c r="I948" i="9"/>
  <c r="H948" i="9"/>
  <c r="F948" i="9"/>
  <c r="E948" i="9"/>
  <c r="D948" i="9"/>
  <c r="C948" i="9"/>
  <c r="B948" i="9"/>
  <c r="A948" i="9"/>
  <c r="I947" i="9"/>
  <c r="H947" i="9"/>
  <c r="F947" i="9"/>
  <c r="E947" i="9"/>
  <c r="D947" i="9"/>
  <c r="C947" i="9"/>
  <c r="B947" i="9"/>
  <c r="A947" i="9"/>
  <c r="I946" i="9"/>
  <c r="H946" i="9"/>
  <c r="F946" i="9"/>
  <c r="E946" i="9"/>
  <c r="D946" i="9"/>
  <c r="C946" i="9"/>
  <c r="B946" i="9"/>
  <c r="A946" i="9"/>
  <c r="I945" i="9"/>
  <c r="H945" i="9"/>
  <c r="F945" i="9"/>
  <c r="E945" i="9"/>
  <c r="D945" i="9"/>
  <c r="C945" i="9"/>
  <c r="B945" i="9"/>
  <c r="A945" i="9"/>
  <c r="I944" i="9"/>
  <c r="H944" i="9"/>
  <c r="F944" i="9"/>
  <c r="E944" i="9"/>
  <c r="D944" i="9"/>
  <c r="C944" i="9"/>
  <c r="B944" i="9"/>
  <c r="A944" i="9"/>
  <c r="I943" i="9"/>
  <c r="H943" i="9"/>
  <c r="F943" i="9"/>
  <c r="E943" i="9"/>
  <c r="D943" i="9"/>
  <c r="C943" i="9"/>
  <c r="B943" i="9"/>
  <c r="A943" i="9"/>
  <c r="I942" i="9"/>
  <c r="H942" i="9"/>
  <c r="F942" i="9"/>
  <c r="E942" i="9"/>
  <c r="D942" i="9"/>
  <c r="C942" i="9"/>
  <c r="B942" i="9"/>
  <c r="A942" i="9"/>
  <c r="I941" i="9"/>
  <c r="H941" i="9"/>
  <c r="F941" i="9"/>
  <c r="E941" i="9"/>
  <c r="D941" i="9"/>
  <c r="C941" i="9"/>
  <c r="B941" i="9"/>
  <c r="A941" i="9"/>
  <c r="I940" i="9"/>
  <c r="H940" i="9"/>
  <c r="F940" i="9"/>
  <c r="E940" i="9"/>
  <c r="D940" i="9"/>
  <c r="C940" i="9"/>
  <c r="B940" i="9"/>
  <c r="A940" i="9"/>
  <c r="I939" i="9"/>
  <c r="H939" i="9"/>
  <c r="F939" i="9"/>
  <c r="E939" i="9"/>
  <c r="D939" i="9"/>
  <c r="C939" i="9"/>
  <c r="B939" i="9"/>
  <c r="A939" i="9"/>
  <c r="I938" i="9"/>
  <c r="H938" i="9"/>
  <c r="F938" i="9"/>
  <c r="E938" i="9"/>
  <c r="D938" i="9"/>
  <c r="C938" i="9"/>
  <c r="B938" i="9"/>
  <c r="A938" i="9"/>
  <c r="I937" i="9"/>
  <c r="H937" i="9"/>
  <c r="F937" i="9"/>
  <c r="E937" i="9"/>
  <c r="D937" i="9"/>
  <c r="C937" i="9"/>
  <c r="B937" i="9"/>
  <c r="A937" i="9"/>
  <c r="I936" i="9"/>
  <c r="H936" i="9"/>
  <c r="F936" i="9"/>
  <c r="E936" i="9"/>
  <c r="D936" i="9"/>
  <c r="C936" i="9"/>
  <c r="B936" i="9"/>
  <c r="A936" i="9"/>
  <c r="I935" i="9"/>
  <c r="H935" i="9"/>
  <c r="F935" i="9"/>
  <c r="E935" i="9"/>
  <c r="D935" i="9"/>
  <c r="C935" i="9"/>
  <c r="B935" i="9"/>
  <c r="A935" i="9"/>
  <c r="I934" i="9"/>
  <c r="H934" i="9"/>
  <c r="F934" i="9"/>
  <c r="E934" i="9"/>
  <c r="D934" i="9"/>
  <c r="C934" i="9"/>
  <c r="B934" i="9"/>
  <c r="A934" i="9"/>
  <c r="I933" i="9"/>
  <c r="H933" i="9"/>
  <c r="F933" i="9"/>
  <c r="E933" i="9"/>
  <c r="D933" i="9"/>
  <c r="C933" i="9"/>
  <c r="B933" i="9"/>
  <c r="A933" i="9"/>
  <c r="I932" i="9"/>
  <c r="H932" i="9"/>
  <c r="F932" i="9"/>
  <c r="E932" i="9"/>
  <c r="D932" i="9"/>
  <c r="C932" i="9"/>
  <c r="B932" i="9"/>
  <c r="A932" i="9"/>
  <c r="I931" i="9"/>
  <c r="H931" i="9"/>
  <c r="F931" i="9"/>
  <c r="E931" i="9"/>
  <c r="D931" i="9"/>
  <c r="C931" i="9"/>
  <c r="B931" i="9"/>
  <c r="A931" i="9"/>
  <c r="I930" i="9"/>
  <c r="H930" i="9"/>
  <c r="F930" i="9"/>
  <c r="E930" i="9"/>
  <c r="D930" i="9"/>
  <c r="C930" i="9"/>
  <c r="B930" i="9"/>
  <c r="A930" i="9"/>
  <c r="I929" i="9"/>
  <c r="H929" i="9"/>
  <c r="F929" i="9"/>
  <c r="E929" i="9"/>
  <c r="D929" i="9"/>
  <c r="C929" i="9"/>
  <c r="B929" i="9"/>
  <c r="A929" i="9"/>
  <c r="I928" i="9"/>
  <c r="H928" i="9"/>
  <c r="F928" i="9"/>
  <c r="E928" i="9"/>
  <c r="D928" i="9"/>
  <c r="C928" i="9"/>
  <c r="B928" i="9"/>
  <c r="A928" i="9"/>
  <c r="I927" i="9"/>
  <c r="H927" i="9"/>
  <c r="F927" i="9"/>
  <c r="E927" i="9"/>
  <c r="D927" i="9"/>
  <c r="C927" i="9"/>
  <c r="B927" i="9"/>
  <c r="A927" i="9"/>
  <c r="I926" i="9"/>
  <c r="H926" i="9"/>
  <c r="G926" i="9"/>
  <c r="F926" i="9"/>
  <c r="E926" i="9"/>
  <c r="D926" i="9"/>
  <c r="C926" i="9"/>
  <c r="B926" i="9"/>
  <c r="A926" i="9"/>
  <c r="I925" i="9"/>
  <c r="H925" i="9"/>
  <c r="F925" i="9"/>
  <c r="E925" i="9"/>
  <c r="D925" i="9"/>
  <c r="C925" i="9"/>
  <c r="B925" i="9"/>
  <c r="A925" i="9"/>
  <c r="I924" i="9"/>
  <c r="H924" i="9"/>
  <c r="F924" i="9"/>
  <c r="E924" i="9"/>
  <c r="D924" i="9"/>
  <c r="C924" i="9"/>
  <c r="B924" i="9"/>
  <c r="A924" i="9"/>
  <c r="I923" i="9"/>
  <c r="H923" i="9"/>
  <c r="F923" i="9"/>
  <c r="E923" i="9"/>
  <c r="D923" i="9"/>
  <c r="C923" i="9"/>
  <c r="B923" i="9"/>
  <c r="A923" i="9"/>
  <c r="I922" i="9"/>
  <c r="H922" i="9"/>
  <c r="F922" i="9"/>
  <c r="E922" i="9"/>
  <c r="D922" i="9"/>
  <c r="C922" i="9"/>
  <c r="B922" i="9"/>
  <c r="A922" i="9"/>
  <c r="I921" i="9"/>
  <c r="H921" i="9"/>
  <c r="F921" i="9"/>
  <c r="E921" i="9"/>
  <c r="D921" i="9"/>
  <c r="C921" i="9"/>
  <c r="B921" i="9"/>
  <c r="A921" i="9"/>
  <c r="I920" i="9"/>
  <c r="H920" i="9"/>
  <c r="F920" i="9"/>
  <c r="E920" i="9"/>
  <c r="D920" i="9"/>
  <c r="C920" i="9"/>
  <c r="B920" i="9"/>
  <c r="A920" i="9"/>
  <c r="I919" i="9"/>
  <c r="H919" i="9"/>
  <c r="F919" i="9"/>
  <c r="E919" i="9"/>
  <c r="D919" i="9"/>
  <c r="C919" i="9"/>
  <c r="B919" i="9"/>
  <c r="A919" i="9"/>
  <c r="I918" i="9"/>
  <c r="H918" i="9"/>
  <c r="F918" i="9"/>
  <c r="E918" i="9"/>
  <c r="D918" i="9"/>
  <c r="C918" i="9"/>
  <c r="B918" i="9"/>
  <c r="A918" i="9"/>
  <c r="I917" i="9"/>
  <c r="H917" i="9"/>
  <c r="F917" i="9"/>
  <c r="E917" i="9"/>
  <c r="D917" i="9"/>
  <c r="C917" i="9"/>
  <c r="B917" i="9"/>
  <c r="A917" i="9"/>
  <c r="I916" i="9"/>
  <c r="H916" i="9"/>
  <c r="F916" i="9"/>
  <c r="E916" i="9"/>
  <c r="D916" i="9"/>
  <c r="C916" i="9"/>
  <c r="B916" i="9"/>
  <c r="A916" i="9"/>
  <c r="I915" i="9"/>
  <c r="H915" i="9"/>
  <c r="F915" i="9"/>
  <c r="E915" i="9"/>
  <c r="D915" i="9"/>
  <c r="C915" i="9"/>
  <c r="B915" i="9"/>
  <c r="A915" i="9"/>
  <c r="I914" i="9"/>
  <c r="H914" i="9"/>
  <c r="F914" i="9"/>
  <c r="E914" i="9"/>
  <c r="D914" i="9"/>
  <c r="C914" i="9"/>
  <c r="B914" i="9"/>
  <c r="A914" i="9"/>
  <c r="I913" i="9"/>
  <c r="H913" i="9"/>
  <c r="F913" i="9"/>
  <c r="E913" i="9"/>
  <c r="D913" i="9"/>
  <c r="C913" i="9"/>
  <c r="B913" i="9"/>
  <c r="A913" i="9"/>
  <c r="I912" i="9"/>
  <c r="H912" i="9"/>
  <c r="F912" i="9"/>
  <c r="E912" i="9"/>
  <c r="D912" i="9"/>
  <c r="C912" i="9"/>
  <c r="B912" i="9"/>
  <c r="A912" i="9"/>
  <c r="I911" i="9"/>
  <c r="H911" i="9"/>
  <c r="F911" i="9"/>
  <c r="E911" i="9"/>
  <c r="D911" i="9"/>
  <c r="C911" i="9"/>
  <c r="B911" i="9"/>
  <c r="A911" i="9"/>
  <c r="I910" i="9"/>
  <c r="H910" i="9"/>
  <c r="F910" i="9"/>
  <c r="E910" i="9"/>
  <c r="D910" i="9"/>
  <c r="C910" i="9"/>
  <c r="B910" i="9"/>
  <c r="A910" i="9"/>
  <c r="I909" i="9"/>
  <c r="H909" i="9"/>
  <c r="F909" i="9"/>
  <c r="E909" i="9"/>
  <c r="D909" i="9"/>
  <c r="C909" i="9"/>
  <c r="B909" i="9"/>
  <c r="A909" i="9"/>
  <c r="I908" i="9"/>
  <c r="H908" i="9"/>
  <c r="F908" i="9"/>
  <c r="E908" i="9"/>
  <c r="D908" i="9"/>
  <c r="C908" i="9"/>
  <c r="B908" i="9"/>
  <c r="A908" i="9"/>
  <c r="I907" i="9"/>
  <c r="H907" i="9"/>
  <c r="F907" i="9"/>
  <c r="E907" i="9"/>
  <c r="D907" i="9"/>
  <c r="C907" i="9"/>
  <c r="B907" i="9"/>
  <c r="A907" i="9"/>
  <c r="I906" i="9"/>
  <c r="H906" i="9"/>
  <c r="F906" i="9"/>
  <c r="E906" i="9"/>
  <c r="D906" i="9"/>
  <c r="C906" i="9"/>
  <c r="B906" i="9"/>
  <c r="A906" i="9"/>
  <c r="I905" i="9"/>
  <c r="H905" i="9"/>
  <c r="F905" i="9"/>
  <c r="E905" i="9"/>
  <c r="D905" i="9"/>
  <c r="C905" i="9"/>
  <c r="B905" i="9"/>
  <c r="A905" i="9"/>
  <c r="I904" i="9"/>
  <c r="H904" i="9"/>
  <c r="F904" i="9"/>
  <c r="E904" i="9"/>
  <c r="D904" i="9"/>
  <c r="C904" i="9"/>
  <c r="B904" i="9"/>
  <c r="A904" i="9"/>
  <c r="I903" i="9"/>
  <c r="H903" i="9"/>
  <c r="F903" i="9"/>
  <c r="E903" i="9"/>
  <c r="D903" i="9"/>
  <c r="C903" i="9"/>
  <c r="B903" i="9"/>
  <c r="A903" i="9"/>
  <c r="I902" i="9"/>
  <c r="H902" i="9"/>
  <c r="F902" i="9"/>
  <c r="E902" i="9"/>
  <c r="D902" i="9"/>
  <c r="C902" i="9"/>
  <c r="B902" i="9"/>
  <c r="A902" i="9"/>
  <c r="I901" i="9"/>
  <c r="H901" i="9"/>
  <c r="F901" i="9"/>
  <c r="E901" i="9"/>
  <c r="D901" i="9"/>
  <c r="C901" i="9"/>
  <c r="B901" i="9"/>
  <c r="A901" i="9"/>
  <c r="I900" i="9"/>
  <c r="H900" i="9"/>
  <c r="F900" i="9"/>
  <c r="E900" i="9"/>
  <c r="D900" i="9"/>
  <c r="C900" i="9"/>
  <c r="B900" i="9"/>
  <c r="A900" i="9"/>
  <c r="I899" i="9"/>
  <c r="H899" i="9"/>
  <c r="F899" i="9"/>
  <c r="E899" i="9"/>
  <c r="D899" i="9"/>
  <c r="C899" i="9"/>
  <c r="B899" i="9"/>
  <c r="A899" i="9"/>
  <c r="I898" i="9"/>
  <c r="H898" i="9"/>
  <c r="G898" i="9"/>
  <c r="F898" i="9"/>
  <c r="E898" i="9"/>
  <c r="D898" i="9"/>
  <c r="C898" i="9"/>
  <c r="B898" i="9"/>
  <c r="A898" i="9"/>
  <c r="I897" i="9"/>
  <c r="H897" i="9"/>
  <c r="G897" i="9"/>
  <c r="F897" i="9"/>
  <c r="E897" i="9"/>
  <c r="D897" i="9"/>
  <c r="C897" i="9"/>
  <c r="B897" i="9"/>
  <c r="A897" i="9"/>
  <c r="I896" i="9"/>
  <c r="H896" i="9"/>
  <c r="F896" i="9"/>
  <c r="E896" i="9"/>
  <c r="D896" i="9"/>
  <c r="C896" i="9"/>
  <c r="B896" i="9"/>
  <c r="A896" i="9"/>
  <c r="I895" i="9"/>
  <c r="H895" i="9"/>
  <c r="F895" i="9"/>
  <c r="E895" i="9"/>
  <c r="D895" i="9"/>
  <c r="C895" i="9"/>
  <c r="B895" i="9"/>
  <c r="A895" i="9"/>
  <c r="I894" i="9"/>
  <c r="H894" i="9"/>
  <c r="F894" i="9"/>
  <c r="E894" i="9"/>
  <c r="D894" i="9"/>
  <c r="C894" i="9"/>
  <c r="B894" i="9"/>
  <c r="A894" i="9"/>
  <c r="I893" i="9"/>
  <c r="H893" i="9"/>
  <c r="F893" i="9"/>
  <c r="E893" i="9"/>
  <c r="D893" i="9"/>
  <c r="C893" i="9"/>
  <c r="B893" i="9"/>
  <c r="A893" i="9"/>
  <c r="I892" i="9"/>
  <c r="H892" i="9"/>
  <c r="F892" i="9"/>
  <c r="E892" i="9"/>
  <c r="D892" i="9"/>
  <c r="C892" i="9"/>
  <c r="B892" i="9"/>
  <c r="A892" i="9"/>
  <c r="I891" i="9"/>
  <c r="H891" i="9"/>
  <c r="F891" i="9"/>
  <c r="E891" i="9"/>
  <c r="D891" i="9"/>
  <c r="C891" i="9"/>
  <c r="B891" i="9"/>
  <c r="A891" i="9"/>
  <c r="I890" i="9"/>
  <c r="H890" i="9"/>
  <c r="F890" i="9"/>
  <c r="E890" i="9"/>
  <c r="D890" i="9"/>
  <c r="C890" i="9"/>
  <c r="B890" i="9"/>
  <c r="A890" i="9"/>
  <c r="I889" i="9"/>
  <c r="H889" i="9"/>
  <c r="F889" i="9"/>
  <c r="E889" i="9"/>
  <c r="D889" i="9"/>
  <c r="C889" i="9"/>
  <c r="B889" i="9"/>
  <c r="A889" i="9"/>
  <c r="I888" i="9"/>
  <c r="H888" i="9"/>
  <c r="F888" i="9"/>
  <c r="E888" i="9"/>
  <c r="D888" i="9"/>
  <c r="C888" i="9"/>
  <c r="B888" i="9"/>
  <c r="A888" i="9"/>
  <c r="I887" i="9"/>
  <c r="H887" i="9"/>
  <c r="F887" i="9"/>
  <c r="E887" i="9"/>
  <c r="D887" i="9"/>
  <c r="C887" i="9"/>
  <c r="B887" i="9"/>
  <c r="A887" i="9"/>
  <c r="I886" i="9"/>
  <c r="H886" i="9"/>
  <c r="F886" i="9"/>
  <c r="E886" i="9"/>
  <c r="D886" i="9"/>
  <c r="C886" i="9"/>
  <c r="B886" i="9"/>
  <c r="A886" i="9"/>
  <c r="I885" i="9"/>
  <c r="H885" i="9"/>
  <c r="F885" i="9"/>
  <c r="E885" i="9"/>
  <c r="D885" i="9"/>
  <c r="C885" i="9"/>
  <c r="B885" i="9"/>
  <c r="A885" i="9"/>
  <c r="I884" i="9"/>
  <c r="H884" i="9"/>
  <c r="F884" i="9"/>
  <c r="E884" i="9"/>
  <c r="D884" i="9"/>
  <c r="C884" i="9"/>
  <c r="B884" i="9"/>
  <c r="A884" i="9"/>
  <c r="I883" i="9"/>
  <c r="H883" i="9"/>
  <c r="F883" i="9"/>
  <c r="E883" i="9"/>
  <c r="D883" i="9"/>
  <c r="C883" i="9"/>
  <c r="B883" i="9"/>
  <c r="A883" i="9"/>
  <c r="I882" i="9"/>
  <c r="H882" i="9"/>
  <c r="F882" i="9"/>
  <c r="E882" i="9"/>
  <c r="D882" i="9"/>
  <c r="C882" i="9"/>
  <c r="B882" i="9"/>
  <c r="A882" i="9"/>
  <c r="I881" i="9"/>
  <c r="H881" i="9"/>
  <c r="F881" i="9"/>
  <c r="E881" i="9"/>
  <c r="D881" i="9"/>
  <c r="C881" i="9"/>
  <c r="B881" i="9"/>
  <c r="A881" i="9"/>
  <c r="I880" i="9"/>
  <c r="H880" i="9"/>
  <c r="F880" i="9"/>
  <c r="E880" i="9"/>
  <c r="D880" i="9"/>
  <c r="C880" i="9"/>
  <c r="B880" i="9"/>
  <c r="A880" i="9"/>
  <c r="I879" i="9"/>
  <c r="H879" i="9"/>
  <c r="F879" i="9"/>
  <c r="E879" i="9"/>
  <c r="D879" i="9"/>
  <c r="C879" i="9"/>
  <c r="B879" i="9"/>
  <c r="A879" i="9"/>
  <c r="I878" i="9"/>
  <c r="H878" i="9"/>
  <c r="F878" i="9"/>
  <c r="E878" i="9"/>
  <c r="D878" i="9"/>
  <c r="C878" i="9"/>
  <c r="B878" i="9"/>
  <c r="A878" i="9"/>
  <c r="I877" i="9"/>
  <c r="H877" i="9"/>
  <c r="F877" i="9"/>
  <c r="E877" i="9"/>
  <c r="D877" i="9"/>
  <c r="C877" i="9"/>
  <c r="B877" i="9"/>
  <c r="A877" i="9"/>
  <c r="I876" i="9"/>
  <c r="H876" i="9"/>
  <c r="F876" i="9"/>
  <c r="E876" i="9"/>
  <c r="D876" i="9"/>
  <c r="C876" i="9"/>
  <c r="B876" i="9"/>
  <c r="A876" i="9"/>
  <c r="I875" i="9"/>
  <c r="H875" i="9"/>
  <c r="F875" i="9"/>
  <c r="E875" i="9"/>
  <c r="D875" i="9"/>
  <c r="C875" i="9"/>
  <c r="B875" i="9"/>
  <c r="A875" i="9"/>
  <c r="I874" i="9"/>
  <c r="H874" i="9"/>
  <c r="F874" i="9"/>
  <c r="E874" i="9"/>
  <c r="D874" i="9"/>
  <c r="C874" i="9"/>
  <c r="B874" i="9"/>
  <c r="A874" i="9"/>
  <c r="I873" i="9"/>
  <c r="H873" i="9"/>
  <c r="F873" i="9"/>
  <c r="E873" i="9"/>
  <c r="D873" i="9"/>
  <c r="C873" i="9"/>
  <c r="B873" i="9"/>
  <c r="A873" i="9"/>
  <c r="I872" i="9"/>
  <c r="H872" i="9"/>
  <c r="F872" i="9"/>
  <c r="E872" i="9"/>
  <c r="D872" i="9"/>
  <c r="C872" i="9"/>
  <c r="B872" i="9"/>
  <c r="A872" i="9"/>
  <c r="I871" i="9"/>
  <c r="H871" i="9"/>
  <c r="F871" i="9"/>
  <c r="E871" i="9"/>
  <c r="D871" i="9"/>
  <c r="C871" i="9"/>
  <c r="B871" i="9"/>
  <c r="A871" i="9"/>
  <c r="I870" i="9"/>
  <c r="H870" i="9"/>
  <c r="F870" i="9"/>
  <c r="E870" i="9"/>
  <c r="D870" i="9"/>
  <c r="C870" i="9"/>
  <c r="B870" i="9"/>
  <c r="A870" i="9"/>
  <c r="I869" i="9"/>
  <c r="H869" i="9"/>
  <c r="F869" i="9"/>
  <c r="E869" i="9"/>
  <c r="D869" i="9"/>
  <c r="C869" i="9"/>
  <c r="B869" i="9"/>
  <c r="A869" i="9"/>
  <c r="I868" i="9"/>
  <c r="H868" i="9"/>
  <c r="F868" i="9"/>
  <c r="E868" i="9"/>
  <c r="D868" i="9"/>
  <c r="C868" i="9"/>
  <c r="B868" i="9"/>
  <c r="A868" i="9"/>
  <c r="I867" i="9"/>
  <c r="H867" i="9"/>
  <c r="F867" i="9"/>
  <c r="E867" i="9"/>
  <c r="D867" i="9"/>
  <c r="C867" i="9"/>
  <c r="B867" i="9"/>
  <c r="A867" i="9"/>
  <c r="I866" i="9"/>
  <c r="H866" i="9"/>
  <c r="F866" i="9"/>
  <c r="E866" i="9"/>
  <c r="D866" i="9"/>
  <c r="C866" i="9"/>
  <c r="B866" i="9"/>
  <c r="A866" i="9"/>
  <c r="I865" i="9"/>
  <c r="H865" i="9"/>
  <c r="F865" i="9"/>
  <c r="E865" i="9"/>
  <c r="D865" i="9"/>
  <c r="C865" i="9"/>
  <c r="B865" i="9"/>
  <c r="A865" i="9"/>
  <c r="I864" i="9"/>
  <c r="H864" i="9"/>
  <c r="F864" i="9"/>
  <c r="E864" i="9"/>
  <c r="D864" i="9"/>
  <c r="C864" i="9"/>
  <c r="B864" i="9"/>
  <c r="A864" i="9"/>
  <c r="I863" i="9"/>
  <c r="H863" i="9"/>
  <c r="F863" i="9"/>
  <c r="E863" i="9"/>
  <c r="D863" i="9"/>
  <c r="C863" i="9"/>
  <c r="B863" i="9"/>
  <c r="A863" i="9"/>
  <c r="I862" i="9"/>
  <c r="H862" i="9"/>
  <c r="F862" i="9"/>
  <c r="E862" i="9"/>
  <c r="D862" i="9"/>
  <c r="C862" i="9"/>
  <c r="B862" i="9"/>
  <c r="A862" i="9"/>
  <c r="I861" i="9"/>
  <c r="H861" i="9"/>
  <c r="F861" i="9"/>
  <c r="E861" i="9"/>
  <c r="D861" i="9"/>
  <c r="C861" i="9"/>
  <c r="B861" i="9"/>
  <c r="A861" i="9"/>
  <c r="I860" i="9"/>
  <c r="H860" i="9"/>
  <c r="F860" i="9"/>
  <c r="E860" i="9"/>
  <c r="D860" i="9"/>
  <c r="C860" i="9"/>
  <c r="B860" i="9"/>
  <c r="A860" i="9"/>
  <c r="I859" i="9"/>
  <c r="H859" i="9"/>
  <c r="F859" i="9"/>
  <c r="E859" i="9"/>
  <c r="D859" i="9"/>
  <c r="C859" i="9"/>
  <c r="B859" i="9"/>
  <c r="A859" i="9"/>
  <c r="I858" i="9"/>
  <c r="H858" i="9"/>
  <c r="F858" i="9"/>
  <c r="E858" i="9"/>
  <c r="D858" i="9"/>
  <c r="C858" i="9"/>
  <c r="B858" i="9"/>
  <c r="A858" i="9"/>
  <c r="I857" i="9"/>
  <c r="H857" i="9"/>
  <c r="F857" i="9"/>
  <c r="E857" i="9"/>
  <c r="D857" i="9"/>
  <c r="C857" i="9"/>
  <c r="B857" i="9"/>
  <c r="A857" i="9"/>
  <c r="I856" i="9"/>
  <c r="H856" i="9"/>
  <c r="F856" i="9"/>
  <c r="E856" i="9"/>
  <c r="D856" i="9"/>
  <c r="C856" i="9"/>
  <c r="B856" i="9"/>
  <c r="A856" i="9"/>
  <c r="I855" i="9"/>
  <c r="H855" i="9"/>
  <c r="F855" i="9"/>
  <c r="E855" i="9"/>
  <c r="D855" i="9"/>
  <c r="C855" i="9"/>
  <c r="B855" i="9"/>
  <c r="A855" i="9"/>
  <c r="I854" i="9"/>
  <c r="H854" i="9"/>
  <c r="F854" i="9"/>
  <c r="E854" i="9"/>
  <c r="D854" i="9"/>
  <c r="C854" i="9"/>
  <c r="B854" i="9"/>
  <c r="A854" i="9"/>
  <c r="I853" i="9"/>
  <c r="H853" i="9"/>
  <c r="F853" i="9"/>
  <c r="E853" i="9"/>
  <c r="D853" i="9"/>
  <c r="C853" i="9"/>
  <c r="B853" i="9"/>
  <c r="A853" i="9"/>
  <c r="I852" i="9"/>
  <c r="H852" i="9"/>
  <c r="F852" i="9"/>
  <c r="E852" i="9"/>
  <c r="D852" i="9"/>
  <c r="C852" i="9"/>
  <c r="B852" i="9"/>
  <c r="A852" i="9"/>
  <c r="I851" i="9"/>
  <c r="H851" i="9"/>
  <c r="F851" i="9"/>
  <c r="E851" i="9"/>
  <c r="D851" i="9"/>
  <c r="C851" i="9"/>
  <c r="B851" i="9"/>
  <c r="A851" i="9"/>
  <c r="I850" i="9"/>
  <c r="H850" i="9"/>
  <c r="F850" i="9"/>
  <c r="E850" i="9"/>
  <c r="D850" i="9"/>
  <c r="C850" i="9"/>
  <c r="B850" i="9"/>
  <c r="A850" i="9"/>
  <c r="I849" i="9"/>
  <c r="H849" i="9"/>
  <c r="F849" i="9"/>
  <c r="E849" i="9"/>
  <c r="D849" i="9"/>
  <c r="C849" i="9"/>
  <c r="B849" i="9"/>
  <c r="A849" i="9"/>
  <c r="I848" i="9"/>
  <c r="H848" i="9"/>
  <c r="F848" i="9"/>
  <c r="E848" i="9"/>
  <c r="D848" i="9"/>
  <c r="C848" i="9"/>
  <c r="B848" i="9"/>
  <c r="A848" i="9"/>
  <c r="I847" i="9"/>
  <c r="H847" i="9"/>
  <c r="F847" i="9"/>
  <c r="E847" i="9"/>
  <c r="D847" i="9"/>
  <c r="C847" i="9"/>
  <c r="B847" i="9"/>
  <c r="A847" i="9"/>
  <c r="I846" i="9"/>
  <c r="H846" i="9"/>
  <c r="F846" i="9"/>
  <c r="E846" i="9"/>
  <c r="D846" i="9"/>
  <c r="C846" i="9"/>
  <c r="B846" i="9"/>
  <c r="A846" i="9"/>
  <c r="I845" i="9"/>
  <c r="H845" i="9"/>
  <c r="F845" i="9"/>
  <c r="E845" i="9"/>
  <c r="D845" i="9"/>
  <c r="C845" i="9"/>
  <c r="B845" i="9"/>
  <c r="A845" i="9"/>
  <c r="I844" i="9"/>
  <c r="H844" i="9"/>
  <c r="F844" i="9"/>
  <c r="E844" i="9"/>
  <c r="D844" i="9"/>
  <c r="C844" i="9"/>
  <c r="B844" i="9"/>
  <c r="A844" i="9"/>
  <c r="I843" i="9"/>
  <c r="H843" i="9"/>
  <c r="F843" i="9"/>
  <c r="E843" i="9"/>
  <c r="D843" i="9"/>
  <c r="C843" i="9"/>
  <c r="B843" i="9"/>
  <c r="A843" i="9"/>
  <c r="I842" i="9"/>
  <c r="H842" i="9"/>
  <c r="F842" i="9"/>
  <c r="E842" i="9"/>
  <c r="D842" i="9"/>
  <c r="C842" i="9"/>
  <c r="B842" i="9"/>
  <c r="A842" i="9"/>
  <c r="I841" i="9"/>
  <c r="H841" i="9"/>
  <c r="F841" i="9"/>
  <c r="E841" i="9"/>
  <c r="D841" i="9"/>
  <c r="C841" i="9"/>
  <c r="B841" i="9"/>
  <c r="A841" i="9"/>
  <c r="I840" i="9"/>
  <c r="H840" i="9"/>
  <c r="F840" i="9"/>
  <c r="E840" i="9"/>
  <c r="D840" i="9"/>
  <c r="C840" i="9"/>
  <c r="B840" i="9"/>
  <c r="A840" i="9"/>
  <c r="I839" i="9"/>
  <c r="H839" i="9"/>
  <c r="F839" i="9"/>
  <c r="E839" i="9"/>
  <c r="D839" i="9"/>
  <c r="C839" i="9"/>
  <c r="B839" i="9"/>
  <c r="A839" i="9"/>
  <c r="I838" i="9"/>
  <c r="H838" i="9"/>
  <c r="F838" i="9"/>
  <c r="E838" i="9"/>
  <c r="D838" i="9"/>
  <c r="C838" i="9"/>
  <c r="B838" i="9"/>
  <c r="A838" i="9"/>
  <c r="I837" i="9"/>
  <c r="H837" i="9"/>
  <c r="F837" i="9"/>
  <c r="E837" i="9"/>
  <c r="D837" i="9"/>
  <c r="C837" i="9"/>
  <c r="B837" i="9"/>
  <c r="A837" i="9"/>
  <c r="I836" i="9"/>
  <c r="H836" i="9"/>
  <c r="F836" i="9"/>
  <c r="E836" i="9"/>
  <c r="D836" i="9"/>
  <c r="C836" i="9"/>
  <c r="B836" i="9"/>
  <c r="A836" i="9"/>
  <c r="I835" i="9"/>
  <c r="H835" i="9"/>
  <c r="F835" i="9"/>
  <c r="E835" i="9"/>
  <c r="D835" i="9"/>
  <c r="C835" i="9"/>
  <c r="B835" i="9"/>
  <c r="A835" i="9"/>
  <c r="I834" i="9"/>
  <c r="H834" i="9"/>
  <c r="F834" i="9"/>
  <c r="E834" i="9"/>
  <c r="D834" i="9"/>
  <c r="C834" i="9"/>
  <c r="B834" i="9"/>
  <c r="A834" i="9"/>
  <c r="I833" i="9"/>
  <c r="H833" i="9"/>
  <c r="F833" i="9"/>
  <c r="E833" i="9"/>
  <c r="D833" i="9"/>
  <c r="C833" i="9"/>
  <c r="B833" i="9"/>
  <c r="A833" i="9"/>
  <c r="I832" i="9"/>
  <c r="H832" i="9"/>
  <c r="F832" i="9"/>
  <c r="E832" i="9"/>
  <c r="D832" i="9"/>
  <c r="C832" i="9"/>
  <c r="B832" i="9"/>
  <c r="A832" i="9"/>
  <c r="I831" i="9"/>
  <c r="H831" i="9"/>
  <c r="F831" i="9"/>
  <c r="E831" i="9"/>
  <c r="D831" i="9"/>
  <c r="C831" i="9"/>
  <c r="B831" i="9"/>
  <c r="A831" i="9"/>
  <c r="I830" i="9"/>
  <c r="H830" i="9"/>
  <c r="F830" i="9"/>
  <c r="E830" i="9"/>
  <c r="D830" i="9"/>
  <c r="C830" i="9"/>
  <c r="B830" i="9"/>
  <c r="A830" i="9"/>
  <c r="I829" i="9"/>
  <c r="H829" i="9"/>
  <c r="F829" i="9"/>
  <c r="E829" i="9"/>
  <c r="D829" i="9"/>
  <c r="C829" i="9"/>
  <c r="B829" i="9"/>
  <c r="A829" i="9"/>
  <c r="I828" i="9"/>
  <c r="H828" i="9"/>
  <c r="F828" i="9"/>
  <c r="E828" i="9"/>
  <c r="D828" i="9"/>
  <c r="C828" i="9"/>
  <c r="B828" i="9"/>
  <c r="A828" i="9"/>
  <c r="I827" i="9"/>
  <c r="H827" i="9"/>
  <c r="F827" i="9"/>
  <c r="E827" i="9"/>
  <c r="D827" i="9"/>
  <c r="C827" i="9"/>
  <c r="B827" i="9"/>
  <c r="A827" i="9"/>
  <c r="I826" i="9"/>
  <c r="H826" i="9"/>
  <c r="F826" i="9"/>
  <c r="E826" i="9"/>
  <c r="D826" i="9"/>
  <c r="C826" i="9"/>
  <c r="B826" i="9"/>
  <c r="A826" i="9"/>
  <c r="I825" i="9"/>
  <c r="H825" i="9"/>
  <c r="F825" i="9"/>
  <c r="E825" i="9"/>
  <c r="D825" i="9"/>
  <c r="C825" i="9"/>
  <c r="B825" i="9"/>
  <c r="A825" i="9"/>
  <c r="I824" i="9"/>
  <c r="H824" i="9"/>
  <c r="F824" i="9"/>
  <c r="E824" i="9"/>
  <c r="D824" i="9"/>
  <c r="C824" i="9"/>
  <c r="B824" i="9"/>
  <c r="A824" i="9"/>
  <c r="I823" i="9"/>
  <c r="H823" i="9"/>
  <c r="F823" i="9"/>
  <c r="E823" i="9"/>
  <c r="D823" i="9"/>
  <c r="C823" i="9"/>
  <c r="B823" i="9"/>
  <c r="A823" i="9"/>
  <c r="I822" i="9"/>
  <c r="H822" i="9"/>
  <c r="F822" i="9"/>
  <c r="E822" i="9"/>
  <c r="D822" i="9"/>
  <c r="C822" i="9"/>
  <c r="B822" i="9"/>
  <c r="A822" i="9"/>
  <c r="I821" i="9"/>
  <c r="H821" i="9"/>
  <c r="F821" i="9"/>
  <c r="E821" i="9"/>
  <c r="D821" i="9"/>
  <c r="C821" i="9"/>
  <c r="B821" i="9"/>
  <c r="A821" i="9"/>
  <c r="I820" i="9"/>
  <c r="H820" i="9"/>
  <c r="F820" i="9"/>
  <c r="E820" i="9"/>
  <c r="D820" i="9"/>
  <c r="C820" i="9"/>
  <c r="B820" i="9"/>
  <c r="A820" i="9"/>
  <c r="I819" i="9"/>
  <c r="H819" i="9"/>
  <c r="F819" i="9"/>
  <c r="E819" i="9"/>
  <c r="D819" i="9"/>
  <c r="C819" i="9"/>
  <c r="B819" i="9"/>
  <c r="A819" i="9"/>
  <c r="I818" i="9"/>
  <c r="H818" i="9"/>
  <c r="F818" i="9"/>
  <c r="E818" i="9"/>
  <c r="D818" i="9"/>
  <c r="C818" i="9"/>
  <c r="B818" i="9"/>
  <c r="A818" i="9"/>
  <c r="I817" i="9"/>
  <c r="H817" i="9"/>
  <c r="G817" i="9"/>
  <c r="F817" i="9"/>
  <c r="E817" i="9"/>
  <c r="D817" i="9"/>
  <c r="C817" i="9"/>
  <c r="B817" i="9"/>
  <c r="A817" i="9"/>
  <c r="I816" i="9"/>
  <c r="H816" i="9"/>
  <c r="G816" i="9"/>
  <c r="F816" i="9"/>
  <c r="E816" i="9"/>
  <c r="D816" i="9"/>
  <c r="C816" i="9"/>
  <c r="B816" i="9"/>
  <c r="A816" i="9"/>
  <c r="I815" i="9"/>
  <c r="H815" i="9"/>
  <c r="F815" i="9"/>
  <c r="E815" i="9"/>
  <c r="D815" i="9"/>
  <c r="C815" i="9"/>
  <c r="B815" i="9"/>
  <c r="A815" i="9"/>
  <c r="I814" i="9"/>
  <c r="H814" i="9"/>
  <c r="F814" i="9"/>
  <c r="E814" i="9"/>
  <c r="D814" i="9"/>
  <c r="C814" i="9"/>
  <c r="B814" i="9"/>
  <c r="A814" i="9"/>
  <c r="I813" i="9"/>
  <c r="H813" i="9"/>
  <c r="F813" i="9"/>
  <c r="E813" i="9"/>
  <c r="D813" i="9"/>
  <c r="C813" i="9"/>
  <c r="B813" i="9"/>
  <c r="A813" i="9"/>
  <c r="I812" i="9"/>
  <c r="H812" i="9"/>
  <c r="F812" i="9"/>
  <c r="E812" i="9"/>
  <c r="D812" i="9"/>
  <c r="C812" i="9"/>
  <c r="B812" i="9"/>
  <c r="A812" i="9"/>
  <c r="I811" i="9"/>
  <c r="H811" i="9"/>
  <c r="F811" i="9"/>
  <c r="E811" i="9"/>
  <c r="D811" i="9"/>
  <c r="C811" i="9"/>
  <c r="B811" i="9"/>
  <c r="A811" i="9"/>
  <c r="I810" i="9"/>
  <c r="H810" i="9"/>
  <c r="F810" i="9"/>
  <c r="E810" i="9"/>
  <c r="D810" i="9"/>
  <c r="C810" i="9"/>
  <c r="B810" i="9"/>
  <c r="A810" i="9"/>
  <c r="I809" i="9"/>
  <c r="H809" i="9"/>
  <c r="F809" i="9"/>
  <c r="E809" i="9"/>
  <c r="D809" i="9"/>
  <c r="C809" i="9"/>
  <c r="B809" i="9"/>
  <c r="A809" i="9"/>
  <c r="I808" i="9"/>
  <c r="H808" i="9"/>
  <c r="F808" i="9"/>
  <c r="E808" i="9"/>
  <c r="D808" i="9"/>
  <c r="C808" i="9"/>
  <c r="B808" i="9"/>
  <c r="A808" i="9"/>
  <c r="I807" i="9"/>
  <c r="H807" i="9"/>
  <c r="F807" i="9"/>
  <c r="E807" i="9"/>
  <c r="D807" i="9"/>
  <c r="C807" i="9"/>
  <c r="B807" i="9"/>
  <c r="A807" i="9"/>
  <c r="I806" i="9"/>
  <c r="H806" i="9"/>
  <c r="F806" i="9"/>
  <c r="E806" i="9"/>
  <c r="D806" i="9"/>
  <c r="C806" i="9"/>
  <c r="B806" i="9"/>
  <c r="A806" i="9"/>
  <c r="I805" i="9"/>
  <c r="H805" i="9"/>
  <c r="F805" i="9"/>
  <c r="E805" i="9"/>
  <c r="D805" i="9"/>
  <c r="C805" i="9"/>
  <c r="B805" i="9"/>
  <c r="A805" i="9"/>
  <c r="I804" i="9"/>
  <c r="H804" i="9"/>
  <c r="F804" i="9"/>
  <c r="E804" i="9"/>
  <c r="D804" i="9"/>
  <c r="C804" i="9"/>
  <c r="B804" i="9"/>
  <c r="A804" i="9"/>
  <c r="I803" i="9"/>
  <c r="H803" i="9"/>
  <c r="F803" i="9"/>
  <c r="E803" i="9"/>
  <c r="D803" i="9"/>
  <c r="C803" i="9"/>
  <c r="B803" i="9"/>
  <c r="A803" i="9"/>
  <c r="I802" i="9"/>
  <c r="H802" i="9"/>
  <c r="F802" i="9"/>
  <c r="E802" i="9"/>
  <c r="D802" i="9"/>
  <c r="C802" i="9"/>
  <c r="B802" i="9"/>
  <c r="A802" i="9"/>
  <c r="I801" i="9"/>
  <c r="H801" i="9"/>
  <c r="F801" i="9"/>
  <c r="E801" i="9"/>
  <c r="D801" i="9"/>
  <c r="C801" i="9"/>
  <c r="B801" i="9"/>
  <c r="A801" i="9"/>
  <c r="I800" i="9"/>
  <c r="H800" i="9"/>
  <c r="F800" i="9"/>
  <c r="E800" i="9"/>
  <c r="D800" i="9"/>
  <c r="C800" i="9"/>
  <c r="B800" i="9"/>
  <c r="A800" i="9"/>
  <c r="I799" i="9"/>
  <c r="H799" i="9"/>
  <c r="F799" i="9"/>
  <c r="E799" i="9"/>
  <c r="D799" i="9"/>
  <c r="C799" i="9"/>
  <c r="B799" i="9"/>
  <c r="A799" i="9"/>
  <c r="I798" i="9"/>
  <c r="H798" i="9"/>
  <c r="F798" i="9"/>
  <c r="E798" i="9"/>
  <c r="D798" i="9"/>
  <c r="C798" i="9"/>
  <c r="B798" i="9"/>
  <c r="A798" i="9"/>
  <c r="I797" i="9"/>
  <c r="H797" i="9"/>
  <c r="F797" i="9"/>
  <c r="E797" i="9"/>
  <c r="D797" i="9"/>
  <c r="C797" i="9"/>
  <c r="B797" i="9"/>
  <c r="A797" i="9"/>
  <c r="I796" i="9"/>
  <c r="H796" i="9"/>
  <c r="F796" i="9"/>
  <c r="E796" i="9"/>
  <c r="D796" i="9"/>
  <c r="C796" i="9"/>
  <c r="B796" i="9"/>
  <c r="A796" i="9"/>
  <c r="I795" i="9"/>
  <c r="H795" i="9"/>
  <c r="F795" i="9"/>
  <c r="E795" i="9"/>
  <c r="D795" i="9"/>
  <c r="C795" i="9"/>
  <c r="B795" i="9"/>
  <c r="A795" i="9"/>
  <c r="I794" i="9"/>
  <c r="H794" i="9"/>
  <c r="F794" i="9"/>
  <c r="E794" i="9"/>
  <c r="D794" i="9"/>
  <c r="C794" i="9"/>
  <c r="B794" i="9"/>
  <c r="A794" i="9"/>
  <c r="I793" i="9"/>
  <c r="H793" i="9"/>
  <c r="F793" i="9"/>
  <c r="E793" i="9"/>
  <c r="D793" i="9"/>
  <c r="C793" i="9"/>
  <c r="B793" i="9"/>
  <c r="A793" i="9"/>
  <c r="I792" i="9"/>
  <c r="H792" i="9"/>
  <c r="F792" i="9"/>
  <c r="E792" i="9"/>
  <c r="D792" i="9"/>
  <c r="C792" i="9"/>
  <c r="B792" i="9"/>
  <c r="A792" i="9"/>
  <c r="I791" i="9"/>
  <c r="H791" i="9"/>
  <c r="F791" i="9"/>
  <c r="E791" i="9"/>
  <c r="D791" i="9"/>
  <c r="C791" i="9"/>
  <c r="B791" i="9"/>
  <c r="A791" i="9"/>
  <c r="I790" i="9"/>
  <c r="H790" i="9"/>
  <c r="F790" i="9"/>
  <c r="E790" i="9"/>
  <c r="D790" i="9"/>
  <c r="C790" i="9"/>
  <c r="B790" i="9"/>
  <c r="A790" i="9"/>
  <c r="I789" i="9"/>
  <c r="H789" i="9"/>
  <c r="F789" i="9"/>
  <c r="E789" i="9"/>
  <c r="D789" i="9"/>
  <c r="C789" i="9"/>
  <c r="B789" i="9"/>
  <c r="A789" i="9"/>
  <c r="I788" i="9"/>
  <c r="H788" i="9"/>
  <c r="F788" i="9"/>
  <c r="E788" i="9"/>
  <c r="D788" i="9"/>
  <c r="C788" i="9"/>
  <c r="B788" i="9"/>
  <c r="A788" i="9"/>
  <c r="I787" i="9"/>
  <c r="H787" i="9"/>
  <c r="F787" i="9"/>
  <c r="E787" i="9"/>
  <c r="D787" i="9"/>
  <c r="C787" i="9"/>
  <c r="B787" i="9"/>
  <c r="A787" i="9"/>
  <c r="I786" i="9"/>
  <c r="H786" i="9"/>
  <c r="F786" i="9"/>
  <c r="E786" i="9"/>
  <c r="D786" i="9"/>
  <c r="C786" i="9"/>
  <c r="B786" i="9"/>
  <c r="A786" i="9"/>
  <c r="I785" i="9"/>
  <c r="H785" i="9"/>
  <c r="F785" i="9"/>
  <c r="E785" i="9"/>
  <c r="D785" i="9"/>
  <c r="C785" i="9"/>
  <c r="B785" i="9"/>
  <c r="A785" i="9"/>
  <c r="I784" i="9"/>
  <c r="H784" i="9"/>
  <c r="F784" i="9"/>
  <c r="E784" i="9"/>
  <c r="D784" i="9"/>
  <c r="C784" i="9"/>
  <c r="B784" i="9"/>
  <c r="A784" i="9"/>
  <c r="I783" i="9"/>
  <c r="H783" i="9"/>
  <c r="F783" i="9"/>
  <c r="E783" i="9"/>
  <c r="D783" i="9"/>
  <c r="C783" i="9"/>
  <c r="B783" i="9"/>
  <c r="A783" i="9"/>
  <c r="I782" i="9"/>
  <c r="H782" i="9"/>
  <c r="F782" i="9"/>
  <c r="E782" i="9"/>
  <c r="D782" i="9"/>
  <c r="C782" i="9"/>
  <c r="B782" i="9"/>
  <c r="A782" i="9"/>
  <c r="I781" i="9"/>
  <c r="H781" i="9"/>
  <c r="F781" i="9"/>
  <c r="E781" i="9"/>
  <c r="D781" i="9"/>
  <c r="C781" i="9"/>
  <c r="B781" i="9"/>
  <c r="A781" i="9"/>
  <c r="I780" i="9"/>
  <c r="H780" i="9"/>
  <c r="F780" i="9"/>
  <c r="E780" i="9"/>
  <c r="D780" i="9"/>
  <c r="C780" i="9"/>
  <c r="B780" i="9"/>
  <c r="A780" i="9"/>
  <c r="I779" i="9"/>
  <c r="H779" i="9"/>
  <c r="F779" i="9"/>
  <c r="E779" i="9"/>
  <c r="D779" i="9"/>
  <c r="C779" i="9"/>
  <c r="B779" i="9"/>
  <c r="A779" i="9"/>
  <c r="I778" i="9"/>
  <c r="H778" i="9"/>
  <c r="F778" i="9"/>
  <c r="E778" i="9"/>
  <c r="D778" i="9"/>
  <c r="C778" i="9"/>
  <c r="B778" i="9"/>
  <c r="A778" i="9"/>
  <c r="I777" i="9"/>
  <c r="H777" i="9"/>
  <c r="F777" i="9"/>
  <c r="E777" i="9"/>
  <c r="D777" i="9"/>
  <c r="C777" i="9"/>
  <c r="B777" i="9"/>
  <c r="A777" i="9"/>
  <c r="I776" i="9"/>
  <c r="H776" i="9"/>
  <c r="F776" i="9"/>
  <c r="E776" i="9"/>
  <c r="D776" i="9"/>
  <c r="C776" i="9"/>
  <c r="B776" i="9"/>
  <c r="A776" i="9"/>
  <c r="I775" i="9"/>
  <c r="H775" i="9"/>
  <c r="F775" i="9"/>
  <c r="E775" i="9"/>
  <c r="D775" i="9"/>
  <c r="C775" i="9"/>
  <c r="B775" i="9"/>
  <c r="A775" i="9"/>
  <c r="I774" i="9"/>
  <c r="H774" i="9"/>
  <c r="F774" i="9"/>
  <c r="E774" i="9"/>
  <c r="D774" i="9"/>
  <c r="C774" i="9"/>
  <c r="B774" i="9"/>
  <c r="A774" i="9"/>
  <c r="I773" i="9"/>
  <c r="H773" i="9"/>
  <c r="F773" i="9"/>
  <c r="E773" i="9"/>
  <c r="D773" i="9"/>
  <c r="C773" i="9"/>
  <c r="B773" i="9"/>
  <c r="A773" i="9"/>
  <c r="I772" i="9"/>
  <c r="H772" i="9"/>
  <c r="F772" i="9"/>
  <c r="E772" i="9"/>
  <c r="D772" i="9"/>
  <c r="C772" i="9"/>
  <c r="B772" i="9"/>
  <c r="A772" i="9"/>
  <c r="I771" i="9"/>
  <c r="H771" i="9"/>
  <c r="F771" i="9"/>
  <c r="E771" i="9"/>
  <c r="D771" i="9"/>
  <c r="C771" i="9"/>
  <c r="B771" i="9"/>
  <c r="A771" i="9"/>
  <c r="I770" i="9"/>
  <c r="H770" i="9"/>
  <c r="F770" i="9"/>
  <c r="E770" i="9"/>
  <c r="D770" i="9"/>
  <c r="C770" i="9"/>
  <c r="B770" i="9"/>
  <c r="A770" i="9"/>
  <c r="I769" i="9"/>
  <c r="H769" i="9"/>
  <c r="G769" i="9"/>
  <c r="F769" i="9"/>
  <c r="E769" i="9"/>
  <c r="D769" i="9"/>
  <c r="C769" i="9"/>
  <c r="B769" i="9"/>
  <c r="A769" i="9"/>
  <c r="I768" i="9"/>
  <c r="H768" i="9"/>
  <c r="G768" i="9"/>
  <c r="F768" i="9"/>
  <c r="E768" i="9"/>
  <c r="D768" i="9"/>
  <c r="C768" i="9"/>
  <c r="B768" i="9"/>
  <c r="A768" i="9"/>
  <c r="I767" i="9"/>
  <c r="H767" i="9"/>
  <c r="G767" i="9"/>
  <c r="F767" i="9"/>
  <c r="E767" i="9"/>
  <c r="D767" i="9"/>
  <c r="C767" i="9"/>
  <c r="B767" i="9"/>
  <c r="A767" i="9"/>
  <c r="I766" i="9"/>
  <c r="H766" i="9"/>
  <c r="G766" i="9"/>
  <c r="F766" i="9"/>
  <c r="E766" i="9"/>
  <c r="D766" i="9"/>
  <c r="C766" i="9"/>
  <c r="B766" i="9"/>
  <c r="A766" i="9"/>
  <c r="I765" i="9"/>
  <c r="H765" i="9"/>
  <c r="F765" i="9"/>
  <c r="E765" i="9"/>
  <c r="D765" i="9"/>
  <c r="C765" i="9"/>
  <c r="B765" i="9"/>
  <c r="A765" i="9"/>
  <c r="I764" i="9"/>
  <c r="H764" i="9"/>
  <c r="F764" i="9"/>
  <c r="E764" i="9"/>
  <c r="D764" i="9"/>
  <c r="C764" i="9"/>
  <c r="B764" i="9"/>
  <c r="A764" i="9"/>
  <c r="I763" i="9"/>
  <c r="H763" i="9"/>
  <c r="F763" i="9"/>
  <c r="E763" i="9"/>
  <c r="D763" i="9"/>
  <c r="C763" i="9"/>
  <c r="B763" i="9"/>
  <c r="A763" i="9"/>
  <c r="I762" i="9"/>
  <c r="H762" i="9"/>
  <c r="G762" i="9"/>
  <c r="F762" i="9"/>
  <c r="E762" i="9"/>
  <c r="D762" i="9"/>
  <c r="C762" i="9"/>
  <c r="B762" i="9"/>
  <c r="A762" i="9"/>
  <c r="I761" i="9"/>
  <c r="H761" i="9"/>
  <c r="F761" i="9"/>
  <c r="E761" i="9"/>
  <c r="D761" i="9"/>
  <c r="C761" i="9"/>
  <c r="B761" i="9"/>
  <c r="A761" i="9"/>
  <c r="I760" i="9"/>
  <c r="H760" i="9"/>
  <c r="F760" i="9"/>
  <c r="E760" i="9"/>
  <c r="D760" i="9"/>
  <c r="C760" i="9"/>
  <c r="B760" i="9"/>
  <c r="A760" i="9"/>
  <c r="I759" i="9"/>
  <c r="H759" i="9"/>
  <c r="F759" i="9"/>
  <c r="E759" i="9"/>
  <c r="D759" i="9"/>
  <c r="C759" i="9"/>
  <c r="B759" i="9"/>
  <c r="A759" i="9"/>
  <c r="I758" i="9"/>
  <c r="H758" i="9"/>
  <c r="F758" i="9"/>
  <c r="E758" i="9"/>
  <c r="D758" i="9"/>
  <c r="C758" i="9"/>
  <c r="B758" i="9"/>
  <c r="A758" i="9"/>
  <c r="I757" i="9"/>
  <c r="H757" i="9"/>
  <c r="F757" i="9"/>
  <c r="E757" i="9"/>
  <c r="D757" i="9"/>
  <c r="C757" i="9"/>
  <c r="B757" i="9"/>
  <c r="A757" i="9"/>
  <c r="I756" i="9"/>
  <c r="H756" i="9"/>
  <c r="G756" i="9"/>
  <c r="F756" i="9"/>
  <c r="E756" i="9"/>
  <c r="D756" i="9"/>
  <c r="C756" i="9"/>
  <c r="B756" i="9"/>
  <c r="A756" i="9"/>
  <c r="I755" i="9"/>
  <c r="H755" i="9"/>
  <c r="G755" i="9"/>
  <c r="F755" i="9"/>
  <c r="E755" i="9"/>
  <c r="D755" i="9"/>
  <c r="C755" i="9"/>
  <c r="B755" i="9"/>
  <c r="A755" i="9"/>
  <c r="I754" i="9"/>
  <c r="H754" i="9"/>
  <c r="F754" i="9"/>
  <c r="E754" i="9"/>
  <c r="D754" i="9"/>
  <c r="C754" i="9"/>
  <c r="B754" i="9"/>
  <c r="A754" i="9"/>
  <c r="I753" i="9"/>
  <c r="H753" i="9"/>
  <c r="G753" i="9"/>
  <c r="F753" i="9"/>
  <c r="E753" i="9"/>
  <c r="D753" i="9"/>
  <c r="C753" i="9"/>
  <c r="B753" i="9"/>
  <c r="A753" i="9"/>
  <c r="I752" i="9"/>
  <c r="H752" i="9"/>
  <c r="G752" i="9"/>
  <c r="F752" i="9"/>
  <c r="E752" i="9"/>
  <c r="D752" i="9"/>
  <c r="C752" i="9"/>
  <c r="B752" i="9"/>
  <c r="A752" i="9"/>
  <c r="I751" i="9"/>
  <c r="H751" i="9"/>
  <c r="F751" i="9"/>
  <c r="E751" i="9"/>
  <c r="D751" i="9"/>
  <c r="C751" i="9"/>
  <c r="B751" i="9"/>
  <c r="A751" i="9"/>
  <c r="I750" i="9"/>
  <c r="H750" i="9"/>
  <c r="F750" i="9"/>
  <c r="E750" i="9"/>
  <c r="D750" i="9"/>
  <c r="C750" i="9"/>
  <c r="B750" i="9"/>
  <c r="A750" i="9"/>
  <c r="I749" i="9"/>
  <c r="H749" i="9"/>
  <c r="F749" i="9"/>
  <c r="E749" i="9"/>
  <c r="D749" i="9"/>
  <c r="C749" i="9"/>
  <c r="B749" i="9"/>
  <c r="A749" i="9"/>
  <c r="I748" i="9"/>
  <c r="H748" i="9"/>
  <c r="F748" i="9"/>
  <c r="E748" i="9"/>
  <c r="D748" i="9"/>
  <c r="C748" i="9"/>
  <c r="B748" i="9"/>
  <c r="A748" i="9"/>
  <c r="I747" i="9"/>
  <c r="H747" i="9"/>
  <c r="F747" i="9"/>
  <c r="E747" i="9"/>
  <c r="D747" i="9"/>
  <c r="C747" i="9"/>
  <c r="B747" i="9"/>
  <c r="A747" i="9"/>
  <c r="I746" i="9"/>
  <c r="H746" i="9"/>
  <c r="F746" i="9"/>
  <c r="E746" i="9"/>
  <c r="D746" i="9"/>
  <c r="C746" i="9"/>
  <c r="B746" i="9"/>
  <c r="A746" i="9"/>
  <c r="I745" i="9"/>
  <c r="H745" i="9"/>
  <c r="F745" i="9"/>
  <c r="E745" i="9"/>
  <c r="D745" i="9"/>
  <c r="C745" i="9"/>
  <c r="B745" i="9"/>
  <c r="A745" i="9"/>
  <c r="I744" i="9"/>
  <c r="H744" i="9"/>
  <c r="F744" i="9"/>
  <c r="E744" i="9"/>
  <c r="D744" i="9"/>
  <c r="C744" i="9"/>
  <c r="B744" i="9"/>
  <c r="A744" i="9"/>
  <c r="I743" i="9"/>
  <c r="H743" i="9"/>
  <c r="F743" i="9"/>
  <c r="E743" i="9"/>
  <c r="D743" i="9"/>
  <c r="C743" i="9"/>
  <c r="B743" i="9"/>
  <c r="A743" i="9"/>
  <c r="I742" i="9"/>
  <c r="H742" i="9"/>
  <c r="F742" i="9"/>
  <c r="E742" i="9"/>
  <c r="D742" i="9"/>
  <c r="C742" i="9"/>
  <c r="B742" i="9"/>
  <c r="A742" i="9"/>
  <c r="I741" i="9"/>
  <c r="H741" i="9"/>
  <c r="G741" i="9"/>
  <c r="F741" i="9"/>
  <c r="E741" i="9"/>
  <c r="D741" i="9"/>
  <c r="C741" i="9"/>
  <c r="B741" i="9"/>
  <c r="A741" i="9"/>
  <c r="I740" i="9"/>
  <c r="H740" i="9"/>
  <c r="G740" i="9"/>
  <c r="F740" i="9"/>
  <c r="E740" i="9"/>
  <c r="D740" i="9"/>
  <c r="C740" i="9"/>
  <c r="B740" i="9"/>
  <c r="A740" i="9"/>
  <c r="I739" i="9"/>
  <c r="H739" i="9"/>
  <c r="G739" i="9"/>
  <c r="F739" i="9"/>
  <c r="E739" i="9"/>
  <c r="D739" i="9"/>
  <c r="C739" i="9"/>
  <c r="B739" i="9"/>
  <c r="A739" i="9"/>
  <c r="I738" i="9"/>
  <c r="H738" i="9"/>
  <c r="F738" i="9"/>
  <c r="E738" i="9"/>
  <c r="D738" i="9"/>
  <c r="C738" i="9"/>
  <c r="B738" i="9"/>
  <c r="A738" i="9"/>
  <c r="I737" i="9"/>
  <c r="H737" i="9"/>
  <c r="G737" i="9"/>
  <c r="F737" i="9"/>
  <c r="E737" i="9"/>
  <c r="D737" i="9"/>
  <c r="C737" i="9"/>
  <c r="B737" i="9"/>
  <c r="A737" i="9"/>
  <c r="I736" i="9"/>
  <c r="H736" i="9"/>
  <c r="G736" i="9"/>
  <c r="F736" i="9"/>
  <c r="E736" i="9"/>
  <c r="D736" i="9"/>
  <c r="C736" i="9"/>
  <c r="B736" i="9"/>
  <c r="A736" i="9"/>
  <c r="I735" i="9"/>
  <c r="H735" i="9"/>
  <c r="G735" i="9"/>
  <c r="F735" i="9"/>
  <c r="E735" i="9"/>
  <c r="D735" i="9"/>
  <c r="C735" i="9"/>
  <c r="B735" i="9"/>
  <c r="A735" i="9"/>
  <c r="I734" i="9"/>
  <c r="H734" i="9"/>
  <c r="F734" i="9"/>
  <c r="E734" i="9"/>
  <c r="D734" i="9"/>
  <c r="C734" i="9"/>
  <c r="B734" i="9"/>
  <c r="A734" i="9"/>
  <c r="I733" i="9"/>
  <c r="H733" i="9"/>
  <c r="F733" i="9"/>
  <c r="E733" i="9"/>
  <c r="D733" i="9"/>
  <c r="C733" i="9"/>
  <c r="B733" i="9"/>
  <c r="A733" i="9"/>
  <c r="I732" i="9"/>
  <c r="H732" i="9"/>
  <c r="F732" i="9"/>
  <c r="E732" i="9"/>
  <c r="D732" i="9"/>
  <c r="C732" i="9"/>
  <c r="B732" i="9"/>
  <c r="A732" i="9"/>
  <c r="I731" i="9"/>
  <c r="H731" i="9"/>
  <c r="F731" i="9"/>
  <c r="E731" i="9"/>
  <c r="D731" i="9"/>
  <c r="C731" i="9"/>
  <c r="B731" i="9"/>
  <c r="A731" i="9"/>
  <c r="I730" i="9"/>
  <c r="H730" i="9"/>
  <c r="F730" i="9"/>
  <c r="E730" i="9"/>
  <c r="D730" i="9"/>
  <c r="C730" i="9"/>
  <c r="B730" i="9"/>
  <c r="A730" i="9"/>
  <c r="I729" i="9"/>
  <c r="H729" i="9"/>
  <c r="F729" i="9"/>
  <c r="E729" i="9"/>
  <c r="D729" i="9"/>
  <c r="C729" i="9"/>
  <c r="B729" i="9"/>
  <c r="A729" i="9"/>
  <c r="I728" i="9"/>
  <c r="H728" i="9"/>
  <c r="F728" i="9"/>
  <c r="E728" i="9"/>
  <c r="D728" i="9"/>
  <c r="C728" i="9"/>
  <c r="B728" i="9"/>
  <c r="A728" i="9"/>
  <c r="I727" i="9"/>
  <c r="H727" i="9"/>
  <c r="F727" i="9"/>
  <c r="E727" i="9"/>
  <c r="D727" i="9"/>
  <c r="C727" i="9"/>
  <c r="B727" i="9"/>
  <c r="A727" i="9"/>
  <c r="I726" i="9"/>
  <c r="H726" i="9"/>
  <c r="F726" i="9"/>
  <c r="E726" i="9"/>
  <c r="D726" i="9"/>
  <c r="C726" i="9"/>
  <c r="B726" i="9"/>
  <c r="A726" i="9"/>
  <c r="I725" i="9"/>
  <c r="H725" i="9"/>
  <c r="F725" i="9"/>
  <c r="E725" i="9"/>
  <c r="D725" i="9"/>
  <c r="C725" i="9"/>
  <c r="B725" i="9"/>
  <c r="A725" i="9"/>
  <c r="I724" i="9"/>
  <c r="H724" i="9"/>
  <c r="G724" i="9"/>
  <c r="F724" i="9"/>
  <c r="E724" i="9"/>
  <c r="D724" i="9"/>
  <c r="C724" i="9"/>
  <c r="B724" i="9"/>
  <c r="A724" i="9"/>
  <c r="I723" i="9"/>
  <c r="H723" i="9"/>
  <c r="G723" i="9"/>
  <c r="F723" i="9"/>
  <c r="E723" i="9"/>
  <c r="D723" i="9"/>
  <c r="C723" i="9"/>
  <c r="B723" i="9"/>
  <c r="A723" i="9"/>
  <c r="I722" i="9"/>
  <c r="H722" i="9"/>
  <c r="G722" i="9"/>
  <c r="F722" i="9"/>
  <c r="E722" i="9"/>
  <c r="D722" i="9"/>
  <c r="C722" i="9"/>
  <c r="B722" i="9"/>
  <c r="A722" i="9"/>
  <c r="I721" i="9"/>
  <c r="H721" i="9"/>
  <c r="G721" i="9"/>
  <c r="F721" i="9"/>
  <c r="E721" i="9"/>
  <c r="D721" i="9"/>
  <c r="C721" i="9"/>
  <c r="B721" i="9"/>
  <c r="A721" i="9"/>
  <c r="I720" i="9"/>
  <c r="H720" i="9"/>
  <c r="F720" i="9"/>
  <c r="E720" i="9"/>
  <c r="D720" i="9"/>
  <c r="C720" i="9"/>
  <c r="B720" i="9"/>
  <c r="A720" i="9"/>
  <c r="I719" i="9"/>
  <c r="H719" i="9"/>
  <c r="F719" i="9"/>
  <c r="E719" i="9"/>
  <c r="D719" i="9"/>
  <c r="C719" i="9"/>
  <c r="B719" i="9"/>
  <c r="A719" i="9"/>
  <c r="I718" i="9"/>
  <c r="H718" i="9"/>
  <c r="F718" i="9"/>
  <c r="E718" i="9"/>
  <c r="D718" i="9"/>
  <c r="C718" i="9"/>
  <c r="B718" i="9"/>
  <c r="A718" i="9"/>
  <c r="I717" i="9"/>
  <c r="H717" i="9"/>
  <c r="F717" i="9"/>
  <c r="E717" i="9"/>
  <c r="D717" i="9"/>
  <c r="C717" i="9"/>
  <c r="B717" i="9"/>
  <c r="A717" i="9"/>
  <c r="I716" i="9"/>
  <c r="H716" i="9"/>
  <c r="F716" i="9"/>
  <c r="E716" i="9"/>
  <c r="D716" i="9"/>
  <c r="C716" i="9"/>
  <c r="B716" i="9"/>
  <c r="A716" i="9"/>
  <c r="I715" i="9"/>
  <c r="H715" i="9"/>
  <c r="F715" i="9"/>
  <c r="E715" i="9"/>
  <c r="D715" i="9"/>
  <c r="C715" i="9"/>
  <c r="B715" i="9"/>
  <c r="A715" i="9"/>
  <c r="I714" i="9"/>
  <c r="H714" i="9"/>
  <c r="F714" i="9"/>
  <c r="E714" i="9"/>
  <c r="D714" i="9"/>
  <c r="C714" i="9"/>
  <c r="B714" i="9"/>
  <c r="A714" i="9"/>
  <c r="I713" i="9"/>
  <c r="H713" i="9"/>
  <c r="F713" i="9"/>
  <c r="E713" i="9"/>
  <c r="D713" i="9"/>
  <c r="C713" i="9"/>
  <c r="B713" i="9"/>
  <c r="A713" i="9"/>
  <c r="I712" i="9"/>
  <c r="H712" i="9"/>
  <c r="F712" i="9"/>
  <c r="E712" i="9"/>
  <c r="D712" i="9"/>
  <c r="C712" i="9"/>
  <c r="B712" i="9"/>
  <c r="A712" i="9"/>
  <c r="I711" i="9"/>
  <c r="H711" i="9"/>
  <c r="F711" i="9"/>
  <c r="E711" i="9"/>
  <c r="D711" i="9"/>
  <c r="C711" i="9"/>
  <c r="B711" i="9"/>
  <c r="A711" i="9"/>
  <c r="I710" i="9"/>
  <c r="H710" i="9"/>
  <c r="F710" i="9"/>
  <c r="E710" i="9"/>
  <c r="D710" i="9"/>
  <c r="C710" i="9"/>
  <c r="B710" i="9"/>
  <c r="A710" i="9"/>
  <c r="I709" i="9"/>
  <c r="H709" i="9"/>
  <c r="F709" i="9"/>
  <c r="E709" i="9"/>
  <c r="D709" i="9"/>
  <c r="C709" i="9"/>
  <c r="B709" i="9"/>
  <c r="A709" i="9"/>
  <c r="I708" i="9"/>
  <c r="H708" i="9"/>
  <c r="G708" i="9"/>
  <c r="F708" i="9"/>
  <c r="E708" i="9"/>
  <c r="D708" i="9"/>
  <c r="C708" i="9"/>
  <c r="B708" i="9"/>
  <c r="A708" i="9"/>
  <c r="I707" i="9"/>
  <c r="H707" i="9"/>
  <c r="G707" i="9"/>
  <c r="F707" i="9"/>
  <c r="E707" i="9"/>
  <c r="D707" i="9"/>
  <c r="C707" i="9"/>
  <c r="B707" i="9"/>
  <c r="A707" i="9"/>
  <c r="I706" i="9"/>
  <c r="H706" i="9"/>
  <c r="G706" i="9"/>
  <c r="F706" i="9"/>
  <c r="E706" i="9"/>
  <c r="D706" i="9"/>
  <c r="C706" i="9"/>
  <c r="B706" i="9"/>
  <c r="A706" i="9"/>
  <c r="I705" i="9"/>
  <c r="H705" i="9"/>
  <c r="G705" i="9"/>
  <c r="F705" i="9"/>
  <c r="E705" i="9"/>
  <c r="D705" i="9"/>
  <c r="C705" i="9"/>
  <c r="B705" i="9"/>
  <c r="A705" i="9"/>
  <c r="I704" i="9"/>
  <c r="H704" i="9"/>
  <c r="F704" i="9"/>
  <c r="E704" i="9"/>
  <c r="D704" i="9"/>
  <c r="C704" i="9"/>
  <c r="B704" i="9"/>
  <c r="A704" i="9"/>
  <c r="I703" i="9"/>
  <c r="H703" i="9"/>
  <c r="G703" i="9"/>
  <c r="F703" i="9"/>
  <c r="E703" i="9"/>
  <c r="D703" i="9"/>
  <c r="C703" i="9"/>
  <c r="B703" i="9"/>
  <c r="A703" i="9"/>
  <c r="I702" i="9"/>
  <c r="H702" i="9"/>
  <c r="F702" i="9"/>
  <c r="E702" i="9"/>
  <c r="D702" i="9"/>
  <c r="C702" i="9"/>
  <c r="B702" i="9"/>
  <c r="A702" i="9"/>
  <c r="I701" i="9"/>
  <c r="H701" i="9"/>
  <c r="F701" i="9"/>
  <c r="E701" i="9"/>
  <c r="D701" i="9"/>
  <c r="C701" i="9"/>
  <c r="B701" i="9"/>
  <c r="A701" i="9"/>
  <c r="I700" i="9"/>
  <c r="H700" i="9"/>
  <c r="F700" i="9"/>
  <c r="E700" i="9"/>
  <c r="D700" i="9"/>
  <c r="C700" i="9"/>
  <c r="B700" i="9"/>
  <c r="A700" i="9"/>
  <c r="I699" i="9"/>
  <c r="H699" i="9"/>
  <c r="G699" i="9"/>
  <c r="F699" i="9"/>
  <c r="E699" i="9"/>
  <c r="D699" i="9"/>
  <c r="C699" i="9"/>
  <c r="B699" i="9"/>
  <c r="A699" i="9"/>
  <c r="I698" i="9"/>
  <c r="H698" i="9"/>
  <c r="F698" i="9"/>
  <c r="E698" i="9"/>
  <c r="D698" i="9"/>
  <c r="C698" i="9"/>
  <c r="B698" i="9"/>
  <c r="A698" i="9"/>
  <c r="I697" i="9"/>
  <c r="H697" i="9"/>
  <c r="F697" i="9"/>
  <c r="E697" i="9"/>
  <c r="D697" i="9"/>
  <c r="C697" i="9"/>
  <c r="B697" i="9"/>
  <c r="A697" i="9"/>
  <c r="I696" i="9"/>
  <c r="H696" i="9"/>
  <c r="G696" i="9"/>
  <c r="F696" i="9"/>
  <c r="E696" i="9"/>
  <c r="D696" i="9"/>
  <c r="C696" i="9"/>
  <c r="B696" i="9"/>
  <c r="A696" i="9"/>
  <c r="I695" i="9"/>
  <c r="H695" i="9"/>
  <c r="G695" i="9"/>
  <c r="F695" i="9"/>
  <c r="E695" i="9"/>
  <c r="D695" i="9"/>
  <c r="C695" i="9"/>
  <c r="B695" i="9"/>
  <c r="A695" i="9"/>
  <c r="I694" i="9"/>
  <c r="H694" i="9"/>
  <c r="F694" i="9"/>
  <c r="E694" i="9"/>
  <c r="D694" i="9"/>
  <c r="C694" i="9"/>
  <c r="B694" i="9"/>
  <c r="A694" i="9"/>
  <c r="I693" i="9"/>
  <c r="H693" i="9"/>
  <c r="F693" i="9"/>
  <c r="E693" i="9"/>
  <c r="D693" i="9"/>
  <c r="C693" i="9"/>
  <c r="B693" i="9"/>
  <c r="A693" i="9"/>
  <c r="I692" i="9"/>
  <c r="H692" i="9"/>
  <c r="F692" i="9"/>
  <c r="E692" i="9"/>
  <c r="D692" i="9"/>
  <c r="C692" i="9"/>
  <c r="B692" i="9"/>
  <c r="A692" i="9"/>
  <c r="I691" i="9"/>
  <c r="H691" i="9"/>
  <c r="F691" i="9"/>
  <c r="E691" i="9"/>
  <c r="D691" i="9"/>
  <c r="C691" i="9"/>
  <c r="B691" i="9"/>
  <c r="A691" i="9"/>
  <c r="I690" i="9"/>
  <c r="H690" i="9"/>
  <c r="F690" i="9"/>
  <c r="E690" i="9"/>
  <c r="D690" i="9"/>
  <c r="C690" i="9"/>
  <c r="B690" i="9"/>
  <c r="A690" i="9"/>
  <c r="I689" i="9"/>
  <c r="H689" i="9"/>
  <c r="F689" i="9"/>
  <c r="E689" i="9"/>
  <c r="D689" i="9"/>
  <c r="C689" i="9"/>
  <c r="B689" i="9"/>
  <c r="A689" i="9"/>
  <c r="I688" i="9"/>
  <c r="H688" i="9"/>
  <c r="F688" i="9"/>
  <c r="E688" i="9"/>
  <c r="D688" i="9"/>
  <c r="C688" i="9"/>
  <c r="B688" i="9"/>
  <c r="A688" i="9"/>
  <c r="I687" i="9"/>
  <c r="H687" i="9"/>
  <c r="F687" i="9"/>
  <c r="E687" i="9"/>
  <c r="D687" i="9"/>
  <c r="C687" i="9"/>
  <c r="B687" i="9"/>
  <c r="A687" i="9"/>
  <c r="I686" i="9"/>
  <c r="H686" i="9"/>
  <c r="F686" i="9"/>
  <c r="E686" i="9"/>
  <c r="D686" i="9"/>
  <c r="C686" i="9"/>
  <c r="B686" i="9"/>
  <c r="A686" i="9"/>
  <c r="I685" i="9"/>
  <c r="H685" i="9"/>
  <c r="F685" i="9"/>
  <c r="E685" i="9"/>
  <c r="D685" i="9"/>
  <c r="C685" i="9"/>
  <c r="B685" i="9"/>
  <c r="A685" i="9"/>
  <c r="I684" i="9"/>
  <c r="H684" i="9"/>
  <c r="F684" i="9"/>
  <c r="E684" i="9"/>
  <c r="D684" i="9"/>
  <c r="C684" i="9"/>
  <c r="B684" i="9"/>
  <c r="A684" i="9"/>
  <c r="I683" i="9"/>
  <c r="H683" i="9"/>
  <c r="F683" i="9"/>
  <c r="E683" i="9"/>
  <c r="D683" i="9"/>
  <c r="C683" i="9"/>
  <c r="B683" i="9"/>
  <c r="A683" i="9"/>
  <c r="I682" i="9"/>
  <c r="H682" i="9"/>
  <c r="F682" i="9"/>
  <c r="E682" i="9"/>
  <c r="D682" i="9"/>
  <c r="C682" i="9"/>
  <c r="B682" i="9"/>
  <c r="A682" i="9"/>
  <c r="I681" i="9"/>
  <c r="H681" i="9"/>
  <c r="F681" i="9"/>
  <c r="E681" i="9"/>
  <c r="D681" i="9"/>
  <c r="C681" i="9"/>
  <c r="B681" i="9"/>
  <c r="A681" i="9"/>
  <c r="I680" i="9"/>
  <c r="H680" i="9"/>
  <c r="F680" i="9"/>
  <c r="E680" i="9"/>
  <c r="D680" i="9"/>
  <c r="C680" i="9"/>
  <c r="B680" i="9"/>
  <c r="A680" i="9"/>
  <c r="I679" i="9"/>
  <c r="H679" i="9"/>
  <c r="F679" i="9"/>
  <c r="E679" i="9"/>
  <c r="D679" i="9"/>
  <c r="C679" i="9"/>
  <c r="B679" i="9"/>
  <c r="A679" i="9"/>
  <c r="I678" i="9"/>
  <c r="H678" i="9"/>
  <c r="F678" i="9"/>
  <c r="E678" i="9"/>
  <c r="D678" i="9"/>
  <c r="C678" i="9"/>
  <c r="B678" i="9"/>
  <c r="A678" i="9"/>
  <c r="I677" i="9"/>
  <c r="H677" i="9"/>
  <c r="F677" i="9"/>
  <c r="E677" i="9"/>
  <c r="D677" i="9"/>
  <c r="C677" i="9"/>
  <c r="B677" i="9"/>
  <c r="A677" i="9"/>
  <c r="I676" i="9"/>
  <c r="H676" i="9"/>
  <c r="G676" i="9"/>
  <c r="F676" i="9"/>
  <c r="E676" i="9"/>
  <c r="D676" i="9"/>
  <c r="C676" i="9"/>
  <c r="B676" i="9"/>
  <c r="A676" i="9"/>
  <c r="I675" i="9"/>
  <c r="H675" i="9"/>
  <c r="G675" i="9"/>
  <c r="F675" i="9"/>
  <c r="E675" i="9"/>
  <c r="D675" i="9"/>
  <c r="C675" i="9"/>
  <c r="B675" i="9"/>
  <c r="A675" i="9"/>
  <c r="I674" i="9"/>
  <c r="H674" i="9"/>
  <c r="F674" i="9"/>
  <c r="E674" i="9"/>
  <c r="D674" i="9"/>
  <c r="C674" i="9"/>
  <c r="B674" i="9"/>
  <c r="A674" i="9"/>
  <c r="I673" i="9"/>
  <c r="H673" i="9"/>
  <c r="F673" i="9"/>
  <c r="E673" i="9"/>
  <c r="D673" i="9"/>
  <c r="C673" i="9"/>
  <c r="B673" i="9"/>
  <c r="A673" i="9"/>
  <c r="I672" i="9"/>
  <c r="H672" i="9"/>
  <c r="F672" i="9"/>
  <c r="E672" i="9"/>
  <c r="D672" i="9"/>
  <c r="C672" i="9"/>
  <c r="B672" i="9"/>
  <c r="A672" i="9"/>
  <c r="I671" i="9"/>
  <c r="H671" i="9"/>
  <c r="G671" i="9"/>
  <c r="F671" i="9"/>
  <c r="E671" i="9"/>
  <c r="D671" i="9"/>
  <c r="C671" i="9"/>
  <c r="B671" i="9"/>
  <c r="A671" i="9"/>
  <c r="I670" i="9"/>
  <c r="H670" i="9"/>
  <c r="G670" i="9"/>
  <c r="F670" i="9"/>
  <c r="E670" i="9"/>
  <c r="D670" i="9"/>
  <c r="C670" i="9"/>
  <c r="B670" i="9"/>
  <c r="A670" i="9"/>
  <c r="I669" i="9"/>
  <c r="H669" i="9"/>
  <c r="F669" i="9"/>
  <c r="E669" i="9"/>
  <c r="D669" i="9"/>
  <c r="C669" i="9"/>
  <c r="B669" i="9"/>
  <c r="A669" i="9"/>
  <c r="I668" i="9"/>
  <c r="H668" i="9"/>
  <c r="F668" i="9"/>
  <c r="E668" i="9"/>
  <c r="D668" i="9"/>
  <c r="C668" i="9"/>
  <c r="B668" i="9"/>
  <c r="A668" i="9"/>
  <c r="I667" i="9"/>
  <c r="H667" i="9"/>
  <c r="F667" i="9"/>
  <c r="E667" i="9"/>
  <c r="D667" i="9"/>
  <c r="C667" i="9"/>
  <c r="B667" i="9"/>
  <c r="A667" i="9"/>
  <c r="I666" i="9"/>
  <c r="H666" i="9"/>
  <c r="F666" i="9"/>
  <c r="E666" i="9"/>
  <c r="D666" i="9"/>
  <c r="C666" i="9"/>
  <c r="B666" i="9"/>
  <c r="A666" i="9"/>
  <c r="I665" i="9"/>
  <c r="H665" i="9"/>
  <c r="G665" i="9"/>
  <c r="F665" i="9"/>
  <c r="E665" i="9"/>
  <c r="D665" i="9"/>
  <c r="C665" i="9"/>
  <c r="B665" i="9"/>
  <c r="A665" i="9"/>
  <c r="I664" i="9"/>
  <c r="H664" i="9"/>
  <c r="G664" i="9"/>
  <c r="F664" i="9"/>
  <c r="E664" i="9"/>
  <c r="D664" i="9"/>
  <c r="C664" i="9"/>
  <c r="B664" i="9"/>
  <c r="A664" i="9"/>
  <c r="I663" i="9"/>
  <c r="H663" i="9"/>
  <c r="F663" i="9"/>
  <c r="E663" i="9"/>
  <c r="D663" i="9"/>
  <c r="C663" i="9"/>
  <c r="B663" i="9"/>
  <c r="A663" i="9"/>
  <c r="I662" i="9"/>
  <c r="H662" i="9"/>
  <c r="F662" i="9"/>
  <c r="E662" i="9"/>
  <c r="D662" i="9"/>
  <c r="C662" i="9"/>
  <c r="B662" i="9"/>
  <c r="A662" i="9"/>
  <c r="I661" i="9"/>
  <c r="H661" i="9"/>
  <c r="G661" i="9"/>
  <c r="F661" i="9"/>
  <c r="E661" i="9"/>
  <c r="D661" i="9"/>
  <c r="C661" i="9"/>
  <c r="B661" i="9"/>
  <c r="A661" i="9"/>
  <c r="I660" i="9"/>
  <c r="H660" i="9"/>
  <c r="F660" i="9"/>
  <c r="E660" i="9"/>
  <c r="D660" i="9"/>
  <c r="C660" i="9"/>
  <c r="B660" i="9"/>
  <c r="A660" i="9"/>
  <c r="I659" i="9"/>
  <c r="H659" i="9"/>
  <c r="F659" i="9"/>
  <c r="E659" i="9"/>
  <c r="D659" i="9"/>
  <c r="C659" i="9"/>
  <c r="B659" i="9"/>
  <c r="A659" i="9"/>
  <c r="I658" i="9"/>
  <c r="H658" i="9"/>
  <c r="F658" i="9"/>
  <c r="E658" i="9"/>
  <c r="D658" i="9"/>
  <c r="C658" i="9"/>
  <c r="B658" i="9"/>
  <c r="A658" i="9"/>
  <c r="I657" i="9"/>
  <c r="H657" i="9"/>
  <c r="F657" i="9"/>
  <c r="E657" i="9"/>
  <c r="D657" i="9"/>
  <c r="C657" i="9"/>
  <c r="B657" i="9"/>
  <c r="A657" i="9"/>
  <c r="I656" i="9"/>
  <c r="H656" i="9"/>
  <c r="F656" i="9"/>
  <c r="E656" i="9"/>
  <c r="D656" i="9"/>
  <c r="C656" i="9"/>
  <c r="B656" i="9"/>
  <c r="A656" i="9"/>
  <c r="I655" i="9"/>
  <c r="H655" i="9"/>
  <c r="F655" i="9"/>
  <c r="E655" i="9"/>
  <c r="D655" i="9"/>
  <c r="C655" i="9"/>
  <c r="B655" i="9"/>
  <c r="A655" i="9"/>
  <c r="I654" i="9"/>
  <c r="H654" i="9"/>
  <c r="G654" i="9"/>
  <c r="F654" i="9"/>
  <c r="E654" i="9"/>
  <c r="D654" i="9"/>
  <c r="C654" i="9"/>
  <c r="B654" i="9"/>
  <c r="A654" i="9"/>
  <c r="I653" i="9"/>
  <c r="H653" i="9"/>
  <c r="F653" i="9"/>
  <c r="E653" i="9"/>
  <c r="D653" i="9"/>
  <c r="C653" i="9"/>
  <c r="B653" i="9"/>
  <c r="A653" i="9"/>
  <c r="I652" i="9"/>
  <c r="H652" i="9"/>
  <c r="F652" i="9"/>
  <c r="E652" i="9"/>
  <c r="D652" i="9"/>
  <c r="C652" i="9"/>
  <c r="B652" i="9"/>
  <c r="A652" i="9"/>
  <c r="I651" i="9"/>
  <c r="H651" i="9"/>
  <c r="F651" i="9"/>
  <c r="E651" i="9"/>
  <c r="D651" i="9"/>
  <c r="C651" i="9"/>
  <c r="B651" i="9"/>
  <c r="A651" i="9"/>
  <c r="I650" i="9"/>
  <c r="H650" i="9"/>
  <c r="G650" i="9"/>
  <c r="F650" i="9"/>
  <c r="E650" i="9"/>
  <c r="D650" i="9"/>
  <c r="C650" i="9"/>
  <c r="B650" i="9"/>
  <c r="A650" i="9"/>
  <c r="I649" i="9"/>
  <c r="H649" i="9"/>
  <c r="G649" i="9"/>
  <c r="F649" i="9"/>
  <c r="E649" i="9"/>
  <c r="D649" i="9"/>
  <c r="C649" i="9"/>
  <c r="B649" i="9"/>
  <c r="A649" i="9"/>
  <c r="I648" i="9"/>
  <c r="H648" i="9"/>
  <c r="F648" i="9"/>
  <c r="E648" i="9"/>
  <c r="D648" i="9"/>
  <c r="C648" i="9"/>
  <c r="B648" i="9"/>
  <c r="A648" i="9"/>
  <c r="I647" i="9"/>
  <c r="H647" i="9"/>
  <c r="G647" i="9"/>
  <c r="F647" i="9"/>
  <c r="E647" i="9"/>
  <c r="D647" i="9"/>
  <c r="C647" i="9"/>
  <c r="B647" i="9"/>
  <c r="A647" i="9"/>
  <c r="I646" i="9"/>
  <c r="H646" i="9"/>
  <c r="G646" i="9"/>
  <c r="F646" i="9"/>
  <c r="E646" i="9"/>
  <c r="D646" i="9"/>
  <c r="C646" i="9"/>
  <c r="B646" i="9"/>
  <c r="A646" i="9"/>
  <c r="I645" i="9"/>
  <c r="H645" i="9"/>
  <c r="F645" i="9"/>
  <c r="E645" i="9"/>
  <c r="D645" i="9"/>
  <c r="C645" i="9"/>
  <c r="B645" i="9"/>
  <c r="A645" i="9"/>
  <c r="I644" i="9"/>
  <c r="H644" i="9"/>
  <c r="G644" i="9"/>
  <c r="F644" i="9"/>
  <c r="E644" i="9"/>
  <c r="D644" i="9"/>
  <c r="C644" i="9"/>
  <c r="B644" i="9"/>
  <c r="A644" i="9"/>
  <c r="I643" i="9"/>
  <c r="H643" i="9"/>
  <c r="G643" i="9"/>
  <c r="F643" i="9"/>
  <c r="E643" i="9"/>
  <c r="D643" i="9"/>
  <c r="C643" i="9"/>
  <c r="B643" i="9"/>
  <c r="A643" i="9"/>
  <c r="I642" i="9"/>
  <c r="H642" i="9"/>
  <c r="F642" i="9"/>
  <c r="E642" i="9"/>
  <c r="D642" i="9"/>
  <c r="C642" i="9"/>
  <c r="B642" i="9"/>
  <c r="A642" i="9"/>
  <c r="I641" i="9"/>
  <c r="H641" i="9"/>
  <c r="G641" i="9"/>
  <c r="F641" i="9"/>
  <c r="E641" i="9"/>
  <c r="D641" i="9"/>
  <c r="C641" i="9"/>
  <c r="B641" i="9"/>
  <c r="A641" i="9"/>
  <c r="I640" i="9"/>
  <c r="H640" i="9"/>
  <c r="G640" i="9"/>
  <c r="F640" i="9"/>
  <c r="E640" i="9"/>
  <c r="D640" i="9"/>
  <c r="C640" i="9"/>
  <c r="B640" i="9"/>
  <c r="A640" i="9"/>
  <c r="I639" i="9"/>
  <c r="H639" i="9"/>
  <c r="G639" i="9"/>
  <c r="F639" i="9"/>
  <c r="E639" i="9"/>
  <c r="D639" i="9"/>
  <c r="C639" i="9"/>
  <c r="B639" i="9"/>
  <c r="A639" i="9"/>
  <c r="I638" i="9"/>
  <c r="H638" i="9"/>
  <c r="G638" i="9"/>
  <c r="F638" i="9"/>
  <c r="E638" i="9"/>
  <c r="D638" i="9"/>
  <c r="C638" i="9"/>
  <c r="B638" i="9"/>
  <c r="A638" i="9"/>
  <c r="I637" i="9"/>
  <c r="H637" i="9"/>
  <c r="G637" i="9"/>
  <c r="F637" i="9"/>
  <c r="E637" i="9"/>
  <c r="D637" i="9"/>
  <c r="C637" i="9"/>
  <c r="B637" i="9"/>
  <c r="A637" i="9"/>
  <c r="I636" i="9"/>
  <c r="H636" i="9"/>
  <c r="G636" i="9"/>
  <c r="F636" i="9"/>
  <c r="E636" i="9"/>
  <c r="D636" i="9"/>
  <c r="C636" i="9"/>
  <c r="B636" i="9"/>
  <c r="A636" i="9"/>
  <c r="I635" i="9"/>
  <c r="H635" i="9"/>
  <c r="G635" i="9"/>
  <c r="F635" i="9"/>
  <c r="E635" i="9"/>
  <c r="D635" i="9"/>
  <c r="C635" i="9"/>
  <c r="B635" i="9"/>
  <c r="A635" i="9"/>
  <c r="I634" i="9"/>
  <c r="H634" i="9"/>
  <c r="G634" i="9"/>
  <c r="F634" i="9"/>
  <c r="E634" i="9"/>
  <c r="D634" i="9"/>
  <c r="C634" i="9"/>
  <c r="B634" i="9"/>
  <c r="A634" i="9"/>
  <c r="I633" i="9"/>
  <c r="H633" i="9"/>
  <c r="F633" i="9"/>
  <c r="E633" i="9"/>
  <c r="D633" i="9"/>
  <c r="C633" i="9"/>
  <c r="B633" i="9"/>
  <c r="A633" i="9"/>
  <c r="I632" i="9"/>
  <c r="H632" i="9"/>
  <c r="F632" i="9"/>
  <c r="E632" i="9"/>
  <c r="D632" i="9"/>
  <c r="C632" i="9"/>
  <c r="B632" i="9"/>
  <c r="A632" i="9"/>
  <c r="I631" i="9"/>
  <c r="H631" i="9"/>
  <c r="F631" i="9"/>
  <c r="E631" i="9"/>
  <c r="D631" i="9"/>
  <c r="C631" i="9"/>
  <c r="B631" i="9"/>
  <c r="A631" i="9"/>
  <c r="I630" i="9"/>
  <c r="H630" i="9"/>
  <c r="F630" i="9"/>
  <c r="E630" i="9"/>
  <c r="D630" i="9"/>
  <c r="C630" i="9"/>
  <c r="B630" i="9"/>
  <c r="A630" i="9"/>
  <c r="I629" i="9"/>
  <c r="H629" i="9"/>
  <c r="F629" i="9"/>
  <c r="E629" i="9"/>
  <c r="D629" i="9"/>
  <c r="C629" i="9"/>
  <c r="B629" i="9"/>
  <c r="A629" i="9"/>
  <c r="I628" i="9"/>
  <c r="H628" i="9"/>
  <c r="F628" i="9"/>
  <c r="E628" i="9"/>
  <c r="D628" i="9"/>
  <c r="C628" i="9"/>
  <c r="B628" i="9"/>
  <c r="A628" i="9"/>
  <c r="I627" i="9"/>
  <c r="H627" i="9"/>
  <c r="F627" i="9"/>
  <c r="E627" i="9"/>
  <c r="D627" i="9"/>
  <c r="C627" i="9"/>
  <c r="B627" i="9"/>
  <c r="A627" i="9"/>
  <c r="I626" i="9"/>
  <c r="H626" i="9"/>
  <c r="F626" i="9"/>
  <c r="E626" i="9"/>
  <c r="D626" i="9"/>
  <c r="C626" i="9"/>
  <c r="B626" i="9"/>
  <c r="A626" i="9"/>
  <c r="I625" i="9"/>
  <c r="H625" i="9"/>
  <c r="F625" i="9"/>
  <c r="E625" i="9"/>
  <c r="D625" i="9"/>
  <c r="C625" i="9"/>
  <c r="B625" i="9"/>
  <c r="A625" i="9"/>
  <c r="I624" i="9"/>
  <c r="H624" i="9"/>
  <c r="G624" i="9"/>
  <c r="F624" i="9"/>
  <c r="E624" i="9"/>
  <c r="D624" i="9"/>
  <c r="C624" i="9"/>
  <c r="B624" i="9"/>
  <c r="A624" i="9"/>
  <c r="I623" i="9"/>
  <c r="H623" i="9"/>
  <c r="F623" i="9"/>
  <c r="E623" i="9"/>
  <c r="D623" i="9"/>
  <c r="C623" i="9"/>
  <c r="B623" i="9"/>
  <c r="A623" i="9"/>
  <c r="I622" i="9"/>
  <c r="H622" i="9"/>
  <c r="F622" i="9"/>
  <c r="E622" i="9"/>
  <c r="D622" i="9"/>
  <c r="C622" i="9"/>
  <c r="B622" i="9"/>
  <c r="A622" i="9"/>
  <c r="I621" i="9"/>
  <c r="H621" i="9"/>
  <c r="F621" i="9"/>
  <c r="E621" i="9"/>
  <c r="D621" i="9"/>
  <c r="C621" i="9"/>
  <c r="B621" i="9"/>
  <c r="A621" i="9"/>
  <c r="I620" i="9"/>
  <c r="H620" i="9"/>
  <c r="F620" i="9"/>
  <c r="E620" i="9"/>
  <c r="D620" i="9"/>
  <c r="C620" i="9"/>
  <c r="B620" i="9"/>
  <c r="A620" i="9"/>
  <c r="I619" i="9"/>
  <c r="H619" i="9"/>
  <c r="F619" i="9"/>
  <c r="E619" i="9"/>
  <c r="D619" i="9"/>
  <c r="C619" i="9"/>
  <c r="B619" i="9"/>
  <c r="A619" i="9"/>
  <c r="I618" i="9"/>
  <c r="H618" i="9"/>
  <c r="F618" i="9"/>
  <c r="E618" i="9"/>
  <c r="D618" i="9"/>
  <c r="C618" i="9"/>
  <c r="B618" i="9"/>
  <c r="A618" i="9"/>
  <c r="I617" i="9"/>
  <c r="H617" i="9"/>
  <c r="F617" i="9"/>
  <c r="E617" i="9"/>
  <c r="D617" i="9"/>
  <c r="C617" i="9"/>
  <c r="B617" i="9"/>
  <c r="A617" i="9"/>
  <c r="I616" i="9"/>
  <c r="H616" i="9"/>
  <c r="F616" i="9"/>
  <c r="E616" i="9"/>
  <c r="D616" i="9"/>
  <c r="C616" i="9"/>
  <c r="B616" i="9"/>
  <c r="A616" i="9"/>
  <c r="I615" i="9"/>
  <c r="H615" i="9"/>
  <c r="F615" i="9"/>
  <c r="E615" i="9"/>
  <c r="D615" i="9"/>
  <c r="C615" i="9"/>
  <c r="B615" i="9"/>
  <c r="A615" i="9"/>
  <c r="I614" i="9"/>
  <c r="H614" i="9"/>
  <c r="F614" i="9"/>
  <c r="E614" i="9"/>
  <c r="D614" i="9"/>
  <c r="C614" i="9"/>
  <c r="B614" i="9"/>
  <c r="A614" i="9"/>
  <c r="I613" i="9"/>
  <c r="H613" i="9"/>
  <c r="F613" i="9"/>
  <c r="E613" i="9"/>
  <c r="D613" i="9"/>
  <c r="C613" i="9"/>
  <c r="B613" i="9"/>
  <c r="A613" i="9"/>
  <c r="I612" i="9"/>
  <c r="H612" i="9"/>
  <c r="F612" i="9"/>
  <c r="E612" i="9"/>
  <c r="D612" i="9"/>
  <c r="C612" i="9"/>
  <c r="B612" i="9"/>
  <c r="A612" i="9"/>
  <c r="I611" i="9"/>
  <c r="H611" i="9"/>
  <c r="F611" i="9"/>
  <c r="E611" i="9"/>
  <c r="D611" i="9"/>
  <c r="C611" i="9"/>
  <c r="B611" i="9"/>
  <c r="A611" i="9"/>
  <c r="I610" i="9"/>
  <c r="H610" i="9"/>
  <c r="F610" i="9"/>
  <c r="E610" i="9"/>
  <c r="D610" i="9"/>
  <c r="C610" i="9"/>
  <c r="B610" i="9"/>
  <c r="A610" i="9"/>
  <c r="I609" i="9"/>
  <c r="H609" i="9"/>
  <c r="F609" i="9"/>
  <c r="E609" i="9"/>
  <c r="D609" i="9"/>
  <c r="C609" i="9"/>
  <c r="B609" i="9"/>
  <c r="A609" i="9"/>
  <c r="I608" i="9"/>
  <c r="H608" i="9"/>
  <c r="F608" i="9"/>
  <c r="E608" i="9"/>
  <c r="D608" i="9"/>
  <c r="C608" i="9"/>
  <c r="B608" i="9"/>
  <c r="A608" i="9"/>
  <c r="I607" i="9"/>
  <c r="H607" i="9"/>
  <c r="G607" i="9"/>
  <c r="F607" i="9"/>
  <c r="E607" i="9"/>
  <c r="D607" i="9"/>
  <c r="C607" i="9"/>
  <c r="B607" i="9"/>
  <c r="A607" i="9"/>
  <c r="I606" i="9"/>
  <c r="H606" i="9"/>
  <c r="F606" i="9"/>
  <c r="E606" i="9"/>
  <c r="D606" i="9"/>
  <c r="C606" i="9"/>
  <c r="B606" i="9"/>
  <c r="A606" i="9"/>
  <c r="I605" i="9"/>
  <c r="H605" i="9"/>
  <c r="F605" i="9"/>
  <c r="E605" i="9"/>
  <c r="D605" i="9"/>
  <c r="C605" i="9"/>
  <c r="B605" i="9"/>
  <c r="A605" i="9"/>
  <c r="I604" i="9"/>
  <c r="H604" i="9"/>
  <c r="F604" i="9"/>
  <c r="E604" i="9"/>
  <c r="D604" i="9"/>
  <c r="C604" i="9"/>
  <c r="B604" i="9"/>
  <c r="A604" i="9"/>
  <c r="I603" i="9"/>
  <c r="H603" i="9"/>
  <c r="F603" i="9"/>
  <c r="E603" i="9"/>
  <c r="D603" i="9"/>
  <c r="C603" i="9"/>
  <c r="B603" i="9"/>
  <c r="A603" i="9"/>
  <c r="I602" i="9"/>
  <c r="H602" i="9"/>
  <c r="F602" i="9"/>
  <c r="E602" i="9"/>
  <c r="D602" i="9"/>
  <c r="C602" i="9"/>
  <c r="B602" i="9"/>
  <c r="A602" i="9"/>
  <c r="I601" i="9"/>
  <c r="H601" i="9"/>
  <c r="F601" i="9"/>
  <c r="E601" i="9"/>
  <c r="D601" i="9"/>
  <c r="C601" i="9"/>
  <c r="B601" i="9"/>
  <c r="A601" i="9"/>
  <c r="I600" i="9"/>
  <c r="H600" i="9"/>
  <c r="F600" i="9"/>
  <c r="E600" i="9"/>
  <c r="D600" i="9"/>
  <c r="C600" i="9"/>
  <c r="B600" i="9"/>
  <c r="A600" i="9"/>
  <c r="I599" i="9"/>
  <c r="H599" i="9"/>
  <c r="F599" i="9"/>
  <c r="E599" i="9"/>
  <c r="D599" i="9"/>
  <c r="C599" i="9"/>
  <c r="B599" i="9"/>
  <c r="A599" i="9"/>
  <c r="I598" i="9"/>
  <c r="H598" i="9"/>
  <c r="F598" i="9"/>
  <c r="E598" i="9"/>
  <c r="D598" i="9"/>
  <c r="C598" i="9"/>
  <c r="B598" i="9"/>
  <c r="A598" i="9"/>
  <c r="I597" i="9"/>
  <c r="H597" i="9"/>
  <c r="F597" i="9"/>
  <c r="E597" i="9"/>
  <c r="D597" i="9"/>
  <c r="C597" i="9"/>
  <c r="B597" i="9"/>
  <c r="A597" i="9"/>
  <c r="I596" i="9"/>
  <c r="H596" i="9"/>
  <c r="F596" i="9"/>
  <c r="E596" i="9"/>
  <c r="D596" i="9"/>
  <c r="C596" i="9"/>
  <c r="B596" i="9"/>
  <c r="A596" i="9"/>
  <c r="I595" i="9"/>
  <c r="H595" i="9"/>
  <c r="F595" i="9"/>
  <c r="E595" i="9"/>
  <c r="D595" i="9"/>
  <c r="C595" i="9"/>
  <c r="B595" i="9"/>
  <c r="A595" i="9"/>
  <c r="I594" i="9"/>
  <c r="H594" i="9"/>
  <c r="F594" i="9"/>
  <c r="E594" i="9"/>
  <c r="D594" i="9"/>
  <c r="C594" i="9"/>
  <c r="B594" i="9"/>
  <c r="A594" i="9"/>
  <c r="I593" i="9"/>
  <c r="H593" i="9"/>
  <c r="F593" i="9"/>
  <c r="E593" i="9"/>
  <c r="D593" i="9"/>
  <c r="C593" i="9"/>
  <c r="B593" i="9"/>
  <c r="A593" i="9"/>
  <c r="I592" i="9"/>
  <c r="H592" i="9"/>
  <c r="F592" i="9"/>
  <c r="E592" i="9"/>
  <c r="D592" i="9"/>
  <c r="C592" i="9"/>
  <c r="B592" i="9"/>
  <c r="A592" i="9"/>
  <c r="I591" i="9"/>
  <c r="H591" i="9"/>
  <c r="F591" i="9"/>
  <c r="E591" i="9"/>
  <c r="D591" i="9"/>
  <c r="C591" i="9"/>
  <c r="B591" i="9"/>
  <c r="A591" i="9"/>
  <c r="I590" i="9"/>
  <c r="H590" i="9"/>
  <c r="F590" i="9"/>
  <c r="E590" i="9"/>
  <c r="D590" i="9"/>
  <c r="C590" i="9"/>
  <c r="B590" i="9"/>
  <c r="A590" i="9"/>
  <c r="I589" i="9"/>
  <c r="H589" i="9"/>
  <c r="G589" i="9"/>
  <c r="F589" i="9"/>
  <c r="E589" i="9"/>
  <c r="D589" i="9"/>
  <c r="C589" i="9"/>
  <c r="B589" i="9"/>
  <c r="A589" i="9"/>
  <c r="I588" i="9"/>
  <c r="H588" i="9"/>
  <c r="G588" i="9"/>
  <c r="F588" i="9"/>
  <c r="E588" i="9"/>
  <c r="D588" i="9"/>
  <c r="C588" i="9"/>
  <c r="B588" i="9"/>
  <c r="A588" i="9"/>
  <c r="I587" i="9"/>
  <c r="H587" i="9"/>
  <c r="F587" i="9"/>
  <c r="E587" i="9"/>
  <c r="D587" i="9"/>
  <c r="C587" i="9"/>
  <c r="B587" i="9"/>
  <c r="A587" i="9"/>
  <c r="I586" i="9"/>
  <c r="H586" i="9"/>
  <c r="F586" i="9"/>
  <c r="E586" i="9"/>
  <c r="D586" i="9"/>
  <c r="C586" i="9"/>
  <c r="B586" i="9"/>
  <c r="A586" i="9"/>
  <c r="I585" i="9"/>
  <c r="H585" i="9"/>
  <c r="F585" i="9"/>
  <c r="E585" i="9"/>
  <c r="D585" i="9"/>
  <c r="C585" i="9"/>
  <c r="B585" i="9"/>
  <c r="A585" i="9"/>
  <c r="I584" i="9"/>
  <c r="H584" i="9"/>
  <c r="F584" i="9"/>
  <c r="E584" i="9"/>
  <c r="D584" i="9"/>
  <c r="C584" i="9"/>
  <c r="B584" i="9"/>
  <c r="A584" i="9"/>
  <c r="I583" i="9"/>
  <c r="H583" i="9"/>
  <c r="F583" i="9"/>
  <c r="E583" i="9"/>
  <c r="D583" i="9"/>
  <c r="C583" i="9"/>
  <c r="B583" i="9"/>
  <c r="A583" i="9"/>
  <c r="I582" i="9"/>
  <c r="H582" i="9"/>
  <c r="F582" i="9"/>
  <c r="E582" i="9"/>
  <c r="D582" i="9"/>
  <c r="C582" i="9"/>
  <c r="B582" i="9"/>
  <c r="A582" i="9"/>
  <c r="I581" i="9"/>
  <c r="H581" i="9"/>
  <c r="G581" i="9"/>
  <c r="F581" i="9"/>
  <c r="E581" i="9"/>
  <c r="D581" i="9"/>
  <c r="C581" i="9"/>
  <c r="B581" i="9"/>
  <c r="A581" i="9"/>
  <c r="I580" i="9"/>
  <c r="H580" i="9"/>
  <c r="G580" i="9"/>
  <c r="F580" i="9"/>
  <c r="E580" i="9"/>
  <c r="D580" i="9"/>
  <c r="C580" i="9"/>
  <c r="B580" i="9"/>
  <c r="A580" i="9"/>
  <c r="I579" i="9"/>
  <c r="H579" i="9"/>
  <c r="G579" i="9"/>
  <c r="F579" i="9"/>
  <c r="E579" i="9"/>
  <c r="D579" i="9"/>
  <c r="C579" i="9"/>
  <c r="B579" i="9"/>
  <c r="A579" i="9"/>
  <c r="I578" i="9"/>
  <c r="H578" i="9"/>
  <c r="G578" i="9"/>
  <c r="F578" i="9"/>
  <c r="E578" i="9"/>
  <c r="D578" i="9"/>
  <c r="C578" i="9"/>
  <c r="B578" i="9"/>
  <c r="A578" i="9"/>
  <c r="I577" i="9"/>
  <c r="H577" i="9"/>
  <c r="F577" i="9"/>
  <c r="E577" i="9"/>
  <c r="D577" i="9"/>
  <c r="C577" i="9"/>
  <c r="B577" i="9"/>
  <c r="A577" i="9"/>
  <c r="I576" i="9"/>
  <c r="H576" i="9"/>
  <c r="G576" i="9"/>
  <c r="F576" i="9"/>
  <c r="E576" i="9"/>
  <c r="D576" i="9"/>
  <c r="C576" i="9"/>
  <c r="B576" i="9"/>
  <c r="A576" i="9"/>
  <c r="I575" i="9"/>
  <c r="H575" i="9"/>
  <c r="G575" i="9"/>
  <c r="F575" i="9"/>
  <c r="E575" i="9"/>
  <c r="D575" i="9"/>
  <c r="C575" i="9"/>
  <c r="B575" i="9"/>
  <c r="A575" i="9"/>
  <c r="I574" i="9"/>
  <c r="H574" i="9"/>
  <c r="G574" i="9"/>
  <c r="F574" i="9"/>
  <c r="E574" i="9"/>
  <c r="D574" i="9"/>
  <c r="C574" i="9"/>
  <c r="B574" i="9"/>
  <c r="A574" i="9"/>
  <c r="I573" i="9"/>
  <c r="H573" i="9"/>
  <c r="G573" i="9"/>
  <c r="F573" i="9"/>
  <c r="E573" i="9"/>
  <c r="D573" i="9"/>
  <c r="C573" i="9"/>
  <c r="B573" i="9"/>
  <c r="A573" i="9"/>
  <c r="I572" i="9"/>
  <c r="H572" i="9"/>
  <c r="F572" i="9"/>
  <c r="E572" i="9"/>
  <c r="D572" i="9"/>
  <c r="C572" i="9"/>
  <c r="B572" i="9"/>
  <c r="A572" i="9"/>
  <c r="I571" i="9"/>
  <c r="H571" i="9"/>
  <c r="F571" i="9"/>
  <c r="E571" i="9"/>
  <c r="D571" i="9"/>
  <c r="C571" i="9"/>
  <c r="B571" i="9"/>
  <c r="A571" i="9"/>
  <c r="I570" i="9"/>
  <c r="H570" i="9"/>
  <c r="F570" i="9"/>
  <c r="E570" i="9"/>
  <c r="D570" i="9"/>
  <c r="C570" i="9"/>
  <c r="B570" i="9"/>
  <c r="A570" i="9"/>
  <c r="I569" i="9"/>
  <c r="H569" i="9"/>
  <c r="F569" i="9"/>
  <c r="E569" i="9"/>
  <c r="D569" i="9"/>
  <c r="C569" i="9"/>
  <c r="B569" i="9"/>
  <c r="A569" i="9"/>
  <c r="I568" i="9"/>
  <c r="H568" i="9"/>
  <c r="F568" i="9"/>
  <c r="E568" i="9"/>
  <c r="D568" i="9"/>
  <c r="C568" i="9"/>
  <c r="B568" i="9"/>
  <c r="A568" i="9"/>
  <c r="I567" i="9"/>
  <c r="H567" i="9"/>
  <c r="F567" i="9"/>
  <c r="E567" i="9"/>
  <c r="D567" i="9"/>
  <c r="C567" i="9"/>
  <c r="B567" i="9"/>
  <c r="A567" i="9"/>
  <c r="I566" i="9"/>
  <c r="H566" i="9"/>
  <c r="F566" i="9"/>
  <c r="E566" i="9"/>
  <c r="D566" i="9"/>
  <c r="C566" i="9"/>
  <c r="B566" i="9"/>
  <c r="A566" i="9"/>
  <c r="I565" i="9"/>
  <c r="H565" i="9"/>
  <c r="F565" i="9"/>
  <c r="E565" i="9"/>
  <c r="D565" i="9"/>
  <c r="C565" i="9"/>
  <c r="B565" i="9"/>
  <c r="A565" i="9"/>
  <c r="I564" i="9"/>
  <c r="H564" i="9"/>
  <c r="F564" i="9"/>
  <c r="E564" i="9"/>
  <c r="D564" i="9"/>
  <c r="C564" i="9"/>
  <c r="B564" i="9"/>
  <c r="A564" i="9"/>
  <c r="I563" i="9"/>
  <c r="H563" i="9"/>
  <c r="F563" i="9"/>
  <c r="E563" i="9"/>
  <c r="D563" i="9"/>
  <c r="C563" i="9"/>
  <c r="B563" i="9"/>
  <c r="A563" i="9"/>
  <c r="I562" i="9"/>
  <c r="H562" i="9"/>
  <c r="F562" i="9"/>
  <c r="E562" i="9"/>
  <c r="D562" i="9"/>
  <c r="C562" i="9"/>
  <c r="B562" i="9"/>
  <c r="A562" i="9"/>
  <c r="I561" i="9"/>
  <c r="H561" i="9"/>
  <c r="F561" i="9"/>
  <c r="E561" i="9"/>
  <c r="D561" i="9"/>
  <c r="C561" i="9"/>
  <c r="B561" i="9"/>
  <c r="A561" i="9"/>
  <c r="I560" i="9"/>
  <c r="H560" i="9"/>
  <c r="F560" i="9"/>
  <c r="E560" i="9"/>
  <c r="D560" i="9"/>
  <c r="C560" i="9"/>
  <c r="B560" i="9"/>
  <c r="A560" i="9"/>
  <c r="I559" i="9"/>
  <c r="H559" i="9"/>
  <c r="F559" i="9"/>
  <c r="E559" i="9"/>
  <c r="D559" i="9"/>
  <c r="C559" i="9"/>
  <c r="B559" i="9"/>
  <c r="A559" i="9"/>
  <c r="I558" i="9"/>
  <c r="H558" i="9"/>
  <c r="F558" i="9"/>
  <c r="E558" i="9"/>
  <c r="D558" i="9"/>
  <c r="C558" i="9"/>
  <c r="B558" i="9"/>
  <c r="A558" i="9"/>
  <c r="I557" i="9"/>
  <c r="H557" i="9"/>
  <c r="F557" i="9"/>
  <c r="E557" i="9"/>
  <c r="D557" i="9"/>
  <c r="C557" i="9"/>
  <c r="B557" i="9"/>
  <c r="A557" i="9"/>
  <c r="I556" i="9"/>
  <c r="H556" i="9"/>
  <c r="F556" i="9"/>
  <c r="E556" i="9"/>
  <c r="D556" i="9"/>
  <c r="C556" i="9"/>
  <c r="B556" i="9"/>
  <c r="A556" i="9"/>
  <c r="I555" i="9"/>
  <c r="H555" i="9"/>
  <c r="F555" i="9"/>
  <c r="E555" i="9"/>
  <c r="D555" i="9"/>
  <c r="C555" i="9"/>
  <c r="B555" i="9"/>
  <c r="A555" i="9"/>
  <c r="I554" i="9"/>
  <c r="H554" i="9"/>
  <c r="F554" i="9"/>
  <c r="E554" i="9"/>
  <c r="D554" i="9"/>
  <c r="C554" i="9"/>
  <c r="B554" i="9"/>
  <c r="A554" i="9"/>
  <c r="I553" i="9"/>
  <c r="H553" i="9"/>
  <c r="F553" i="9"/>
  <c r="E553" i="9"/>
  <c r="D553" i="9"/>
  <c r="C553" i="9"/>
  <c r="B553" i="9"/>
  <c r="A553" i="9"/>
  <c r="I552" i="9"/>
  <c r="H552" i="9"/>
  <c r="F552" i="9"/>
  <c r="E552" i="9"/>
  <c r="D552" i="9"/>
  <c r="C552" i="9"/>
  <c r="B552" i="9"/>
  <c r="A552" i="9"/>
  <c r="I551" i="9"/>
  <c r="H551" i="9"/>
  <c r="F551" i="9"/>
  <c r="E551" i="9"/>
  <c r="D551" i="9"/>
  <c r="C551" i="9"/>
  <c r="B551" i="9"/>
  <c r="A551" i="9"/>
  <c r="I550" i="9"/>
  <c r="H550" i="9"/>
  <c r="G550" i="9"/>
  <c r="F550" i="9"/>
  <c r="E550" i="9"/>
  <c r="D550" i="9"/>
  <c r="C550" i="9"/>
  <c r="B550" i="9"/>
  <c r="A550" i="9"/>
  <c r="I549" i="9"/>
  <c r="H549" i="9"/>
  <c r="G549" i="9"/>
  <c r="F549" i="9"/>
  <c r="E549" i="9"/>
  <c r="D549" i="9"/>
  <c r="C549" i="9"/>
  <c r="B549" i="9"/>
  <c r="A549" i="9"/>
  <c r="I548" i="9"/>
  <c r="H548" i="9"/>
  <c r="G548" i="9"/>
  <c r="F548" i="9"/>
  <c r="E548" i="9"/>
  <c r="D548" i="9"/>
  <c r="C548" i="9"/>
  <c r="B548" i="9"/>
  <c r="A548" i="9"/>
  <c r="I547" i="9"/>
  <c r="H547" i="9"/>
  <c r="G547" i="9"/>
  <c r="F547" i="9"/>
  <c r="E547" i="9"/>
  <c r="D547" i="9"/>
  <c r="C547" i="9"/>
  <c r="B547" i="9"/>
  <c r="A547" i="9"/>
  <c r="I546" i="9"/>
  <c r="H546" i="9"/>
  <c r="G546" i="9"/>
  <c r="F546" i="9"/>
  <c r="E546" i="9"/>
  <c r="D546" i="9"/>
  <c r="C546" i="9"/>
  <c r="B546" i="9"/>
  <c r="A546" i="9"/>
  <c r="I545" i="9"/>
  <c r="H545" i="9"/>
  <c r="G545" i="9"/>
  <c r="F545" i="9"/>
  <c r="E545" i="9"/>
  <c r="D545" i="9"/>
  <c r="C545" i="9"/>
  <c r="B545" i="9"/>
  <c r="A545" i="9"/>
  <c r="I544" i="9"/>
  <c r="H544" i="9"/>
  <c r="F544" i="9"/>
  <c r="E544" i="9"/>
  <c r="D544" i="9"/>
  <c r="C544" i="9"/>
  <c r="B544" i="9"/>
  <c r="A544" i="9"/>
  <c r="I543" i="9"/>
  <c r="H543" i="9"/>
  <c r="F543" i="9"/>
  <c r="E543" i="9"/>
  <c r="D543" i="9"/>
  <c r="C543" i="9"/>
  <c r="B543" i="9"/>
  <c r="A543" i="9"/>
  <c r="I542" i="9"/>
  <c r="H542" i="9"/>
  <c r="F542" i="9"/>
  <c r="E542" i="9"/>
  <c r="D542" i="9"/>
  <c r="C542" i="9"/>
  <c r="B542" i="9"/>
  <c r="A542" i="9"/>
  <c r="I541" i="9"/>
  <c r="H541" i="9"/>
  <c r="F541" i="9"/>
  <c r="E541" i="9"/>
  <c r="D541" i="9"/>
  <c r="C541" i="9"/>
  <c r="B541" i="9"/>
  <c r="A541" i="9"/>
  <c r="I540" i="9"/>
  <c r="H540" i="9"/>
  <c r="G540" i="9"/>
  <c r="F540" i="9"/>
  <c r="E540" i="9"/>
  <c r="D540" i="9"/>
  <c r="C540" i="9"/>
  <c r="B540" i="9"/>
  <c r="A540" i="9"/>
  <c r="I539" i="9"/>
  <c r="H539" i="9"/>
  <c r="F539" i="9"/>
  <c r="E539" i="9"/>
  <c r="D539" i="9"/>
  <c r="C539" i="9"/>
  <c r="B539" i="9"/>
  <c r="A539" i="9"/>
  <c r="I538" i="9"/>
  <c r="H538" i="9"/>
  <c r="F538" i="9"/>
  <c r="E538" i="9"/>
  <c r="D538" i="9"/>
  <c r="C538" i="9"/>
  <c r="B538" i="9"/>
  <c r="A538" i="9"/>
  <c r="I537" i="9"/>
  <c r="H537" i="9"/>
  <c r="F537" i="9"/>
  <c r="E537" i="9"/>
  <c r="D537" i="9"/>
  <c r="C537" i="9"/>
  <c r="B537" i="9"/>
  <c r="A537" i="9"/>
  <c r="I536" i="9"/>
  <c r="H536" i="9"/>
  <c r="F536" i="9"/>
  <c r="E536" i="9"/>
  <c r="D536" i="9"/>
  <c r="C536" i="9"/>
  <c r="B536" i="9"/>
  <c r="A536" i="9"/>
  <c r="I535" i="9"/>
  <c r="H535" i="9"/>
  <c r="F535" i="9"/>
  <c r="E535" i="9"/>
  <c r="D535" i="9"/>
  <c r="C535" i="9"/>
  <c r="B535" i="9"/>
  <c r="A535" i="9"/>
  <c r="I534" i="9"/>
  <c r="H534" i="9"/>
  <c r="F534" i="9"/>
  <c r="E534" i="9"/>
  <c r="D534" i="9"/>
  <c r="C534" i="9"/>
  <c r="B534" i="9"/>
  <c r="A534" i="9"/>
  <c r="I533" i="9"/>
  <c r="H533" i="9"/>
  <c r="G533" i="9"/>
  <c r="F533" i="9"/>
  <c r="E533" i="9"/>
  <c r="D533" i="9"/>
  <c r="C533" i="9"/>
  <c r="B533" i="9"/>
  <c r="A533" i="9"/>
  <c r="I532" i="9"/>
  <c r="H532" i="9"/>
  <c r="G532" i="9"/>
  <c r="F532" i="9"/>
  <c r="E532" i="9"/>
  <c r="D532" i="9"/>
  <c r="C532" i="9"/>
  <c r="B532" i="9"/>
  <c r="A532" i="9"/>
  <c r="I531" i="9"/>
  <c r="H531" i="9"/>
  <c r="G531" i="9"/>
  <c r="F531" i="9"/>
  <c r="E531" i="9"/>
  <c r="D531" i="9"/>
  <c r="C531" i="9"/>
  <c r="B531" i="9"/>
  <c r="A531" i="9"/>
  <c r="I530" i="9"/>
  <c r="H530" i="9"/>
  <c r="F530" i="9"/>
  <c r="E530" i="9"/>
  <c r="D530" i="9"/>
  <c r="C530" i="9"/>
  <c r="B530" i="9"/>
  <c r="A530" i="9"/>
  <c r="I529" i="9"/>
  <c r="H529" i="9"/>
  <c r="G529" i="9"/>
  <c r="F529" i="9"/>
  <c r="E529" i="9"/>
  <c r="D529" i="9"/>
  <c r="C529" i="9"/>
  <c r="B529" i="9"/>
  <c r="A529" i="9"/>
  <c r="I528" i="9"/>
  <c r="H528" i="9"/>
  <c r="G528" i="9"/>
  <c r="F528" i="9"/>
  <c r="E528" i="9"/>
  <c r="D528" i="9"/>
  <c r="C528" i="9"/>
  <c r="B528" i="9"/>
  <c r="A528" i="9"/>
  <c r="I527" i="9"/>
  <c r="H527" i="9"/>
  <c r="G527" i="9"/>
  <c r="F527" i="9"/>
  <c r="E527" i="9"/>
  <c r="D527" i="9"/>
  <c r="C527" i="9"/>
  <c r="B527" i="9"/>
  <c r="A527" i="9"/>
  <c r="I526" i="9"/>
  <c r="H526" i="9"/>
  <c r="G526" i="9"/>
  <c r="F526" i="9"/>
  <c r="E526" i="9"/>
  <c r="D526" i="9"/>
  <c r="C526" i="9"/>
  <c r="B526" i="9"/>
  <c r="A526" i="9"/>
  <c r="I525" i="9"/>
  <c r="H525" i="9"/>
  <c r="F525" i="9"/>
  <c r="E525" i="9"/>
  <c r="D525" i="9"/>
  <c r="C525" i="9"/>
  <c r="B525" i="9"/>
  <c r="A525" i="9"/>
  <c r="I524" i="9"/>
  <c r="H524" i="9"/>
  <c r="F524" i="9"/>
  <c r="E524" i="9"/>
  <c r="D524" i="9"/>
  <c r="C524" i="9"/>
  <c r="B524" i="9"/>
  <c r="A524" i="9"/>
  <c r="I523" i="9"/>
  <c r="H523" i="9"/>
  <c r="F523" i="9"/>
  <c r="E523" i="9"/>
  <c r="D523" i="9"/>
  <c r="C523" i="9"/>
  <c r="B523" i="9"/>
  <c r="A523" i="9"/>
  <c r="I522" i="9"/>
  <c r="H522" i="9"/>
  <c r="F522" i="9"/>
  <c r="E522" i="9"/>
  <c r="D522" i="9"/>
  <c r="C522" i="9"/>
  <c r="B522" i="9"/>
  <c r="A522" i="9"/>
  <c r="I521" i="9"/>
  <c r="H521" i="9"/>
  <c r="F521" i="9"/>
  <c r="E521" i="9"/>
  <c r="D521" i="9"/>
  <c r="C521" i="9"/>
  <c r="B521" i="9"/>
  <c r="A521" i="9"/>
  <c r="I520" i="9"/>
  <c r="H520" i="9"/>
  <c r="F520" i="9"/>
  <c r="E520" i="9"/>
  <c r="D520" i="9"/>
  <c r="C520" i="9"/>
  <c r="B520" i="9"/>
  <c r="A520" i="9"/>
  <c r="I519" i="9"/>
  <c r="H519" i="9"/>
  <c r="G519" i="9"/>
  <c r="F519" i="9"/>
  <c r="E519" i="9"/>
  <c r="D519" i="9"/>
  <c r="C519" i="9"/>
  <c r="B519" i="9"/>
  <c r="A519" i="9"/>
  <c r="I518" i="9"/>
  <c r="H518" i="9"/>
  <c r="G518" i="9"/>
  <c r="F518" i="9"/>
  <c r="E518" i="9"/>
  <c r="D518" i="9"/>
  <c r="C518" i="9"/>
  <c r="B518" i="9"/>
  <c r="A518" i="9"/>
  <c r="I517" i="9"/>
  <c r="H517" i="9"/>
  <c r="F517" i="9"/>
  <c r="E517" i="9"/>
  <c r="D517" i="9"/>
  <c r="C517" i="9"/>
  <c r="B517" i="9"/>
  <c r="A517" i="9"/>
  <c r="I516" i="9"/>
  <c r="H516" i="9"/>
  <c r="F516" i="9"/>
  <c r="E516" i="9"/>
  <c r="D516" i="9"/>
  <c r="C516" i="9"/>
  <c r="B516" i="9"/>
  <c r="A516" i="9"/>
  <c r="I515" i="9"/>
  <c r="H515" i="9"/>
  <c r="F515" i="9"/>
  <c r="E515" i="9"/>
  <c r="D515" i="9"/>
  <c r="C515" i="9"/>
  <c r="B515" i="9"/>
  <c r="A515" i="9"/>
  <c r="I514" i="9"/>
  <c r="H514" i="9"/>
  <c r="F514" i="9"/>
  <c r="E514" i="9"/>
  <c r="D514" i="9"/>
  <c r="C514" i="9"/>
  <c r="B514" i="9"/>
  <c r="A514" i="9"/>
  <c r="I513" i="9"/>
  <c r="H513" i="9"/>
  <c r="F513" i="9"/>
  <c r="E513" i="9"/>
  <c r="D513" i="9"/>
  <c r="C513" i="9"/>
  <c r="B513" i="9"/>
  <c r="A513" i="9"/>
  <c r="I512" i="9"/>
  <c r="H512" i="9"/>
  <c r="F512" i="9"/>
  <c r="E512" i="9"/>
  <c r="D512" i="9"/>
  <c r="C512" i="9"/>
  <c r="B512" i="9"/>
  <c r="A512" i="9"/>
  <c r="I511" i="9"/>
  <c r="H511" i="9"/>
  <c r="F511" i="9"/>
  <c r="E511" i="9"/>
  <c r="D511" i="9"/>
  <c r="C511" i="9"/>
  <c r="B511" i="9"/>
  <c r="A511" i="9"/>
  <c r="I510" i="9"/>
  <c r="H510" i="9"/>
  <c r="F510" i="9"/>
  <c r="E510" i="9"/>
  <c r="D510" i="9"/>
  <c r="C510" i="9"/>
  <c r="B510" i="9"/>
  <c r="A510" i="9"/>
  <c r="I509" i="9"/>
  <c r="H509" i="9"/>
  <c r="F509" i="9"/>
  <c r="E509" i="9"/>
  <c r="D509" i="9"/>
  <c r="C509" i="9"/>
  <c r="B509" i="9"/>
  <c r="A509" i="9"/>
  <c r="I508" i="9"/>
  <c r="H508" i="9"/>
  <c r="F508" i="9"/>
  <c r="E508" i="9"/>
  <c r="D508" i="9"/>
  <c r="C508" i="9"/>
  <c r="B508" i="9"/>
  <c r="A508" i="9"/>
  <c r="I507" i="9"/>
  <c r="H507" i="9"/>
  <c r="F507" i="9"/>
  <c r="E507" i="9"/>
  <c r="D507" i="9"/>
  <c r="C507" i="9"/>
  <c r="B507" i="9"/>
  <c r="A507" i="9"/>
  <c r="I506" i="9"/>
  <c r="H506" i="9"/>
  <c r="F506" i="9"/>
  <c r="E506" i="9"/>
  <c r="D506" i="9"/>
  <c r="C506" i="9"/>
  <c r="B506" i="9"/>
  <c r="A506" i="9"/>
  <c r="I505" i="9"/>
  <c r="H505" i="9"/>
  <c r="F505" i="9"/>
  <c r="E505" i="9"/>
  <c r="D505" i="9"/>
  <c r="C505" i="9"/>
  <c r="B505" i="9"/>
  <c r="A505" i="9"/>
  <c r="I504" i="9"/>
  <c r="H504" i="9"/>
  <c r="F504" i="9"/>
  <c r="E504" i="9"/>
  <c r="D504" i="9"/>
  <c r="C504" i="9"/>
  <c r="B504" i="9"/>
  <c r="A504" i="9"/>
  <c r="I503" i="9"/>
  <c r="H503" i="9"/>
  <c r="F503" i="9"/>
  <c r="E503" i="9"/>
  <c r="D503" i="9"/>
  <c r="C503" i="9"/>
  <c r="B503" i="9"/>
  <c r="A503" i="9"/>
  <c r="I502" i="9"/>
  <c r="H502" i="9"/>
  <c r="F502" i="9"/>
  <c r="E502" i="9"/>
  <c r="D502" i="9"/>
  <c r="C502" i="9"/>
  <c r="B502" i="9"/>
  <c r="A502" i="9"/>
  <c r="I501" i="9"/>
  <c r="H501" i="9"/>
  <c r="G501" i="9"/>
  <c r="F501" i="9"/>
  <c r="E501" i="9"/>
  <c r="D501" i="9"/>
  <c r="C501" i="9"/>
  <c r="B501" i="9"/>
  <c r="A501" i="9"/>
  <c r="I500" i="9"/>
  <c r="H500" i="9"/>
  <c r="F500" i="9"/>
  <c r="E500" i="9"/>
  <c r="D500" i="9"/>
  <c r="C500" i="9"/>
  <c r="B500" i="9"/>
  <c r="A500" i="9"/>
  <c r="I499" i="9"/>
  <c r="H499" i="9"/>
  <c r="F499" i="9"/>
  <c r="E499" i="9"/>
  <c r="D499" i="9"/>
  <c r="C499" i="9"/>
  <c r="B499" i="9"/>
  <c r="A499" i="9"/>
  <c r="I498" i="9"/>
  <c r="H498" i="9"/>
  <c r="F498" i="9"/>
  <c r="E498" i="9"/>
  <c r="D498" i="9"/>
  <c r="C498" i="9"/>
  <c r="B498" i="9"/>
  <c r="A498" i="9"/>
  <c r="I497" i="9"/>
  <c r="H497" i="9"/>
  <c r="F497" i="9"/>
  <c r="E497" i="9"/>
  <c r="D497" i="9"/>
  <c r="C497" i="9"/>
  <c r="B497" i="9"/>
  <c r="A497" i="9"/>
  <c r="I496" i="9"/>
  <c r="H496" i="9"/>
  <c r="F496" i="9"/>
  <c r="E496" i="9"/>
  <c r="D496" i="9"/>
  <c r="C496" i="9"/>
  <c r="B496" i="9"/>
  <c r="A496" i="9"/>
  <c r="I495" i="9"/>
  <c r="H495" i="9"/>
  <c r="G495" i="9"/>
  <c r="F495" i="9"/>
  <c r="E495" i="9"/>
  <c r="D495" i="9"/>
  <c r="C495" i="9"/>
  <c r="B495" i="9"/>
  <c r="A495" i="9"/>
  <c r="I494" i="9"/>
  <c r="H494" i="9"/>
  <c r="G494" i="9"/>
  <c r="F494" i="9"/>
  <c r="E494" i="9"/>
  <c r="D494" i="9"/>
  <c r="C494" i="9"/>
  <c r="B494" i="9"/>
  <c r="A494" i="9"/>
  <c r="I493" i="9"/>
  <c r="H493" i="9"/>
  <c r="F493" i="9"/>
  <c r="E493" i="9"/>
  <c r="D493" i="9"/>
  <c r="C493" i="9"/>
  <c r="B493" i="9"/>
  <c r="A493" i="9"/>
  <c r="I492" i="9"/>
  <c r="H492" i="9"/>
  <c r="G492" i="9"/>
  <c r="F492" i="9"/>
  <c r="E492" i="9"/>
  <c r="D492" i="9"/>
  <c r="C492" i="9"/>
  <c r="B492" i="9"/>
  <c r="A492" i="9"/>
  <c r="I491" i="9"/>
  <c r="H491" i="9"/>
  <c r="G491" i="9"/>
  <c r="F491" i="9"/>
  <c r="E491" i="9"/>
  <c r="D491" i="9"/>
  <c r="C491" i="9"/>
  <c r="B491" i="9"/>
  <c r="A491" i="9"/>
  <c r="I490" i="9"/>
  <c r="H490" i="9"/>
  <c r="F490" i="9"/>
  <c r="E490" i="9"/>
  <c r="D490" i="9"/>
  <c r="C490" i="9"/>
  <c r="B490" i="9"/>
  <c r="A490" i="9"/>
  <c r="I489" i="9"/>
  <c r="H489" i="9"/>
  <c r="F489" i="9"/>
  <c r="E489" i="9"/>
  <c r="D489" i="9"/>
  <c r="C489" i="9"/>
  <c r="B489" i="9"/>
  <c r="A489" i="9"/>
  <c r="I488" i="9"/>
  <c r="H488" i="9"/>
  <c r="F488" i="9"/>
  <c r="E488" i="9"/>
  <c r="D488" i="9"/>
  <c r="C488" i="9"/>
  <c r="B488" i="9"/>
  <c r="A488" i="9"/>
  <c r="I487" i="9"/>
  <c r="H487" i="9"/>
  <c r="F487" i="9"/>
  <c r="E487" i="9"/>
  <c r="D487" i="9"/>
  <c r="C487" i="9"/>
  <c r="B487" i="9"/>
  <c r="A487" i="9"/>
  <c r="I486" i="9"/>
  <c r="H486" i="9"/>
  <c r="F486" i="9"/>
  <c r="E486" i="9"/>
  <c r="D486" i="9"/>
  <c r="C486" i="9"/>
  <c r="B486" i="9"/>
  <c r="A486" i="9"/>
  <c r="I485" i="9"/>
  <c r="H485" i="9"/>
  <c r="F485" i="9"/>
  <c r="E485" i="9"/>
  <c r="D485" i="9"/>
  <c r="C485" i="9"/>
  <c r="B485" i="9"/>
  <c r="A485" i="9"/>
  <c r="I484" i="9"/>
  <c r="H484" i="9"/>
  <c r="F484" i="9"/>
  <c r="E484" i="9"/>
  <c r="D484" i="9"/>
  <c r="C484" i="9"/>
  <c r="B484" i="9"/>
  <c r="A484" i="9"/>
  <c r="I483" i="9"/>
  <c r="H483" i="9"/>
  <c r="F483" i="9"/>
  <c r="E483" i="9"/>
  <c r="D483" i="9"/>
  <c r="C483" i="9"/>
  <c r="B483" i="9"/>
  <c r="A483" i="9"/>
  <c r="I482" i="9"/>
  <c r="H482" i="9"/>
  <c r="F482" i="9"/>
  <c r="E482" i="9"/>
  <c r="D482" i="9"/>
  <c r="C482" i="9"/>
  <c r="B482" i="9"/>
  <c r="A482" i="9"/>
  <c r="I481" i="9"/>
  <c r="H481" i="9"/>
  <c r="F481" i="9"/>
  <c r="E481" i="9"/>
  <c r="D481" i="9"/>
  <c r="C481" i="9"/>
  <c r="B481" i="9"/>
  <c r="A481" i="9"/>
  <c r="I480" i="9"/>
  <c r="H480" i="9"/>
  <c r="F480" i="9"/>
  <c r="E480" i="9"/>
  <c r="D480" i="9"/>
  <c r="C480" i="9"/>
  <c r="B480" i="9"/>
  <c r="A480" i="9"/>
  <c r="I479" i="9"/>
  <c r="H479" i="9"/>
  <c r="F479" i="9"/>
  <c r="E479" i="9"/>
  <c r="D479" i="9"/>
  <c r="C479" i="9"/>
  <c r="B479" i="9"/>
  <c r="A479" i="9"/>
  <c r="I478" i="9"/>
  <c r="H478" i="9"/>
  <c r="F478" i="9"/>
  <c r="E478" i="9"/>
  <c r="D478" i="9"/>
  <c r="C478" i="9"/>
  <c r="B478" i="9"/>
  <c r="A478" i="9"/>
  <c r="I477" i="9"/>
  <c r="H477" i="9"/>
  <c r="F477" i="9"/>
  <c r="E477" i="9"/>
  <c r="D477" i="9"/>
  <c r="C477" i="9"/>
  <c r="B477" i="9"/>
  <c r="A477" i="9"/>
  <c r="I476" i="9"/>
  <c r="H476" i="9"/>
  <c r="F476" i="9"/>
  <c r="E476" i="9"/>
  <c r="D476" i="9"/>
  <c r="C476" i="9"/>
  <c r="B476" i="9"/>
  <c r="A476" i="9"/>
  <c r="I475" i="9"/>
  <c r="H475" i="9"/>
  <c r="F475" i="9"/>
  <c r="E475" i="9"/>
  <c r="D475" i="9"/>
  <c r="C475" i="9"/>
  <c r="B475" i="9"/>
  <c r="A475" i="9"/>
  <c r="I474" i="9"/>
  <c r="H474" i="9"/>
  <c r="F474" i="9"/>
  <c r="E474" i="9"/>
  <c r="D474" i="9"/>
  <c r="C474" i="9"/>
  <c r="B474" i="9"/>
  <c r="A474" i="9"/>
  <c r="I473" i="9"/>
  <c r="H473" i="9"/>
  <c r="F473" i="9"/>
  <c r="E473" i="9"/>
  <c r="D473" i="9"/>
  <c r="C473" i="9"/>
  <c r="B473" i="9"/>
  <c r="A473" i="9"/>
  <c r="I472" i="9"/>
  <c r="H472" i="9"/>
  <c r="F472" i="9"/>
  <c r="E472" i="9"/>
  <c r="D472" i="9"/>
  <c r="C472" i="9"/>
  <c r="B472" i="9"/>
  <c r="A472" i="9"/>
  <c r="I471" i="9"/>
  <c r="H471" i="9"/>
  <c r="F471" i="9"/>
  <c r="E471" i="9"/>
  <c r="D471" i="9"/>
  <c r="C471" i="9"/>
  <c r="B471" i="9"/>
  <c r="A471" i="9"/>
  <c r="I470" i="9"/>
  <c r="H470" i="9"/>
  <c r="F470" i="9"/>
  <c r="E470" i="9"/>
  <c r="D470" i="9"/>
  <c r="C470" i="9"/>
  <c r="B470" i="9"/>
  <c r="A470" i="9"/>
  <c r="I469" i="9"/>
  <c r="H469" i="9"/>
  <c r="F469" i="9"/>
  <c r="E469" i="9"/>
  <c r="D469" i="9"/>
  <c r="C469" i="9"/>
  <c r="B469" i="9"/>
  <c r="A469" i="9"/>
  <c r="I468" i="9"/>
  <c r="H468" i="9"/>
  <c r="F468" i="9"/>
  <c r="E468" i="9"/>
  <c r="D468" i="9"/>
  <c r="C468" i="9"/>
  <c r="B468" i="9"/>
  <c r="A468" i="9"/>
  <c r="I467" i="9"/>
  <c r="H467" i="9"/>
  <c r="F467" i="9"/>
  <c r="E467" i="9"/>
  <c r="D467" i="9"/>
  <c r="C467" i="9"/>
  <c r="B467" i="9"/>
  <c r="A467" i="9"/>
  <c r="I466" i="9"/>
  <c r="H466" i="9"/>
  <c r="F466" i="9"/>
  <c r="E466" i="9"/>
  <c r="D466" i="9"/>
  <c r="C466" i="9"/>
  <c r="B466" i="9"/>
  <c r="A466" i="9"/>
  <c r="I465" i="9"/>
  <c r="H465" i="9"/>
  <c r="F465" i="9"/>
  <c r="E465" i="9"/>
  <c r="D465" i="9"/>
  <c r="C465" i="9"/>
  <c r="B465" i="9"/>
  <c r="A465" i="9"/>
  <c r="I464" i="9"/>
  <c r="H464" i="9"/>
  <c r="F464" i="9"/>
  <c r="E464" i="9"/>
  <c r="D464" i="9"/>
  <c r="C464" i="9"/>
  <c r="B464" i="9"/>
  <c r="A464" i="9"/>
  <c r="I463" i="9"/>
  <c r="H463" i="9"/>
  <c r="F463" i="9"/>
  <c r="E463" i="9"/>
  <c r="D463" i="9"/>
  <c r="C463" i="9"/>
  <c r="B463" i="9"/>
  <c r="A463" i="9"/>
  <c r="I462" i="9"/>
  <c r="H462" i="9"/>
  <c r="F462" i="9"/>
  <c r="E462" i="9"/>
  <c r="D462" i="9"/>
  <c r="C462" i="9"/>
  <c r="B462" i="9"/>
  <c r="A462" i="9"/>
  <c r="I461" i="9"/>
  <c r="H461" i="9"/>
  <c r="F461" i="9"/>
  <c r="E461" i="9"/>
  <c r="D461" i="9"/>
  <c r="C461" i="9"/>
  <c r="B461" i="9"/>
  <c r="A461" i="9"/>
  <c r="I460" i="9"/>
  <c r="H460" i="9"/>
  <c r="F460" i="9"/>
  <c r="E460" i="9"/>
  <c r="D460" i="9"/>
  <c r="C460" i="9"/>
  <c r="B460" i="9"/>
  <c r="A460" i="9"/>
  <c r="I459" i="9"/>
  <c r="H459" i="9"/>
  <c r="G459" i="9"/>
  <c r="F459" i="9"/>
  <c r="E459" i="9"/>
  <c r="D459" i="9"/>
  <c r="C459" i="9"/>
  <c r="B459" i="9"/>
  <c r="A459" i="9"/>
  <c r="I458" i="9"/>
  <c r="H458" i="9"/>
  <c r="G458" i="9"/>
  <c r="F458" i="9"/>
  <c r="E458" i="9"/>
  <c r="D458" i="9"/>
  <c r="C458" i="9"/>
  <c r="B458" i="9"/>
  <c r="A458" i="9"/>
  <c r="I457" i="9"/>
  <c r="H457" i="9"/>
  <c r="F457" i="9"/>
  <c r="E457" i="9"/>
  <c r="D457" i="9"/>
  <c r="C457" i="9"/>
  <c r="B457" i="9"/>
  <c r="A457" i="9"/>
  <c r="I456" i="9"/>
  <c r="H456" i="9"/>
  <c r="F456" i="9"/>
  <c r="E456" i="9"/>
  <c r="D456" i="9"/>
  <c r="C456" i="9"/>
  <c r="B456" i="9"/>
  <c r="A456" i="9"/>
  <c r="I455" i="9"/>
  <c r="H455" i="9"/>
  <c r="G455" i="9"/>
  <c r="F455" i="9"/>
  <c r="E455" i="9"/>
  <c r="D455" i="9"/>
  <c r="C455" i="9"/>
  <c r="B455" i="9"/>
  <c r="A455" i="9"/>
  <c r="I454" i="9"/>
  <c r="H454" i="9"/>
  <c r="G454" i="9"/>
  <c r="F454" i="9"/>
  <c r="E454" i="9"/>
  <c r="D454" i="9"/>
  <c r="C454" i="9"/>
  <c r="B454" i="9"/>
  <c r="A454" i="9"/>
  <c r="I453" i="9"/>
  <c r="H453" i="9"/>
  <c r="F453" i="9"/>
  <c r="E453" i="9"/>
  <c r="D453" i="9"/>
  <c r="C453" i="9"/>
  <c r="B453" i="9"/>
  <c r="A453" i="9"/>
  <c r="I452" i="9"/>
  <c r="H452" i="9"/>
  <c r="F452" i="9"/>
  <c r="E452" i="9"/>
  <c r="D452" i="9"/>
  <c r="C452" i="9"/>
  <c r="B452" i="9"/>
  <c r="A452" i="9"/>
  <c r="I451" i="9"/>
  <c r="H451" i="9"/>
  <c r="F451" i="9"/>
  <c r="E451" i="9"/>
  <c r="D451" i="9"/>
  <c r="C451" i="9"/>
  <c r="B451" i="9"/>
  <c r="A451" i="9"/>
  <c r="I450" i="9"/>
  <c r="H450" i="9"/>
  <c r="F450" i="9"/>
  <c r="E450" i="9"/>
  <c r="D450" i="9"/>
  <c r="C450" i="9"/>
  <c r="B450" i="9"/>
  <c r="A450" i="9"/>
  <c r="I449" i="9"/>
  <c r="H449" i="9"/>
  <c r="F449" i="9"/>
  <c r="E449" i="9"/>
  <c r="D449" i="9"/>
  <c r="C449" i="9"/>
  <c r="B449" i="9"/>
  <c r="A449" i="9"/>
  <c r="I448" i="9"/>
  <c r="H448" i="9"/>
  <c r="F448" i="9"/>
  <c r="E448" i="9"/>
  <c r="D448" i="9"/>
  <c r="C448" i="9"/>
  <c r="B448" i="9"/>
  <c r="A448" i="9"/>
  <c r="I447" i="9"/>
  <c r="H447" i="9"/>
  <c r="F447" i="9"/>
  <c r="E447" i="9"/>
  <c r="D447" i="9"/>
  <c r="C447" i="9"/>
  <c r="B447" i="9"/>
  <c r="A447" i="9"/>
  <c r="I446" i="9"/>
  <c r="H446" i="9"/>
  <c r="F446" i="9"/>
  <c r="E446" i="9"/>
  <c r="D446" i="9"/>
  <c r="C446" i="9"/>
  <c r="B446" i="9"/>
  <c r="A446" i="9"/>
  <c r="I445" i="9"/>
  <c r="H445" i="9"/>
  <c r="F445" i="9"/>
  <c r="E445" i="9"/>
  <c r="D445" i="9"/>
  <c r="C445" i="9"/>
  <c r="B445" i="9"/>
  <c r="A445" i="9"/>
  <c r="I444" i="9"/>
  <c r="H444" i="9"/>
  <c r="F444" i="9"/>
  <c r="E444" i="9"/>
  <c r="D444" i="9"/>
  <c r="C444" i="9"/>
  <c r="B444" i="9"/>
  <c r="A444" i="9"/>
  <c r="I443" i="9"/>
  <c r="H443" i="9"/>
  <c r="F443" i="9"/>
  <c r="E443" i="9"/>
  <c r="D443" i="9"/>
  <c r="C443" i="9"/>
  <c r="B443" i="9"/>
  <c r="A443" i="9"/>
  <c r="I442" i="9"/>
  <c r="H442" i="9"/>
  <c r="F442" i="9"/>
  <c r="E442" i="9"/>
  <c r="D442" i="9"/>
  <c r="C442" i="9"/>
  <c r="B442" i="9"/>
  <c r="A442" i="9"/>
  <c r="I441" i="9"/>
  <c r="H441" i="9"/>
  <c r="F441" i="9"/>
  <c r="E441" i="9"/>
  <c r="D441" i="9"/>
  <c r="C441" i="9"/>
  <c r="B441" i="9"/>
  <c r="A441" i="9"/>
  <c r="I440" i="9"/>
  <c r="H440" i="9"/>
  <c r="F440" i="9"/>
  <c r="E440" i="9"/>
  <c r="D440" i="9"/>
  <c r="C440" i="9"/>
  <c r="B440" i="9"/>
  <c r="A440" i="9"/>
  <c r="I439" i="9"/>
  <c r="H439" i="9"/>
  <c r="F439" i="9"/>
  <c r="E439" i="9"/>
  <c r="D439" i="9"/>
  <c r="C439" i="9"/>
  <c r="B439" i="9"/>
  <c r="A439" i="9"/>
  <c r="I438" i="9"/>
  <c r="H438" i="9"/>
  <c r="G438" i="9"/>
  <c r="F438" i="9"/>
  <c r="E438" i="9"/>
  <c r="D438" i="9"/>
  <c r="C438" i="9"/>
  <c r="B438" i="9"/>
  <c r="A438" i="9"/>
  <c r="I437" i="9"/>
  <c r="H437" i="9"/>
  <c r="F437" i="9"/>
  <c r="E437" i="9"/>
  <c r="D437" i="9"/>
  <c r="C437" i="9"/>
  <c r="B437" i="9"/>
  <c r="A437" i="9"/>
  <c r="I436" i="9"/>
  <c r="H436" i="9"/>
  <c r="G436" i="9"/>
  <c r="F436" i="9"/>
  <c r="E436" i="9"/>
  <c r="D436" i="9"/>
  <c r="C436" i="9"/>
  <c r="B436" i="9"/>
  <c r="A436" i="9"/>
  <c r="I435" i="9"/>
  <c r="H435" i="9"/>
  <c r="F435" i="9"/>
  <c r="E435" i="9"/>
  <c r="D435" i="9"/>
  <c r="C435" i="9"/>
  <c r="B435" i="9"/>
  <c r="A435" i="9"/>
  <c r="I434" i="9"/>
  <c r="H434" i="9"/>
  <c r="F434" i="9"/>
  <c r="E434" i="9"/>
  <c r="D434" i="9"/>
  <c r="C434" i="9"/>
  <c r="B434" i="9"/>
  <c r="A434" i="9"/>
  <c r="I433" i="9"/>
  <c r="H433" i="9"/>
  <c r="F433" i="9"/>
  <c r="E433" i="9"/>
  <c r="D433" i="9"/>
  <c r="C433" i="9"/>
  <c r="B433" i="9"/>
  <c r="A433" i="9"/>
  <c r="I432" i="9"/>
  <c r="H432" i="9"/>
  <c r="F432" i="9"/>
  <c r="E432" i="9"/>
  <c r="D432" i="9"/>
  <c r="C432" i="9"/>
  <c r="B432" i="9"/>
  <c r="A432" i="9"/>
  <c r="I431" i="9"/>
  <c r="H431" i="9"/>
  <c r="F431" i="9"/>
  <c r="E431" i="9"/>
  <c r="D431" i="9"/>
  <c r="C431" i="9"/>
  <c r="B431" i="9"/>
  <c r="A431" i="9"/>
  <c r="I430" i="9"/>
  <c r="H430" i="9"/>
  <c r="F430" i="9"/>
  <c r="E430" i="9"/>
  <c r="D430" i="9"/>
  <c r="C430" i="9"/>
  <c r="B430" i="9"/>
  <c r="A430" i="9"/>
  <c r="I429" i="9"/>
  <c r="H429" i="9"/>
  <c r="F429" i="9"/>
  <c r="E429" i="9"/>
  <c r="D429" i="9"/>
  <c r="C429" i="9"/>
  <c r="B429" i="9"/>
  <c r="A429" i="9"/>
  <c r="I428" i="9"/>
  <c r="H428" i="9"/>
  <c r="F428" i="9"/>
  <c r="E428" i="9"/>
  <c r="D428" i="9"/>
  <c r="C428" i="9"/>
  <c r="B428" i="9"/>
  <c r="A428" i="9"/>
  <c r="I427" i="9"/>
  <c r="H427" i="9"/>
  <c r="F427" i="9"/>
  <c r="E427" i="9"/>
  <c r="D427" i="9"/>
  <c r="C427" i="9"/>
  <c r="B427" i="9"/>
  <c r="A427" i="9"/>
  <c r="I426" i="9"/>
  <c r="H426" i="9"/>
  <c r="F426" i="9"/>
  <c r="E426" i="9"/>
  <c r="D426" i="9"/>
  <c r="C426" i="9"/>
  <c r="B426" i="9"/>
  <c r="A426" i="9"/>
  <c r="I425" i="9"/>
  <c r="H425" i="9"/>
  <c r="F425" i="9"/>
  <c r="E425" i="9"/>
  <c r="D425" i="9"/>
  <c r="C425" i="9"/>
  <c r="B425" i="9"/>
  <c r="A425" i="9"/>
  <c r="I424" i="9"/>
  <c r="H424" i="9"/>
  <c r="F424" i="9"/>
  <c r="E424" i="9"/>
  <c r="D424" i="9"/>
  <c r="C424" i="9"/>
  <c r="B424" i="9"/>
  <c r="A424" i="9"/>
  <c r="I423" i="9"/>
  <c r="H423" i="9"/>
  <c r="F423" i="9"/>
  <c r="E423" i="9"/>
  <c r="D423" i="9"/>
  <c r="C423" i="9"/>
  <c r="B423" i="9"/>
  <c r="A423" i="9"/>
  <c r="I422" i="9"/>
  <c r="H422" i="9"/>
  <c r="F422" i="9"/>
  <c r="E422" i="9"/>
  <c r="D422" i="9"/>
  <c r="C422" i="9"/>
  <c r="B422" i="9"/>
  <c r="A422" i="9"/>
  <c r="I421" i="9"/>
  <c r="H421" i="9"/>
  <c r="F421" i="9"/>
  <c r="E421" i="9"/>
  <c r="D421" i="9"/>
  <c r="C421" i="9"/>
  <c r="B421" i="9"/>
  <c r="A421" i="9"/>
  <c r="I420" i="9"/>
  <c r="H420" i="9"/>
  <c r="G420" i="9"/>
  <c r="F420" i="9"/>
  <c r="E420" i="9"/>
  <c r="D420" i="9"/>
  <c r="C420" i="9"/>
  <c r="B420" i="9"/>
  <c r="A420" i="9"/>
  <c r="I419" i="9"/>
  <c r="H419" i="9"/>
  <c r="G419" i="9"/>
  <c r="F419" i="9"/>
  <c r="E419" i="9"/>
  <c r="D419" i="9"/>
  <c r="C419" i="9"/>
  <c r="B419" i="9"/>
  <c r="A419" i="9"/>
  <c r="I418" i="9"/>
  <c r="H418" i="9"/>
  <c r="F418" i="9"/>
  <c r="E418" i="9"/>
  <c r="D418" i="9"/>
  <c r="C418" i="9"/>
  <c r="B418" i="9"/>
  <c r="A418" i="9"/>
  <c r="I417" i="9"/>
  <c r="H417" i="9"/>
  <c r="G417" i="9"/>
  <c r="F417" i="9"/>
  <c r="E417" i="9"/>
  <c r="D417" i="9"/>
  <c r="C417" i="9"/>
  <c r="B417" i="9"/>
  <c r="A417" i="9"/>
  <c r="I416" i="9"/>
  <c r="H416" i="9"/>
  <c r="F416" i="9"/>
  <c r="E416" i="9"/>
  <c r="D416" i="9"/>
  <c r="C416" i="9"/>
  <c r="B416" i="9"/>
  <c r="A416" i="9"/>
  <c r="I415" i="9"/>
  <c r="H415" i="9"/>
  <c r="F415" i="9"/>
  <c r="E415" i="9"/>
  <c r="D415" i="9"/>
  <c r="C415" i="9"/>
  <c r="B415" i="9"/>
  <c r="A415" i="9"/>
  <c r="I414" i="9"/>
  <c r="H414" i="9"/>
  <c r="F414" i="9"/>
  <c r="E414" i="9"/>
  <c r="D414" i="9"/>
  <c r="C414" i="9"/>
  <c r="B414" i="9"/>
  <c r="A414" i="9"/>
  <c r="I413" i="9"/>
  <c r="H413" i="9"/>
  <c r="F413" i="9"/>
  <c r="E413" i="9"/>
  <c r="D413" i="9"/>
  <c r="C413" i="9"/>
  <c r="B413" i="9"/>
  <c r="A413" i="9"/>
  <c r="I412" i="9"/>
  <c r="H412" i="9"/>
  <c r="F412" i="9"/>
  <c r="E412" i="9"/>
  <c r="D412" i="9"/>
  <c r="C412" i="9"/>
  <c r="B412" i="9"/>
  <c r="A412" i="9"/>
  <c r="I411" i="9"/>
  <c r="H411" i="9"/>
  <c r="F411" i="9"/>
  <c r="E411" i="9"/>
  <c r="D411" i="9"/>
  <c r="C411" i="9"/>
  <c r="B411" i="9"/>
  <c r="A411" i="9"/>
  <c r="I410" i="9"/>
  <c r="H410" i="9"/>
  <c r="F410" i="9"/>
  <c r="E410" i="9"/>
  <c r="D410" i="9"/>
  <c r="C410" i="9"/>
  <c r="B410" i="9"/>
  <c r="A410" i="9"/>
  <c r="I409" i="9"/>
  <c r="H409" i="9"/>
  <c r="F409" i="9"/>
  <c r="E409" i="9"/>
  <c r="D409" i="9"/>
  <c r="C409" i="9"/>
  <c r="B409" i="9"/>
  <c r="A409" i="9"/>
  <c r="I408" i="9"/>
  <c r="H408" i="9"/>
  <c r="F408" i="9"/>
  <c r="E408" i="9"/>
  <c r="D408" i="9"/>
  <c r="C408" i="9"/>
  <c r="B408" i="9"/>
  <c r="A408" i="9"/>
  <c r="I407" i="9"/>
  <c r="H407" i="9"/>
  <c r="G407" i="9"/>
  <c r="F407" i="9"/>
  <c r="E407" i="9"/>
  <c r="D407" i="9"/>
  <c r="C407" i="9"/>
  <c r="B407" i="9"/>
  <c r="A407" i="9"/>
  <c r="I406" i="9"/>
  <c r="H406" i="9"/>
  <c r="G406" i="9"/>
  <c r="F406" i="9"/>
  <c r="E406" i="9"/>
  <c r="D406" i="9"/>
  <c r="C406" i="9"/>
  <c r="B406" i="9"/>
  <c r="A406" i="9"/>
  <c r="I405" i="9"/>
  <c r="H405" i="9"/>
  <c r="G405" i="9"/>
  <c r="F405" i="9"/>
  <c r="E405" i="9"/>
  <c r="D405" i="9"/>
  <c r="C405" i="9"/>
  <c r="B405" i="9"/>
  <c r="A405" i="9"/>
  <c r="I404" i="9"/>
  <c r="H404" i="9"/>
  <c r="F404" i="9"/>
  <c r="E404" i="9"/>
  <c r="D404" i="9"/>
  <c r="C404" i="9"/>
  <c r="B404" i="9"/>
  <c r="A404" i="9"/>
  <c r="I403" i="9"/>
  <c r="H403" i="9"/>
  <c r="F403" i="9"/>
  <c r="E403" i="9"/>
  <c r="D403" i="9"/>
  <c r="C403" i="9"/>
  <c r="B403" i="9"/>
  <c r="A403" i="9"/>
  <c r="I402" i="9"/>
  <c r="H402" i="9"/>
  <c r="F402" i="9"/>
  <c r="E402" i="9"/>
  <c r="D402" i="9"/>
  <c r="C402" i="9"/>
  <c r="B402" i="9"/>
  <c r="A402" i="9"/>
  <c r="I401" i="9"/>
  <c r="H401" i="9"/>
  <c r="F401" i="9"/>
  <c r="E401" i="9"/>
  <c r="D401" i="9"/>
  <c r="C401" i="9"/>
  <c r="B401" i="9"/>
  <c r="A401" i="9"/>
  <c r="I400" i="9"/>
  <c r="H400" i="9"/>
  <c r="F400" i="9"/>
  <c r="E400" i="9"/>
  <c r="D400" i="9"/>
  <c r="C400" i="9"/>
  <c r="B400" i="9"/>
  <c r="A400" i="9"/>
  <c r="I399" i="9"/>
  <c r="H399" i="9"/>
  <c r="F399" i="9"/>
  <c r="E399" i="9"/>
  <c r="D399" i="9"/>
  <c r="C399" i="9"/>
  <c r="B399" i="9"/>
  <c r="A399" i="9"/>
  <c r="I398" i="9"/>
  <c r="H398" i="9"/>
  <c r="G398" i="9"/>
  <c r="F398" i="9"/>
  <c r="E398" i="9"/>
  <c r="D398" i="9"/>
  <c r="C398" i="9"/>
  <c r="B398" i="9"/>
  <c r="A398" i="9"/>
  <c r="I397" i="9"/>
  <c r="H397" i="9"/>
  <c r="G397" i="9"/>
  <c r="F397" i="9"/>
  <c r="E397" i="9"/>
  <c r="D397" i="9"/>
  <c r="C397" i="9"/>
  <c r="B397" i="9"/>
  <c r="A397" i="9"/>
  <c r="I396" i="9"/>
  <c r="H396" i="9"/>
  <c r="G396" i="9"/>
  <c r="F396" i="9"/>
  <c r="E396" i="9"/>
  <c r="D396" i="9"/>
  <c r="C396" i="9"/>
  <c r="B396" i="9"/>
  <c r="A396" i="9"/>
  <c r="I395" i="9"/>
  <c r="H395" i="9"/>
  <c r="G395" i="9"/>
  <c r="F395" i="9"/>
  <c r="E395" i="9"/>
  <c r="D395" i="9"/>
  <c r="C395" i="9"/>
  <c r="B395" i="9"/>
  <c r="A395" i="9"/>
  <c r="I394" i="9"/>
  <c r="H394" i="9"/>
  <c r="F394" i="9"/>
  <c r="E394" i="9"/>
  <c r="D394" i="9"/>
  <c r="C394" i="9"/>
  <c r="B394" i="9"/>
  <c r="A394" i="9"/>
  <c r="I393" i="9"/>
  <c r="H393" i="9"/>
  <c r="F393" i="9"/>
  <c r="E393" i="9"/>
  <c r="D393" i="9"/>
  <c r="C393" i="9"/>
  <c r="B393" i="9"/>
  <c r="A393" i="9"/>
  <c r="I392" i="9"/>
  <c r="H392" i="9"/>
  <c r="F392" i="9"/>
  <c r="E392" i="9"/>
  <c r="D392" i="9"/>
  <c r="C392" i="9"/>
  <c r="B392" i="9"/>
  <c r="A392" i="9"/>
  <c r="I391" i="9"/>
  <c r="H391" i="9"/>
  <c r="F391" i="9"/>
  <c r="E391" i="9"/>
  <c r="D391" i="9"/>
  <c r="C391" i="9"/>
  <c r="B391" i="9"/>
  <c r="A391" i="9"/>
  <c r="I390" i="9"/>
  <c r="H390" i="9"/>
  <c r="F390" i="9"/>
  <c r="E390" i="9"/>
  <c r="D390" i="9"/>
  <c r="C390" i="9"/>
  <c r="B390" i="9"/>
  <c r="A390" i="9"/>
  <c r="I389" i="9"/>
  <c r="H389" i="9"/>
  <c r="F389" i="9"/>
  <c r="E389" i="9"/>
  <c r="D389" i="9"/>
  <c r="C389" i="9"/>
  <c r="B389" i="9"/>
  <c r="A389" i="9"/>
  <c r="I388" i="9"/>
  <c r="H388" i="9"/>
  <c r="F388" i="9"/>
  <c r="E388" i="9"/>
  <c r="D388" i="9"/>
  <c r="C388" i="9"/>
  <c r="B388" i="9"/>
  <c r="A388" i="9"/>
  <c r="I387" i="9"/>
  <c r="H387" i="9"/>
  <c r="F387" i="9"/>
  <c r="E387" i="9"/>
  <c r="D387" i="9"/>
  <c r="C387" i="9"/>
  <c r="B387" i="9"/>
  <c r="A387" i="9"/>
  <c r="I386" i="9"/>
  <c r="H386" i="9"/>
  <c r="F386" i="9"/>
  <c r="E386" i="9"/>
  <c r="D386" i="9"/>
  <c r="C386" i="9"/>
  <c r="B386" i="9"/>
  <c r="A386" i="9"/>
  <c r="I385" i="9"/>
  <c r="H385" i="9"/>
  <c r="G385" i="9"/>
  <c r="F385" i="9"/>
  <c r="E385" i="9"/>
  <c r="D385" i="9"/>
  <c r="C385" i="9"/>
  <c r="B385" i="9"/>
  <c r="A385" i="9"/>
  <c r="I384" i="9"/>
  <c r="H384" i="9"/>
  <c r="F384" i="9"/>
  <c r="E384" i="9"/>
  <c r="D384" i="9"/>
  <c r="C384" i="9"/>
  <c r="B384" i="9"/>
  <c r="A384" i="9"/>
  <c r="I383" i="9"/>
  <c r="H383" i="9"/>
  <c r="F383" i="9"/>
  <c r="E383" i="9"/>
  <c r="D383" i="9"/>
  <c r="C383" i="9"/>
  <c r="B383" i="9"/>
  <c r="A383" i="9"/>
  <c r="I382" i="9"/>
  <c r="H382" i="9"/>
  <c r="G382" i="9"/>
  <c r="F382" i="9"/>
  <c r="E382" i="9"/>
  <c r="D382" i="9"/>
  <c r="C382" i="9"/>
  <c r="B382" i="9"/>
  <c r="A382" i="9"/>
  <c r="I381" i="9"/>
  <c r="H381" i="9"/>
  <c r="F381" i="9"/>
  <c r="E381" i="9"/>
  <c r="D381" i="9"/>
  <c r="C381" i="9"/>
  <c r="B381" i="9"/>
  <c r="A381" i="9"/>
  <c r="I380" i="9"/>
  <c r="H380" i="9"/>
  <c r="F380" i="9"/>
  <c r="E380" i="9"/>
  <c r="D380" i="9"/>
  <c r="C380" i="9"/>
  <c r="B380" i="9"/>
  <c r="A380" i="9"/>
  <c r="I379" i="9"/>
  <c r="H379" i="9"/>
  <c r="F379" i="9"/>
  <c r="E379" i="9"/>
  <c r="D379" i="9"/>
  <c r="C379" i="9"/>
  <c r="B379" i="9"/>
  <c r="A379" i="9"/>
  <c r="I378" i="9"/>
  <c r="H378" i="9"/>
  <c r="F378" i="9"/>
  <c r="E378" i="9"/>
  <c r="D378" i="9"/>
  <c r="C378" i="9"/>
  <c r="B378" i="9"/>
  <c r="A378" i="9"/>
  <c r="I377" i="9"/>
  <c r="H377" i="9"/>
  <c r="G377" i="9"/>
  <c r="F377" i="9"/>
  <c r="E377" i="9"/>
  <c r="D377" i="9"/>
  <c r="C377" i="9"/>
  <c r="B377" i="9"/>
  <c r="A377" i="9"/>
  <c r="I376" i="9"/>
  <c r="H376" i="9"/>
  <c r="G376" i="9"/>
  <c r="F376" i="9"/>
  <c r="E376" i="9"/>
  <c r="D376" i="9"/>
  <c r="C376" i="9"/>
  <c r="B376" i="9"/>
  <c r="A376" i="9"/>
  <c r="I375" i="9"/>
  <c r="H375" i="9"/>
  <c r="F375" i="9"/>
  <c r="E375" i="9"/>
  <c r="D375" i="9"/>
  <c r="C375" i="9"/>
  <c r="B375" i="9"/>
  <c r="A375" i="9"/>
  <c r="I374" i="9"/>
  <c r="H374" i="9"/>
  <c r="F374" i="9"/>
  <c r="E374" i="9"/>
  <c r="D374" i="9"/>
  <c r="C374" i="9"/>
  <c r="B374" i="9"/>
  <c r="A374" i="9"/>
  <c r="I373" i="9"/>
  <c r="H373" i="9"/>
  <c r="F373" i="9"/>
  <c r="E373" i="9"/>
  <c r="D373" i="9"/>
  <c r="C373" i="9"/>
  <c r="B373" i="9"/>
  <c r="A373" i="9"/>
  <c r="I372" i="9"/>
  <c r="H372" i="9"/>
  <c r="F372" i="9"/>
  <c r="E372" i="9"/>
  <c r="D372" i="9"/>
  <c r="C372" i="9"/>
  <c r="B372" i="9"/>
  <c r="A372" i="9"/>
  <c r="I371" i="9"/>
  <c r="H371" i="9"/>
  <c r="F371" i="9"/>
  <c r="E371" i="9"/>
  <c r="D371" i="9"/>
  <c r="C371" i="9"/>
  <c r="B371" i="9"/>
  <c r="A371" i="9"/>
  <c r="I370" i="9"/>
  <c r="H370" i="9"/>
  <c r="G370" i="9"/>
  <c r="F370" i="9"/>
  <c r="E370" i="9"/>
  <c r="D370" i="9"/>
  <c r="C370" i="9"/>
  <c r="B370" i="9"/>
  <c r="A370" i="9"/>
  <c r="I369" i="9"/>
  <c r="H369" i="9"/>
  <c r="G369" i="9"/>
  <c r="F369" i="9"/>
  <c r="E369" i="9"/>
  <c r="D369" i="9"/>
  <c r="C369" i="9"/>
  <c r="B369" i="9"/>
  <c r="A369" i="9"/>
  <c r="I368" i="9"/>
  <c r="H368" i="9"/>
  <c r="G368" i="9"/>
  <c r="F368" i="9"/>
  <c r="E368" i="9"/>
  <c r="D368" i="9"/>
  <c r="C368" i="9"/>
  <c r="B368" i="9"/>
  <c r="A368" i="9"/>
  <c r="I367" i="9"/>
  <c r="H367" i="9"/>
  <c r="F367" i="9"/>
  <c r="E367" i="9"/>
  <c r="D367" i="9"/>
  <c r="C367" i="9"/>
  <c r="B367" i="9"/>
  <c r="A367" i="9"/>
  <c r="I366" i="9"/>
  <c r="H366" i="9"/>
  <c r="G366" i="9"/>
  <c r="F366" i="9"/>
  <c r="E366" i="9"/>
  <c r="D366" i="9"/>
  <c r="C366" i="9"/>
  <c r="B366" i="9"/>
  <c r="A366" i="9"/>
  <c r="I365" i="9"/>
  <c r="H365" i="9"/>
  <c r="F365" i="9"/>
  <c r="E365" i="9"/>
  <c r="D365" i="9"/>
  <c r="C365" i="9"/>
  <c r="B365" i="9"/>
  <c r="A365" i="9"/>
  <c r="I364" i="9"/>
  <c r="H364" i="9"/>
  <c r="F364" i="9"/>
  <c r="E364" i="9"/>
  <c r="D364" i="9"/>
  <c r="C364" i="9"/>
  <c r="B364" i="9"/>
  <c r="A364" i="9"/>
  <c r="I363" i="9"/>
  <c r="H363" i="9"/>
  <c r="F363" i="9"/>
  <c r="E363" i="9"/>
  <c r="D363" i="9"/>
  <c r="C363" i="9"/>
  <c r="B363" i="9"/>
  <c r="A363" i="9"/>
  <c r="I362" i="9"/>
  <c r="H362" i="9"/>
  <c r="F362" i="9"/>
  <c r="E362" i="9"/>
  <c r="D362" i="9"/>
  <c r="C362" i="9"/>
  <c r="B362" i="9"/>
  <c r="A362" i="9"/>
  <c r="I361" i="9"/>
  <c r="H361" i="9"/>
  <c r="F361" i="9"/>
  <c r="E361" i="9"/>
  <c r="D361" i="9"/>
  <c r="C361" i="9"/>
  <c r="B361" i="9"/>
  <c r="A361" i="9"/>
  <c r="I360" i="9"/>
  <c r="H360" i="9"/>
  <c r="F360" i="9"/>
  <c r="E360" i="9"/>
  <c r="D360" i="9"/>
  <c r="C360" i="9"/>
  <c r="B360" i="9"/>
  <c r="A360" i="9"/>
  <c r="I359" i="9"/>
  <c r="H359" i="9"/>
  <c r="F359" i="9"/>
  <c r="E359" i="9"/>
  <c r="D359" i="9"/>
  <c r="C359" i="9"/>
  <c r="B359" i="9"/>
  <c r="A359" i="9"/>
  <c r="I358" i="9"/>
  <c r="H358" i="9"/>
  <c r="F358" i="9"/>
  <c r="E358" i="9"/>
  <c r="D358" i="9"/>
  <c r="C358" i="9"/>
  <c r="B358" i="9"/>
  <c r="A358" i="9"/>
  <c r="I357" i="9"/>
  <c r="H357" i="9"/>
  <c r="F357" i="9"/>
  <c r="E357" i="9"/>
  <c r="D357" i="9"/>
  <c r="C357" i="9"/>
  <c r="B357" i="9"/>
  <c r="A357" i="9"/>
  <c r="I356" i="9"/>
  <c r="H356" i="9"/>
  <c r="F356" i="9"/>
  <c r="E356" i="9"/>
  <c r="D356" i="9"/>
  <c r="C356" i="9"/>
  <c r="B356" i="9"/>
  <c r="A356" i="9"/>
  <c r="I355" i="9"/>
  <c r="H355" i="9"/>
  <c r="F355" i="9"/>
  <c r="E355" i="9"/>
  <c r="D355" i="9"/>
  <c r="C355" i="9"/>
  <c r="B355" i="9"/>
  <c r="A355" i="9"/>
  <c r="I354" i="9"/>
  <c r="H354" i="9"/>
  <c r="G354" i="9"/>
  <c r="F354" i="9"/>
  <c r="E354" i="9"/>
  <c r="D354" i="9"/>
  <c r="C354" i="9"/>
  <c r="B354" i="9"/>
  <c r="A354" i="9"/>
  <c r="I353" i="9"/>
  <c r="H353" i="9"/>
  <c r="F353" i="9"/>
  <c r="E353" i="9"/>
  <c r="D353" i="9"/>
  <c r="C353" i="9"/>
  <c r="B353" i="9"/>
  <c r="A353" i="9"/>
  <c r="I352" i="9"/>
  <c r="H352" i="9"/>
  <c r="F352" i="9"/>
  <c r="E352" i="9"/>
  <c r="D352" i="9"/>
  <c r="C352" i="9"/>
  <c r="B352" i="9"/>
  <c r="A352" i="9"/>
  <c r="I351" i="9"/>
  <c r="H351" i="9"/>
  <c r="F351" i="9"/>
  <c r="E351" i="9"/>
  <c r="D351" i="9"/>
  <c r="C351" i="9"/>
  <c r="B351" i="9"/>
  <c r="A351" i="9"/>
  <c r="I350" i="9"/>
  <c r="H350" i="9"/>
  <c r="F350" i="9"/>
  <c r="E350" i="9"/>
  <c r="D350" i="9"/>
  <c r="C350" i="9"/>
  <c r="B350" i="9"/>
  <c r="A350" i="9"/>
  <c r="I349" i="9"/>
  <c r="H349" i="9"/>
  <c r="F349" i="9"/>
  <c r="E349" i="9"/>
  <c r="D349" i="9"/>
  <c r="C349" i="9"/>
  <c r="B349" i="9"/>
  <c r="A349" i="9"/>
  <c r="I348" i="9"/>
  <c r="H348" i="9"/>
  <c r="F348" i="9"/>
  <c r="E348" i="9"/>
  <c r="D348" i="9"/>
  <c r="C348" i="9"/>
  <c r="B348" i="9"/>
  <c r="A348" i="9"/>
  <c r="I347" i="9"/>
  <c r="H347" i="9"/>
  <c r="F347" i="9"/>
  <c r="E347" i="9"/>
  <c r="D347" i="9"/>
  <c r="C347" i="9"/>
  <c r="B347" i="9"/>
  <c r="A347" i="9"/>
  <c r="I346" i="9"/>
  <c r="H346" i="9"/>
  <c r="F346" i="9"/>
  <c r="E346" i="9"/>
  <c r="D346" i="9"/>
  <c r="C346" i="9"/>
  <c r="B346" i="9"/>
  <c r="A346" i="9"/>
  <c r="I345" i="9"/>
  <c r="H345" i="9"/>
  <c r="F345" i="9"/>
  <c r="E345" i="9"/>
  <c r="D345" i="9"/>
  <c r="C345" i="9"/>
  <c r="B345" i="9"/>
  <c r="A345" i="9"/>
  <c r="I344" i="9"/>
  <c r="H344" i="9"/>
  <c r="F344" i="9"/>
  <c r="E344" i="9"/>
  <c r="D344" i="9"/>
  <c r="C344" i="9"/>
  <c r="B344" i="9"/>
  <c r="A344" i="9"/>
  <c r="I343" i="9"/>
  <c r="H343" i="9"/>
  <c r="F343" i="9"/>
  <c r="E343" i="9"/>
  <c r="D343" i="9"/>
  <c r="C343" i="9"/>
  <c r="B343" i="9"/>
  <c r="A343" i="9"/>
  <c r="I342" i="9"/>
  <c r="H342" i="9"/>
  <c r="F342" i="9"/>
  <c r="E342" i="9"/>
  <c r="D342" i="9"/>
  <c r="C342" i="9"/>
  <c r="B342" i="9"/>
  <c r="A342" i="9"/>
  <c r="I341" i="9"/>
  <c r="H341" i="9"/>
  <c r="F341" i="9"/>
  <c r="E341" i="9"/>
  <c r="D341" i="9"/>
  <c r="C341" i="9"/>
  <c r="B341" i="9"/>
  <c r="A341" i="9"/>
  <c r="I340" i="9"/>
  <c r="H340" i="9"/>
  <c r="F340" i="9"/>
  <c r="E340" i="9"/>
  <c r="D340" i="9"/>
  <c r="C340" i="9"/>
  <c r="B340" i="9"/>
  <c r="A340" i="9"/>
  <c r="I339" i="9"/>
  <c r="H339" i="9"/>
  <c r="F339" i="9"/>
  <c r="E339" i="9"/>
  <c r="D339" i="9"/>
  <c r="C339" i="9"/>
  <c r="B339" i="9"/>
  <c r="A339" i="9"/>
  <c r="I338" i="9"/>
  <c r="H338" i="9"/>
  <c r="F338" i="9"/>
  <c r="E338" i="9"/>
  <c r="D338" i="9"/>
  <c r="C338" i="9"/>
  <c r="B338" i="9"/>
  <c r="A338" i="9"/>
  <c r="I337" i="9"/>
  <c r="H337" i="9"/>
  <c r="F337" i="9"/>
  <c r="E337" i="9"/>
  <c r="D337" i="9"/>
  <c r="C337" i="9"/>
  <c r="B337" i="9"/>
  <c r="A337" i="9"/>
  <c r="I336" i="9"/>
  <c r="H336" i="9"/>
  <c r="F336" i="9"/>
  <c r="E336" i="9"/>
  <c r="D336" i="9"/>
  <c r="C336" i="9"/>
  <c r="B336" i="9"/>
  <c r="A336" i="9"/>
  <c r="I335" i="9"/>
  <c r="H335" i="9"/>
  <c r="F335" i="9"/>
  <c r="E335" i="9"/>
  <c r="D335" i="9"/>
  <c r="C335" i="9"/>
  <c r="B335" i="9"/>
  <c r="A335" i="9"/>
  <c r="I334" i="9"/>
  <c r="H334" i="9"/>
  <c r="F334" i="9"/>
  <c r="E334" i="9"/>
  <c r="D334" i="9"/>
  <c r="C334" i="9"/>
  <c r="B334" i="9"/>
  <c r="A334" i="9"/>
  <c r="I333" i="9"/>
  <c r="H333" i="9"/>
  <c r="F333" i="9"/>
  <c r="E333" i="9"/>
  <c r="D333" i="9"/>
  <c r="C333" i="9"/>
  <c r="B333" i="9"/>
  <c r="A333" i="9"/>
  <c r="I332" i="9"/>
  <c r="H332" i="9"/>
  <c r="F332" i="9"/>
  <c r="E332" i="9"/>
  <c r="D332" i="9"/>
  <c r="C332" i="9"/>
  <c r="B332" i="9"/>
  <c r="A332" i="9"/>
  <c r="I331" i="9"/>
  <c r="H331" i="9"/>
  <c r="F331" i="9"/>
  <c r="E331" i="9"/>
  <c r="D331" i="9"/>
  <c r="C331" i="9"/>
  <c r="B331" i="9"/>
  <c r="A331" i="9"/>
  <c r="I330" i="9"/>
  <c r="H330" i="9"/>
  <c r="F330" i="9"/>
  <c r="E330" i="9"/>
  <c r="D330" i="9"/>
  <c r="C330" i="9"/>
  <c r="B330" i="9"/>
  <c r="A330" i="9"/>
  <c r="I329" i="9"/>
  <c r="H329" i="9"/>
  <c r="F329" i="9"/>
  <c r="E329" i="9"/>
  <c r="D329" i="9"/>
  <c r="C329" i="9"/>
  <c r="B329" i="9"/>
  <c r="A329" i="9"/>
  <c r="H328" i="9"/>
  <c r="F328" i="9"/>
  <c r="E328" i="9"/>
  <c r="D328" i="9"/>
  <c r="C328" i="9"/>
  <c r="B328" i="9"/>
  <c r="A328" i="9"/>
  <c r="I327" i="9"/>
  <c r="H327" i="9"/>
  <c r="F327" i="9"/>
  <c r="E327" i="9"/>
  <c r="D327" i="9"/>
  <c r="C327" i="9"/>
  <c r="B327" i="9"/>
  <c r="A327" i="9"/>
  <c r="I326" i="9"/>
  <c r="H326" i="9"/>
  <c r="F326" i="9"/>
  <c r="E326" i="9"/>
  <c r="D326" i="9"/>
  <c r="C326" i="9"/>
  <c r="B326" i="9"/>
  <c r="A326" i="9"/>
  <c r="I325" i="9"/>
  <c r="H325" i="9"/>
  <c r="F325" i="9"/>
  <c r="E325" i="9"/>
  <c r="D325" i="9"/>
  <c r="C325" i="9"/>
  <c r="B325" i="9"/>
  <c r="A325" i="9"/>
  <c r="I324" i="9"/>
  <c r="H324" i="9"/>
  <c r="F324" i="9"/>
  <c r="E324" i="9"/>
  <c r="D324" i="9"/>
  <c r="C324" i="9"/>
  <c r="B324" i="9"/>
  <c r="A324" i="9"/>
  <c r="I323" i="9"/>
  <c r="H323" i="9"/>
  <c r="F323" i="9"/>
  <c r="E323" i="9"/>
  <c r="D323" i="9"/>
  <c r="C323" i="9"/>
  <c r="B323" i="9"/>
  <c r="A323" i="9"/>
  <c r="I322" i="9"/>
  <c r="H322" i="9"/>
  <c r="F322" i="9"/>
  <c r="E322" i="9"/>
  <c r="D322" i="9"/>
  <c r="C322" i="9"/>
  <c r="B322" i="9"/>
  <c r="A322" i="9"/>
  <c r="I321" i="9"/>
  <c r="H321" i="9"/>
  <c r="F321" i="9"/>
  <c r="E321" i="9"/>
  <c r="D321" i="9"/>
  <c r="C321" i="9"/>
  <c r="B321" i="9"/>
  <c r="A321" i="9"/>
  <c r="I320" i="9"/>
  <c r="H320" i="9"/>
  <c r="F320" i="9"/>
  <c r="E320" i="9"/>
  <c r="D320" i="9"/>
  <c r="C320" i="9"/>
  <c r="B320" i="9"/>
  <c r="A320" i="9"/>
  <c r="I319" i="9"/>
  <c r="H319" i="9"/>
  <c r="F319" i="9"/>
  <c r="E319" i="9"/>
  <c r="D319" i="9"/>
  <c r="C319" i="9"/>
  <c r="B319" i="9"/>
  <c r="A319" i="9"/>
  <c r="I318" i="9"/>
  <c r="H318" i="9"/>
  <c r="G318" i="9"/>
  <c r="F318" i="9"/>
  <c r="E318" i="9"/>
  <c r="D318" i="9"/>
  <c r="C318" i="9"/>
  <c r="B318" i="9"/>
  <c r="A318" i="9"/>
  <c r="I317" i="9"/>
  <c r="H317" i="9"/>
  <c r="G317" i="9"/>
  <c r="F317" i="9"/>
  <c r="E317" i="9"/>
  <c r="D317" i="9"/>
  <c r="C317" i="9"/>
  <c r="B317" i="9"/>
  <c r="A317" i="9"/>
  <c r="I316" i="9"/>
  <c r="H316" i="9"/>
  <c r="F316" i="9"/>
  <c r="E316" i="9"/>
  <c r="D316" i="9"/>
  <c r="C316" i="9"/>
  <c r="B316" i="9"/>
  <c r="A316" i="9"/>
  <c r="I315" i="9"/>
  <c r="H315" i="9"/>
  <c r="F315" i="9"/>
  <c r="E315" i="9"/>
  <c r="D315" i="9"/>
  <c r="C315" i="9"/>
  <c r="B315" i="9"/>
  <c r="A315" i="9"/>
  <c r="I314" i="9"/>
  <c r="H314" i="9"/>
  <c r="F314" i="9"/>
  <c r="E314" i="9"/>
  <c r="D314" i="9"/>
  <c r="C314" i="9"/>
  <c r="B314" i="9"/>
  <c r="A314" i="9"/>
  <c r="I313" i="9"/>
  <c r="H313" i="9"/>
  <c r="F313" i="9"/>
  <c r="E313" i="9"/>
  <c r="D313" i="9"/>
  <c r="C313" i="9"/>
  <c r="B313" i="9"/>
  <c r="A313" i="9"/>
  <c r="I312" i="9"/>
  <c r="H312" i="9"/>
  <c r="F312" i="9"/>
  <c r="E312" i="9"/>
  <c r="D312" i="9"/>
  <c r="C312" i="9"/>
  <c r="B312" i="9"/>
  <c r="A312" i="9"/>
  <c r="I311" i="9"/>
  <c r="H311" i="9"/>
  <c r="G311" i="9"/>
  <c r="F311" i="9"/>
  <c r="E311" i="9"/>
  <c r="D311" i="9"/>
  <c r="C311" i="9"/>
  <c r="B311" i="9"/>
  <c r="A311" i="9"/>
  <c r="I310" i="9"/>
  <c r="H310" i="9"/>
  <c r="G310" i="9"/>
  <c r="F310" i="9"/>
  <c r="E310" i="9"/>
  <c r="D310" i="9"/>
  <c r="C310" i="9"/>
  <c r="B310" i="9"/>
  <c r="A310" i="9"/>
  <c r="I309" i="9"/>
  <c r="H309" i="9"/>
  <c r="F309" i="9"/>
  <c r="E309" i="9"/>
  <c r="D309" i="9"/>
  <c r="C309" i="9"/>
  <c r="B309" i="9"/>
  <c r="A309" i="9"/>
  <c r="I308" i="9"/>
  <c r="H308" i="9"/>
  <c r="F308" i="9"/>
  <c r="E308" i="9"/>
  <c r="D308" i="9"/>
  <c r="C308" i="9"/>
  <c r="B308" i="9"/>
  <c r="A308" i="9"/>
  <c r="I307" i="9"/>
  <c r="H307" i="9"/>
  <c r="F307" i="9"/>
  <c r="E307" i="9"/>
  <c r="D307" i="9"/>
  <c r="C307" i="9"/>
  <c r="B307" i="9"/>
  <c r="A307" i="9"/>
  <c r="I306" i="9"/>
  <c r="H306" i="9"/>
  <c r="F306" i="9"/>
  <c r="E306" i="9"/>
  <c r="D306" i="9"/>
  <c r="C306" i="9"/>
  <c r="B306" i="9"/>
  <c r="A306" i="9"/>
  <c r="I305" i="9"/>
  <c r="H305" i="9"/>
  <c r="G305" i="9"/>
  <c r="F305" i="9"/>
  <c r="E305" i="9"/>
  <c r="D305" i="9"/>
  <c r="C305" i="9"/>
  <c r="B305" i="9"/>
  <c r="A305" i="9"/>
  <c r="I304" i="9"/>
  <c r="H304" i="9"/>
  <c r="G304" i="9"/>
  <c r="F304" i="9"/>
  <c r="E304" i="9"/>
  <c r="D304" i="9"/>
  <c r="C304" i="9"/>
  <c r="B304" i="9"/>
  <c r="A304" i="9"/>
  <c r="I303" i="9"/>
  <c r="H303" i="9"/>
  <c r="G303" i="9"/>
  <c r="F303" i="9"/>
  <c r="E303" i="9"/>
  <c r="D303" i="9"/>
  <c r="C303" i="9"/>
  <c r="B303" i="9"/>
  <c r="A303" i="9"/>
  <c r="I302" i="9"/>
  <c r="H302" i="9"/>
  <c r="G302" i="9"/>
  <c r="F302" i="9"/>
  <c r="E302" i="9"/>
  <c r="D302" i="9"/>
  <c r="C302" i="9"/>
  <c r="B302" i="9"/>
  <c r="A302" i="9"/>
  <c r="I301" i="9"/>
  <c r="H301" i="9"/>
  <c r="G301" i="9"/>
  <c r="F301" i="9"/>
  <c r="E301" i="9"/>
  <c r="D301" i="9"/>
  <c r="C301" i="9"/>
  <c r="B301" i="9"/>
  <c r="A301" i="9"/>
  <c r="I300" i="9"/>
  <c r="H300" i="9"/>
  <c r="G300" i="9"/>
  <c r="F300" i="9"/>
  <c r="E300" i="9"/>
  <c r="D300" i="9"/>
  <c r="C300" i="9"/>
  <c r="B300" i="9"/>
  <c r="A300" i="9"/>
  <c r="I299" i="9"/>
  <c r="H299" i="9"/>
  <c r="F299" i="9"/>
  <c r="E299" i="9"/>
  <c r="D299" i="9"/>
  <c r="C299" i="9"/>
  <c r="B299" i="9"/>
  <c r="A299" i="9"/>
  <c r="I298" i="9"/>
  <c r="H298" i="9"/>
  <c r="F298" i="9"/>
  <c r="E298" i="9"/>
  <c r="D298" i="9"/>
  <c r="C298" i="9"/>
  <c r="B298" i="9"/>
  <c r="A298" i="9"/>
  <c r="I297" i="9"/>
  <c r="H297" i="9"/>
  <c r="G297" i="9"/>
  <c r="F297" i="9"/>
  <c r="E297" i="9"/>
  <c r="D297" i="9"/>
  <c r="C297" i="9"/>
  <c r="B297" i="9"/>
  <c r="A297" i="9"/>
  <c r="I296" i="9"/>
  <c r="H296" i="9"/>
  <c r="F296" i="9"/>
  <c r="E296" i="9"/>
  <c r="D296" i="9"/>
  <c r="C296" i="9"/>
  <c r="B296" i="9"/>
  <c r="A296" i="9"/>
  <c r="I295" i="9"/>
  <c r="H295" i="9"/>
  <c r="F295" i="9"/>
  <c r="E295" i="9"/>
  <c r="D295" i="9"/>
  <c r="C295" i="9"/>
  <c r="B295" i="9"/>
  <c r="A295" i="9"/>
  <c r="I294" i="9"/>
  <c r="H294" i="9"/>
  <c r="F294" i="9"/>
  <c r="E294" i="9"/>
  <c r="D294" i="9"/>
  <c r="C294" i="9"/>
  <c r="B294" i="9"/>
  <c r="A294" i="9"/>
  <c r="I293" i="9"/>
  <c r="H293" i="9"/>
  <c r="F293" i="9"/>
  <c r="E293" i="9"/>
  <c r="D293" i="9"/>
  <c r="C293" i="9"/>
  <c r="B293" i="9"/>
  <c r="A293" i="9"/>
  <c r="I292" i="9"/>
  <c r="H292" i="9"/>
  <c r="F292" i="9"/>
  <c r="E292" i="9"/>
  <c r="D292" i="9"/>
  <c r="C292" i="9"/>
  <c r="B292" i="9"/>
  <c r="A292" i="9"/>
  <c r="I291" i="9"/>
  <c r="H291" i="9"/>
  <c r="F291" i="9"/>
  <c r="E291" i="9"/>
  <c r="D291" i="9"/>
  <c r="C291" i="9"/>
  <c r="B291" i="9"/>
  <c r="A291" i="9"/>
  <c r="I290" i="9"/>
  <c r="H290" i="9"/>
  <c r="F290" i="9"/>
  <c r="E290" i="9"/>
  <c r="D290" i="9"/>
  <c r="C290" i="9"/>
  <c r="B290" i="9"/>
  <c r="A290" i="9"/>
  <c r="I289" i="9"/>
  <c r="H289" i="9"/>
  <c r="F289" i="9"/>
  <c r="E289" i="9"/>
  <c r="D289" i="9"/>
  <c r="C289" i="9"/>
  <c r="B289" i="9"/>
  <c r="A289" i="9"/>
  <c r="I288" i="9"/>
  <c r="H288" i="9"/>
  <c r="F288" i="9"/>
  <c r="E288" i="9"/>
  <c r="D288" i="9"/>
  <c r="C288" i="9"/>
  <c r="B288" i="9"/>
  <c r="A288" i="9"/>
  <c r="I287" i="9"/>
  <c r="H287" i="9"/>
  <c r="F287" i="9"/>
  <c r="E287" i="9"/>
  <c r="D287" i="9"/>
  <c r="C287" i="9"/>
  <c r="B287" i="9"/>
  <c r="A287" i="9"/>
  <c r="I286" i="9"/>
  <c r="H286" i="9"/>
  <c r="F286" i="9"/>
  <c r="E286" i="9"/>
  <c r="D286" i="9"/>
  <c r="C286" i="9"/>
  <c r="B286" i="9"/>
  <c r="A286" i="9"/>
  <c r="I285" i="9"/>
  <c r="H285" i="9"/>
  <c r="F285" i="9"/>
  <c r="E285" i="9"/>
  <c r="D285" i="9"/>
  <c r="C285" i="9"/>
  <c r="B285" i="9"/>
  <c r="A285" i="9"/>
  <c r="I284" i="9"/>
  <c r="H284" i="9"/>
  <c r="G284" i="9"/>
  <c r="F284" i="9"/>
  <c r="E284" i="9"/>
  <c r="D284" i="9"/>
  <c r="C284" i="9"/>
  <c r="B284" i="9"/>
  <c r="A284" i="9"/>
  <c r="I283" i="9"/>
  <c r="H283" i="9"/>
  <c r="G283" i="9"/>
  <c r="F283" i="9"/>
  <c r="E283" i="9"/>
  <c r="D283" i="9"/>
  <c r="C283" i="9"/>
  <c r="B283" i="9"/>
  <c r="A283" i="9"/>
  <c r="I282" i="9"/>
  <c r="H282" i="9"/>
  <c r="G282" i="9"/>
  <c r="F282" i="9"/>
  <c r="E282" i="9"/>
  <c r="D282" i="9"/>
  <c r="C282" i="9"/>
  <c r="B282" i="9"/>
  <c r="A282" i="9"/>
  <c r="I281" i="9"/>
  <c r="H281" i="9"/>
  <c r="F281" i="9"/>
  <c r="E281" i="9"/>
  <c r="D281" i="9"/>
  <c r="C281" i="9"/>
  <c r="B281" i="9"/>
  <c r="A281" i="9"/>
  <c r="I280" i="9"/>
  <c r="H280" i="9"/>
  <c r="F280" i="9"/>
  <c r="E280" i="9"/>
  <c r="D280" i="9"/>
  <c r="C280" i="9"/>
  <c r="B280" i="9"/>
  <c r="A280" i="9"/>
  <c r="I279" i="9"/>
  <c r="H279" i="9"/>
  <c r="G279" i="9"/>
  <c r="F279" i="9"/>
  <c r="E279" i="9"/>
  <c r="D279" i="9"/>
  <c r="C279" i="9"/>
  <c r="B279" i="9"/>
  <c r="A279" i="9"/>
  <c r="I278" i="9"/>
  <c r="H278" i="9"/>
  <c r="F278" i="9"/>
  <c r="E278" i="9"/>
  <c r="D278" i="9"/>
  <c r="C278" i="9"/>
  <c r="B278" i="9"/>
  <c r="A278" i="9"/>
  <c r="I277" i="9"/>
  <c r="H277" i="9"/>
  <c r="F277" i="9"/>
  <c r="E277" i="9"/>
  <c r="D277" i="9"/>
  <c r="C277" i="9"/>
  <c r="B277" i="9"/>
  <c r="A277" i="9"/>
  <c r="I276" i="9"/>
  <c r="H276" i="9"/>
  <c r="F276" i="9"/>
  <c r="E276" i="9"/>
  <c r="D276" i="9"/>
  <c r="C276" i="9"/>
  <c r="B276" i="9"/>
  <c r="A276" i="9"/>
  <c r="I275" i="9"/>
  <c r="H275" i="9"/>
  <c r="F275" i="9"/>
  <c r="E275" i="9"/>
  <c r="D275" i="9"/>
  <c r="C275" i="9"/>
  <c r="B275" i="9"/>
  <c r="A275" i="9"/>
  <c r="I274" i="9"/>
  <c r="H274" i="9"/>
  <c r="F274" i="9"/>
  <c r="E274" i="9"/>
  <c r="D274" i="9"/>
  <c r="C274" i="9"/>
  <c r="B274" i="9"/>
  <c r="A274" i="9"/>
  <c r="I273" i="9"/>
  <c r="H273" i="9"/>
  <c r="F273" i="9"/>
  <c r="E273" i="9"/>
  <c r="D273" i="9"/>
  <c r="C273" i="9"/>
  <c r="B273" i="9"/>
  <c r="A273" i="9"/>
  <c r="I272" i="9"/>
  <c r="H272" i="9"/>
  <c r="F272" i="9"/>
  <c r="E272" i="9"/>
  <c r="D272" i="9"/>
  <c r="C272" i="9"/>
  <c r="B272" i="9"/>
  <c r="A272" i="9"/>
  <c r="I271" i="9"/>
  <c r="H271" i="9"/>
  <c r="G271" i="9"/>
  <c r="F271" i="9"/>
  <c r="E271" i="9"/>
  <c r="D271" i="9"/>
  <c r="C271" i="9"/>
  <c r="B271" i="9"/>
  <c r="A271" i="9"/>
  <c r="I270" i="9"/>
  <c r="H270" i="9"/>
  <c r="G270" i="9"/>
  <c r="F270" i="9"/>
  <c r="E270" i="9"/>
  <c r="D270" i="9"/>
  <c r="C270" i="9"/>
  <c r="B270" i="9"/>
  <c r="A270" i="9"/>
  <c r="I269" i="9"/>
  <c r="H269" i="9"/>
  <c r="G269" i="9"/>
  <c r="F269" i="9"/>
  <c r="E269" i="9"/>
  <c r="D269" i="9"/>
  <c r="C269" i="9"/>
  <c r="B269" i="9"/>
  <c r="A269" i="9"/>
  <c r="I268" i="9"/>
  <c r="H268" i="9"/>
  <c r="F268" i="9"/>
  <c r="E268" i="9"/>
  <c r="D268" i="9"/>
  <c r="C268" i="9"/>
  <c r="B268" i="9"/>
  <c r="A268" i="9"/>
  <c r="I267" i="9"/>
  <c r="H267" i="9"/>
  <c r="F267" i="9"/>
  <c r="E267" i="9"/>
  <c r="D267" i="9"/>
  <c r="C267" i="9"/>
  <c r="B267" i="9"/>
  <c r="A267" i="9"/>
  <c r="I266" i="9"/>
  <c r="H266" i="9"/>
  <c r="F266" i="9"/>
  <c r="E266" i="9"/>
  <c r="D266" i="9"/>
  <c r="C266" i="9"/>
  <c r="B266" i="9"/>
  <c r="A266" i="9"/>
  <c r="I265" i="9"/>
  <c r="H265" i="9"/>
  <c r="F265" i="9"/>
  <c r="E265" i="9"/>
  <c r="D265" i="9"/>
  <c r="C265" i="9"/>
  <c r="B265" i="9"/>
  <c r="A265" i="9"/>
  <c r="I264" i="9"/>
  <c r="H264" i="9"/>
  <c r="F264" i="9"/>
  <c r="E264" i="9"/>
  <c r="D264" i="9"/>
  <c r="C264" i="9"/>
  <c r="B264" i="9"/>
  <c r="A264" i="9"/>
  <c r="I263" i="9"/>
  <c r="H263" i="9"/>
  <c r="G263" i="9"/>
  <c r="F263" i="9"/>
  <c r="E263" i="9"/>
  <c r="D263" i="9"/>
  <c r="C263" i="9"/>
  <c r="B263" i="9"/>
  <c r="A263" i="9"/>
  <c r="I262" i="9"/>
  <c r="H262" i="9"/>
  <c r="F262" i="9"/>
  <c r="E262" i="9"/>
  <c r="D262" i="9"/>
  <c r="C262" i="9"/>
  <c r="B262" i="9"/>
  <c r="A262" i="9"/>
  <c r="I261" i="9"/>
  <c r="H261" i="9"/>
  <c r="F261" i="9"/>
  <c r="E261" i="9"/>
  <c r="D261" i="9"/>
  <c r="C261" i="9"/>
  <c r="B261" i="9"/>
  <c r="A261" i="9"/>
  <c r="I260" i="9"/>
  <c r="H260" i="9"/>
  <c r="F260" i="9"/>
  <c r="E260" i="9"/>
  <c r="D260" i="9"/>
  <c r="C260" i="9"/>
  <c r="B260" i="9"/>
  <c r="A260" i="9"/>
  <c r="I259" i="9"/>
  <c r="H259" i="9"/>
  <c r="F259" i="9"/>
  <c r="E259" i="9"/>
  <c r="D259" i="9"/>
  <c r="C259" i="9"/>
  <c r="B259" i="9"/>
  <c r="A259" i="9"/>
  <c r="I258" i="9"/>
  <c r="H258" i="9"/>
  <c r="F258" i="9"/>
  <c r="E258" i="9"/>
  <c r="D258" i="9"/>
  <c r="C258" i="9"/>
  <c r="B258" i="9"/>
  <c r="A258" i="9"/>
  <c r="I257" i="9"/>
  <c r="H257" i="9"/>
  <c r="G257" i="9"/>
  <c r="F257" i="9"/>
  <c r="E257" i="9"/>
  <c r="D257" i="9"/>
  <c r="C257" i="9"/>
  <c r="B257" i="9"/>
  <c r="A257" i="9"/>
  <c r="I256" i="9"/>
  <c r="H256" i="9"/>
  <c r="G256" i="9"/>
  <c r="F256" i="9"/>
  <c r="E256" i="9"/>
  <c r="D256" i="9"/>
  <c r="C256" i="9"/>
  <c r="B256" i="9"/>
  <c r="A256" i="9"/>
  <c r="I255" i="9"/>
  <c r="H255" i="9"/>
  <c r="G255" i="9"/>
  <c r="F255" i="9"/>
  <c r="E255" i="9"/>
  <c r="D255" i="9"/>
  <c r="C255" i="9"/>
  <c r="B255" i="9"/>
  <c r="A255" i="9"/>
  <c r="I254" i="9"/>
  <c r="H254" i="9"/>
  <c r="F254" i="9"/>
  <c r="E254" i="9"/>
  <c r="D254" i="9"/>
  <c r="C254" i="9"/>
  <c r="B254" i="9"/>
  <c r="A254" i="9"/>
  <c r="I253" i="9"/>
  <c r="H253" i="9"/>
  <c r="F253" i="9"/>
  <c r="E253" i="9"/>
  <c r="D253" i="9"/>
  <c r="C253" i="9"/>
  <c r="B253" i="9"/>
  <c r="A253" i="9"/>
  <c r="I252" i="9"/>
  <c r="H252" i="9"/>
  <c r="G252" i="9"/>
  <c r="F252" i="9"/>
  <c r="E252" i="9"/>
  <c r="D252" i="9"/>
  <c r="C252" i="9"/>
  <c r="B252" i="9"/>
  <c r="A252" i="9"/>
  <c r="I251" i="9"/>
  <c r="H251" i="9"/>
  <c r="G251" i="9"/>
  <c r="F251" i="9"/>
  <c r="E251" i="9"/>
  <c r="D251" i="9"/>
  <c r="C251" i="9"/>
  <c r="B251" i="9"/>
  <c r="A251" i="9"/>
  <c r="I250" i="9"/>
  <c r="H250" i="9"/>
  <c r="F250" i="9"/>
  <c r="E250" i="9"/>
  <c r="D250" i="9"/>
  <c r="C250" i="9"/>
  <c r="B250" i="9"/>
  <c r="A250" i="9"/>
  <c r="I249" i="9"/>
  <c r="H249" i="9"/>
  <c r="F249" i="9"/>
  <c r="E249" i="9"/>
  <c r="D249" i="9"/>
  <c r="C249" i="9"/>
  <c r="B249" i="9"/>
  <c r="A249" i="9"/>
  <c r="I248" i="9"/>
  <c r="H248" i="9"/>
  <c r="G248" i="9"/>
  <c r="F248" i="9"/>
  <c r="E248" i="9"/>
  <c r="D248" i="9"/>
  <c r="C248" i="9"/>
  <c r="B248" i="9"/>
  <c r="A248" i="9"/>
  <c r="I247" i="9"/>
  <c r="H247" i="9"/>
  <c r="G247" i="9"/>
  <c r="F247" i="9"/>
  <c r="E247" i="9"/>
  <c r="D247" i="9"/>
  <c r="C247" i="9"/>
  <c r="B247" i="9"/>
  <c r="A247" i="9"/>
  <c r="I246" i="9"/>
  <c r="H246" i="9"/>
  <c r="F246" i="9"/>
  <c r="E246" i="9"/>
  <c r="D246" i="9"/>
  <c r="C246" i="9"/>
  <c r="B246" i="9"/>
  <c r="A246" i="9"/>
  <c r="I245" i="9"/>
  <c r="H245" i="9"/>
  <c r="F245" i="9"/>
  <c r="E245" i="9"/>
  <c r="D245" i="9"/>
  <c r="C245" i="9"/>
  <c r="B245" i="9"/>
  <c r="A245" i="9"/>
  <c r="I244" i="9"/>
  <c r="H244" i="9"/>
  <c r="F244" i="9"/>
  <c r="E244" i="9"/>
  <c r="D244" i="9"/>
  <c r="C244" i="9"/>
  <c r="B244" i="9"/>
  <c r="A244" i="9"/>
  <c r="I243" i="9"/>
  <c r="H243" i="9"/>
  <c r="F243" i="9"/>
  <c r="E243" i="9"/>
  <c r="D243" i="9"/>
  <c r="C243" i="9"/>
  <c r="B243" i="9"/>
  <c r="A243" i="9"/>
  <c r="I242" i="9"/>
  <c r="H242" i="9"/>
  <c r="F242" i="9"/>
  <c r="E242" i="9"/>
  <c r="D242" i="9"/>
  <c r="C242" i="9"/>
  <c r="B242" i="9"/>
  <c r="A242" i="9"/>
  <c r="I241" i="9"/>
  <c r="H241" i="9"/>
  <c r="F241" i="9"/>
  <c r="E241" i="9"/>
  <c r="D241" i="9"/>
  <c r="C241" i="9"/>
  <c r="B241" i="9"/>
  <c r="A241" i="9"/>
  <c r="I240" i="9"/>
  <c r="H240" i="9"/>
  <c r="F240" i="9"/>
  <c r="E240" i="9"/>
  <c r="D240" i="9"/>
  <c r="C240" i="9"/>
  <c r="B240" i="9"/>
  <c r="A240" i="9"/>
  <c r="I239" i="9"/>
  <c r="H239" i="9"/>
  <c r="F239" i="9"/>
  <c r="E239" i="9"/>
  <c r="D239" i="9"/>
  <c r="C239" i="9"/>
  <c r="B239" i="9"/>
  <c r="A239" i="9"/>
  <c r="I238" i="9"/>
  <c r="H238" i="9"/>
  <c r="F238" i="9"/>
  <c r="E238" i="9"/>
  <c r="D238" i="9"/>
  <c r="C238" i="9"/>
  <c r="B238" i="9"/>
  <c r="A238" i="9"/>
  <c r="I237" i="9"/>
  <c r="H237" i="9"/>
  <c r="F237" i="9"/>
  <c r="E237" i="9"/>
  <c r="D237" i="9"/>
  <c r="C237" i="9"/>
  <c r="B237" i="9"/>
  <c r="A237" i="9"/>
  <c r="I236" i="9"/>
  <c r="H236" i="9"/>
  <c r="F236" i="9"/>
  <c r="E236" i="9"/>
  <c r="D236" i="9"/>
  <c r="C236" i="9"/>
  <c r="B236" i="9"/>
  <c r="A236" i="9"/>
  <c r="I235" i="9"/>
  <c r="H235" i="9"/>
  <c r="F235" i="9"/>
  <c r="E235" i="9"/>
  <c r="D235" i="9"/>
  <c r="C235" i="9"/>
  <c r="B235" i="9"/>
  <c r="A235" i="9"/>
  <c r="I234" i="9"/>
  <c r="H234" i="9"/>
  <c r="G234" i="9"/>
  <c r="F234" i="9"/>
  <c r="E234" i="9"/>
  <c r="D234" i="9"/>
  <c r="C234" i="9"/>
  <c r="B234" i="9"/>
  <c r="A234" i="9"/>
  <c r="I233" i="9"/>
  <c r="H233" i="9"/>
  <c r="F233" i="9"/>
  <c r="E233" i="9"/>
  <c r="D233" i="9"/>
  <c r="C233" i="9"/>
  <c r="B233" i="9"/>
  <c r="A233" i="9"/>
  <c r="I232" i="9"/>
  <c r="H232" i="9"/>
  <c r="F232" i="9"/>
  <c r="E232" i="9"/>
  <c r="D232" i="9"/>
  <c r="C232" i="9"/>
  <c r="B232" i="9"/>
  <c r="A232" i="9"/>
  <c r="I231" i="9"/>
  <c r="H231" i="9"/>
  <c r="F231" i="9"/>
  <c r="E231" i="9"/>
  <c r="D231" i="9"/>
  <c r="C231" i="9"/>
  <c r="B231" i="9"/>
  <c r="A231" i="9"/>
  <c r="I230" i="9"/>
  <c r="H230" i="9"/>
  <c r="F230" i="9"/>
  <c r="E230" i="9"/>
  <c r="D230" i="9"/>
  <c r="C230" i="9"/>
  <c r="B230" i="9"/>
  <c r="A230" i="9"/>
  <c r="I229" i="9"/>
  <c r="H229" i="9"/>
  <c r="G229" i="9"/>
  <c r="F229" i="9"/>
  <c r="E229" i="9"/>
  <c r="D229" i="9"/>
  <c r="C229" i="9"/>
  <c r="B229" i="9"/>
  <c r="A229" i="9"/>
  <c r="I228" i="9"/>
  <c r="H228" i="9"/>
  <c r="G228" i="9"/>
  <c r="F228" i="9"/>
  <c r="E228" i="9"/>
  <c r="D228" i="9"/>
  <c r="C228" i="9"/>
  <c r="B228" i="9"/>
  <c r="A228" i="9"/>
  <c r="I227" i="9"/>
  <c r="H227" i="9"/>
  <c r="G227" i="9"/>
  <c r="F227" i="9"/>
  <c r="E227" i="9"/>
  <c r="D227" i="9"/>
  <c r="C227" i="9"/>
  <c r="B227" i="9"/>
  <c r="A227" i="9"/>
  <c r="I226" i="9"/>
  <c r="H226" i="9"/>
  <c r="G226" i="9"/>
  <c r="F226" i="9"/>
  <c r="E226" i="9"/>
  <c r="D226" i="9"/>
  <c r="C226" i="9"/>
  <c r="B226" i="9"/>
  <c r="A226" i="9"/>
  <c r="I225" i="9"/>
  <c r="H225" i="9"/>
  <c r="G225" i="9"/>
  <c r="F225" i="9"/>
  <c r="E225" i="9"/>
  <c r="D225" i="9"/>
  <c r="C225" i="9"/>
  <c r="B225" i="9"/>
  <c r="A225" i="9"/>
  <c r="I224" i="9"/>
  <c r="H224" i="9"/>
  <c r="G224" i="9"/>
  <c r="F224" i="9"/>
  <c r="E224" i="9"/>
  <c r="D224" i="9"/>
  <c r="C224" i="9"/>
  <c r="B224" i="9"/>
  <c r="A224" i="9"/>
  <c r="I223" i="9"/>
  <c r="H223" i="9"/>
  <c r="F223" i="9"/>
  <c r="E223" i="9"/>
  <c r="D223" i="9"/>
  <c r="C223" i="9"/>
  <c r="B223" i="9"/>
  <c r="A223" i="9"/>
  <c r="I222" i="9"/>
  <c r="H222" i="9"/>
  <c r="G222" i="9"/>
  <c r="F222" i="9"/>
  <c r="E222" i="9"/>
  <c r="D222" i="9"/>
  <c r="C222" i="9"/>
  <c r="B222" i="9"/>
  <c r="A222" i="9"/>
  <c r="I221" i="9"/>
  <c r="H221" i="9"/>
  <c r="G221" i="9"/>
  <c r="F221" i="9"/>
  <c r="E221" i="9"/>
  <c r="D221" i="9"/>
  <c r="C221" i="9"/>
  <c r="B221" i="9"/>
  <c r="A221" i="9"/>
  <c r="I220" i="9"/>
  <c r="H220" i="9"/>
  <c r="G220" i="9"/>
  <c r="F220" i="9"/>
  <c r="E220" i="9"/>
  <c r="D220" i="9"/>
  <c r="C220" i="9"/>
  <c r="B220" i="9"/>
  <c r="A220" i="9"/>
  <c r="I219" i="9"/>
  <c r="H219" i="9"/>
  <c r="G219" i="9"/>
  <c r="F219" i="9"/>
  <c r="E219" i="9"/>
  <c r="D219" i="9"/>
  <c r="C219" i="9"/>
  <c r="B219" i="9"/>
  <c r="A219" i="9"/>
  <c r="I218" i="9"/>
  <c r="H218" i="9"/>
  <c r="G218" i="9"/>
  <c r="F218" i="9"/>
  <c r="E218" i="9"/>
  <c r="D218" i="9"/>
  <c r="C218" i="9"/>
  <c r="B218" i="9"/>
  <c r="A218" i="9"/>
  <c r="I217" i="9"/>
  <c r="H217" i="9"/>
  <c r="G217" i="9"/>
  <c r="F217" i="9"/>
  <c r="E217" i="9"/>
  <c r="D217" i="9"/>
  <c r="C217" i="9"/>
  <c r="B217" i="9"/>
  <c r="A217" i="9"/>
  <c r="I216" i="9"/>
  <c r="H216" i="9"/>
  <c r="G216" i="9"/>
  <c r="F216" i="9"/>
  <c r="E216" i="9"/>
  <c r="D216" i="9"/>
  <c r="C216" i="9"/>
  <c r="B216" i="9"/>
  <c r="A216" i="9"/>
  <c r="I215" i="9"/>
  <c r="H215" i="9"/>
  <c r="F215" i="9"/>
  <c r="E215" i="9"/>
  <c r="D215" i="9"/>
  <c r="C215" i="9"/>
  <c r="B215" i="9"/>
  <c r="A215" i="9"/>
  <c r="I214" i="9"/>
  <c r="H214" i="9"/>
  <c r="F214" i="9"/>
  <c r="E214" i="9"/>
  <c r="D214" i="9"/>
  <c r="C214" i="9"/>
  <c r="B214" i="9"/>
  <c r="A214" i="9"/>
  <c r="I213" i="9"/>
  <c r="H213" i="9"/>
  <c r="G213" i="9"/>
  <c r="F213" i="9"/>
  <c r="E213" i="9"/>
  <c r="D213" i="9"/>
  <c r="C213" i="9"/>
  <c r="B213" i="9"/>
  <c r="A213" i="9"/>
  <c r="I212" i="9"/>
  <c r="H212" i="9"/>
  <c r="G212" i="9"/>
  <c r="F212" i="9"/>
  <c r="E212" i="9"/>
  <c r="D212" i="9"/>
  <c r="C212" i="9"/>
  <c r="B212" i="9"/>
  <c r="A212" i="9"/>
  <c r="I211" i="9"/>
  <c r="H211" i="9"/>
  <c r="F211" i="9"/>
  <c r="E211" i="9"/>
  <c r="D211" i="9"/>
  <c r="C211" i="9"/>
  <c r="B211" i="9"/>
  <c r="A211" i="9"/>
  <c r="I210" i="9"/>
  <c r="H210" i="9"/>
  <c r="F210" i="9"/>
  <c r="E210" i="9"/>
  <c r="D210" i="9"/>
  <c r="C210" i="9"/>
  <c r="B210" i="9"/>
  <c r="A210" i="9"/>
  <c r="I209" i="9"/>
  <c r="H209" i="9"/>
  <c r="F209" i="9"/>
  <c r="E209" i="9"/>
  <c r="D209" i="9"/>
  <c r="C209" i="9"/>
  <c r="B209" i="9"/>
  <c r="A209" i="9"/>
  <c r="I208" i="9"/>
  <c r="H208" i="9"/>
  <c r="F208" i="9"/>
  <c r="E208" i="9"/>
  <c r="D208" i="9"/>
  <c r="C208" i="9"/>
  <c r="B208" i="9"/>
  <c r="A208" i="9"/>
  <c r="I207" i="9"/>
  <c r="H207" i="9"/>
  <c r="F207" i="9"/>
  <c r="E207" i="9"/>
  <c r="D207" i="9"/>
  <c r="C207" i="9"/>
  <c r="B207" i="9"/>
  <c r="A207" i="9"/>
  <c r="I206" i="9"/>
  <c r="H206" i="9"/>
  <c r="F206" i="9"/>
  <c r="E206" i="9"/>
  <c r="D206" i="9"/>
  <c r="C206" i="9"/>
  <c r="B206" i="9"/>
  <c r="A206" i="9"/>
  <c r="I205" i="9"/>
  <c r="H205" i="9"/>
  <c r="F205" i="9"/>
  <c r="E205" i="9"/>
  <c r="D205" i="9"/>
  <c r="C205" i="9"/>
  <c r="B205" i="9"/>
  <c r="A205" i="9"/>
  <c r="I204" i="9"/>
  <c r="H204" i="9"/>
  <c r="G204" i="9"/>
  <c r="F204" i="9"/>
  <c r="E204" i="9"/>
  <c r="D204" i="9"/>
  <c r="C204" i="9"/>
  <c r="B204" i="9"/>
  <c r="A204" i="9"/>
  <c r="I203" i="9"/>
  <c r="H203" i="9"/>
  <c r="G203" i="9"/>
  <c r="F203" i="9"/>
  <c r="E203" i="9"/>
  <c r="D203" i="9"/>
  <c r="C203" i="9"/>
  <c r="B203" i="9"/>
  <c r="A203" i="9"/>
  <c r="I202" i="9"/>
  <c r="H202" i="9"/>
  <c r="G202" i="9"/>
  <c r="F202" i="9"/>
  <c r="E202" i="9"/>
  <c r="D202" i="9"/>
  <c r="C202" i="9"/>
  <c r="B202" i="9"/>
  <c r="A202" i="9"/>
  <c r="I201" i="9"/>
  <c r="H201" i="9"/>
  <c r="G201" i="9"/>
  <c r="F201" i="9"/>
  <c r="E201" i="9"/>
  <c r="D201" i="9"/>
  <c r="C201" i="9"/>
  <c r="B201" i="9"/>
  <c r="A201" i="9"/>
  <c r="I200" i="9"/>
  <c r="H200" i="9"/>
  <c r="G200" i="9"/>
  <c r="F200" i="9"/>
  <c r="E200" i="9"/>
  <c r="D200" i="9"/>
  <c r="C200" i="9"/>
  <c r="B200" i="9"/>
  <c r="A200" i="9"/>
  <c r="I199" i="9"/>
  <c r="H199" i="9"/>
  <c r="G199" i="9"/>
  <c r="F199" i="9"/>
  <c r="E199" i="9"/>
  <c r="D199" i="9"/>
  <c r="C199" i="9"/>
  <c r="B199" i="9"/>
  <c r="A199" i="9"/>
  <c r="I198" i="9"/>
  <c r="H198" i="9"/>
  <c r="F198" i="9"/>
  <c r="E198" i="9"/>
  <c r="D198" i="9"/>
  <c r="C198" i="9"/>
  <c r="B198" i="9"/>
  <c r="A198" i="9"/>
  <c r="I197" i="9"/>
  <c r="H197" i="9"/>
  <c r="G197" i="9"/>
  <c r="F197" i="9"/>
  <c r="E197" i="9"/>
  <c r="D197" i="9"/>
  <c r="C197" i="9"/>
  <c r="B197" i="9"/>
  <c r="A197" i="9"/>
  <c r="I196" i="9"/>
  <c r="H196" i="9"/>
  <c r="G196" i="9"/>
  <c r="F196" i="9"/>
  <c r="E196" i="9"/>
  <c r="D196" i="9"/>
  <c r="C196" i="9"/>
  <c r="B196" i="9"/>
  <c r="A196" i="9"/>
  <c r="I195" i="9"/>
  <c r="H195" i="9"/>
  <c r="F195" i="9"/>
  <c r="E195" i="9"/>
  <c r="D195" i="9"/>
  <c r="C195" i="9"/>
  <c r="B195" i="9"/>
  <c r="A195" i="9"/>
  <c r="I194" i="9"/>
  <c r="H194" i="9"/>
  <c r="F194" i="9"/>
  <c r="E194" i="9"/>
  <c r="D194" i="9"/>
  <c r="C194" i="9"/>
  <c r="B194" i="9"/>
  <c r="A194" i="9"/>
  <c r="I193" i="9"/>
  <c r="H193" i="9"/>
  <c r="F193" i="9"/>
  <c r="E193" i="9"/>
  <c r="D193" i="9"/>
  <c r="C193" i="9"/>
  <c r="B193" i="9"/>
  <c r="A193" i="9"/>
  <c r="I192" i="9"/>
  <c r="H192" i="9"/>
  <c r="F192" i="9"/>
  <c r="E192" i="9"/>
  <c r="D192" i="9"/>
  <c r="C192" i="9"/>
  <c r="B192" i="9"/>
  <c r="A192" i="9"/>
  <c r="I191" i="9"/>
  <c r="H191" i="9"/>
  <c r="F191" i="9"/>
  <c r="E191" i="9"/>
  <c r="D191" i="9"/>
  <c r="C191" i="9"/>
  <c r="B191" i="9"/>
  <c r="A191" i="9"/>
  <c r="I190" i="9"/>
  <c r="H190" i="9"/>
  <c r="G190" i="9"/>
  <c r="F190" i="9"/>
  <c r="E190" i="9"/>
  <c r="D190" i="9"/>
  <c r="C190" i="9"/>
  <c r="B190" i="9"/>
  <c r="A190" i="9"/>
  <c r="I189" i="9"/>
  <c r="H189" i="9"/>
  <c r="G189" i="9"/>
  <c r="F189" i="9"/>
  <c r="E189" i="9"/>
  <c r="D189" i="9"/>
  <c r="C189" i="9"/>
  <c r="B189" i="9"/>
  <c r="A189" i="9"/>
  <c r="I188" i="9"/>
  <c r="H188" i="9"/>
  <c r="G188" i="9"/>
  <c r="F188" i="9"/>
  <c r="E188" i="9"/>
  <c r="D188" i="9"/>
  <c r="C188" i="9"/>
  <c r="B188" i="9"/>
  <c r="A188" i="9"/>
  <c r="I187" i="9"/>
  <c r="H187" i="9"/>
  <c r="F187" i="9"/>
  <c r="E187" i="9"/>
  <c r="D187" i="9"/>
  <c r="C187" i="9"/>
  <c r="B187" i="9"/>
  <c r="A187" i="9"/>
  <c r="I186" i="9"/>
  <c r="H186" i="9"/>
  <c r="F186" i="9"/>
  <c r="E186" i="9"/>
  <c r="D186" i="9"/>
  <c r="C186" i="9"/>
  <c r="B186" i="9"/>
  <c r="A186" i="9"/>
  <c r="I185" i="9"/>
  <c r="H185" i="9"/>
  <c r="F185" i="9"/>
  <c r="E185" i="9"/>
  <c r="D185" i="9"/>
  <c r="C185" i="9"/>
  <c r="B185" i="9"/>
  <c r="A185" i="9"/>
  <c r="I184" i="9"/>
  <c r="H184" i="9"/>
  <c r="G184" i="9"/>
  <c r="F184" i="9"/>
  <c r="E184" i="9"/>
  <c r="D184" i="9"/>
  <c r="C184" i="9"/>
  <c r="B184" i="9"/>
  <c r="A184" i="9"/>
  <c r="I183" i="9"/>
  <c r="H183" i="9"/>
  <c r="G183" i="9"/>
  <c r="F183" i="9"/>
  <c r="E183" i="9"/>
  <c r="D183" i="9"/>
  <c r="C183" i="9"/>
  <c r="B183" i="9"/>
  <c r="A183" i="9"/>
  <c r="I182" i="9"/>
  <c r="H182" i="9"/>
  <c r="G182" i="9"/>
  <c r="F182" i="9"/>
  <c r="E182" i="9"/>
  <c r="D182" i="9"/>
  <c r="C182" i="9"/>
  <c r="B182" i="9"/>
  <c r="A182" i="9"/>
  <c r="I181" i="9"/>
  <c r="H181" i="9"/>
  <c r="G181" i="9"/>
  <c r="F181" i="9"/>
  <c r="E181" i="9"/>
  <c r="D181" i="9"/>
  <c r="C181" i="9"/>
  <c r="B181" i="9"/>
  <c r="A181" i="9"/>
  <c r="I180" i="9"/>
  <c r="H180" i="9"/>
  <c r="G180" i="9"/>
  <c r="F180" i="9"/>
  <c r="E180" i="9"/>
  <c r="D180" i="9"/>
  <c r="C180" i="9"/>
  <c r="B180" i="9"/>
  <c r="A180" i="9"/>
  <c r="I179" i="9"/>
  <c r="H179" i="9"/>
  <c r="G179" i="9"/>
  <c r="F179" i="9"/>
  <c r="E179" i="9"/>
  <c r="D179" i="9"/>
  <c r="C179" i="9"/>
  <c r="B179" i="9"/>
  <c r="A179" i="9"/>
  <c r="I178" i="9"/>
  <c r="H178" i="9"/>
  <c r="G178" i="9"/>
  <c r="F178" i="9"/>
  <c r="E178" i="9"/>
  <c r="D178" i="9"/>
  <c r="C178" i="9"/>
  <c r="B178" i="9"/>
  <c r="A178" i="9"/>
  <c r="I177" i="9"/>
  <c r="H177" i="9"/>
  <c r="G177" i="9"/>
  <c r="F177" i="9"/>
  <c r="E177" i="9"/>
  <c r="D177" i="9"/>
  <c r="C177" i="9"/>
  <c r="B177" i="9"/>
  <c r="A177" i="9"/>
  <c r="I176" i="9"/>
  <c r="H176" i="9"/>
  <c r="G176" i="9"/>
  <c r="F176" i="9"/>
  <c r="E176" i="9"/>
  <c r="D176" i="9"/>
  <c r="C176" i="9"/>
  <c r="B176" i="9"/>
  <c r="A176" i="9"/>
  <c r="I175" i="9"/>
  <c r="H175" i="9"/>
  <c r="F175" i="9"/>
  <c r="E175" i="9"/>
  <c r="D175" i="9"/>
  <c r="C175" i="9"/>
  <c r="B175" i="9"/>
  <c r="A175" i="9"/>
  <c r="I174" i="9"/>
  <c r="H174" i="9"/>
  <c r="G174" i="9"/>
  <c r="F174" i="9"/>
  <c r="E174" i="9"/>
  <c r="D174" i="9"/>
  <c r="C174" i="9"/>
  <c r="B174" i="9"/>
  <c r="A174" i="9"/>
  <c r="I173" i="9"/>
  <c r="H173" i="9"/>
  <c r="G173" i="9"/>
  <c r="F173" i="9"/>
  <c r="E173" i="9"/>
  <c r="D173" i="9"/>
  <c r="C173" i="9"/>
  <c r="B173" i="9"/>
  <c r="A173" i="9"/>
  <c r="I172" i="9"/>
  <c r="H172" i="9"/>
  <c r="F172" i="9"/>
  <c r="E172" i="9"/>
  <c r="D172" i="9"/>
  <c r="C172" i="9"/>
  <c r="B172" i="9"/>
  <c r="A172" i="9"/>
  <c r="I171" i="9"/>
  <c r="H171" i="9"/>
  <c r="F171" i="9"/>
  <c r="E171" i="9"/>
  <c r="D171" i="9"/>
  <c r="C171" i="9"/>
  <c r="B171" i="9"/>
  <c r="A171" i="9"/>
  <c r="I170" i="9"/>
  <c r="H170" i="9"/>
  <c r="F170" i="9"/>
  <c r="E170" i="9"/>
  <c r="D170" i="9"/>
  <c r="C170" i="9"/>
  <c r="B170" i="9"/>
  <c r="A170" i="9"/>
  <c r="I169" i="9"/>
  <c r="H169" i="9"/>
  <c r="F169" i="9"/>
  <c r="E169" i="9"/>
  <c r="D169" i="9"/>
  <c r="C169" i="9"/>
  <c r="B169" i="9"/>
  <c r="A169" i="9"/>
  <c r="I168" i="9"/>
  <c r="H168" i="9"/>
  <c r="G168" i="9"/>
  <c r="F168" i="9"/>
  <c r="E168" i="9"/>
  <c r="D168" i="9"/>
  <c r="C168" i="9"/>
  <c r="B168" i="9"/>
  <c r="A168" i="9"/>
  <c r="I167" i="9"/>
  <c r="H167" i="9"/>
  <c r="F167" i="9"/>
  <c r="E167" i="9"/>
  <c r="D167" i="9"/>
  <c r="C167" i="9"/>
  <c r="B167" i="9"/>
  <c r="A167" i="9"/>
  <c r="I166" i="9"/>
  <c r="H166" i="9"/>
  <c r="F166" i="9"/>
  <c r="E166" i="9"/>
  <c r="D166" i="9"/>
  <c r="C166" i="9"/>
  <c r="B166" i="9"/>
  <c r="A166" i="9"/>
  <c r="I165" i="9"/>
  <c r="H165" i="9"/>
  <c r="F165" i="9"/>
  <c r="E165" i="9"/>
  <c r="D165" i="9"/>
  <c r="C165" i="9"/>
  <c r="B165" i="9"/>
  <c r="A165" i="9"/>
  <c r="I164" i="9"/>
  <c r="H164" i="9"/>
  <c r="F164" i="9"/>
  <c r="E164" i="9"/>
  <c r="D164" i="9"/>
  <c r="C164" i="9"/>
  <c r="B164" i="9"/>
  <c r="A164" i="9"/>
  <c r="I163" i="9"/>
  <c r="H163" i="9"/>
  <c r="F163" i="9"/>
  <c r="E163" i="9"/>
  <c r="D163" i="9"/>
  <c r="C163" i="9"/>
  <c r="B163" i="9"/>
  <c r="A163" i="9"/>
  <c r="I162" i="9"/>
  <c r="H162" i="9"/>
  <c r="F162" i="9"/>
  <c r="E162" i="9"/>
  <c r="D162" i="9"/>
  <c r="C162" i="9"/>
  <c r="B162" i="9"/>
  <c r="A162" i="9"/>
  <c r="I161" i="9"/>
  <c r="H161" i="9"/>
  <c r="F161" i="9"/>
  <c r="E161" i="9"/>
  <c r="D161" i="9"/>
  <c r="C161" i="9"/>
  <c r="B161" i="9"/>
  <c r="A161" i="9"/>
  <c r="I160" i="9"/>
  <c r="H160" i="9"/>
  <c r="F160" i="9"/>
  <c r="E160" i="9"/>
  <c r="D160" i="9"/>
  <c r="C160" i="9"/>
  <c r="B160" i="9"/>
  <c r="A160" i="9"/>
  <c r="I159" i="9"/>
  <c r="H159" i="9"/>
  <c r="G159" i="9"/>
  <c r="F159" i="9"/>
  <c r="E159" i="9"/>
  <c r="D159" i="9"/>
  <c r="C159" i="9"/>
  <c r="B159" i="9"/>
  <c r="A159" i="9"/>
  <c r="I158" i="9"/>
  <c r="H158" i="9"/>
  <c r="G158" i="9"/>
  <c r="F158" i="9"/>
  <c r="E158" i="9"/>
  <c r="D158" i="9"/>
  <c r="C158" i="9"/>
  <c r="B158" i="9"/>
  <c r="A158" i="9"/>
  <c r="I157" i="9"/>
  <c r="H157" i="9"/>
  <c r="G157" i="9"/>
  <c r="F157" i="9"/>
  <c r="E157" i="9"/>
  <c r="D157" i="9"/>
  <c r="C157" i="9"/>
  <c r="B157" i="9"/>
  <c r="A157" i="9"/>
  <c r="I156" i="9"/>
  <c r="H156" i="9"/>
  <c r="G156" i="9"/>
  <c r="F156" i="9"/>
  <c r="E156" i="9"/>
  <c r="D156" i="9"/>
  <c r="C156" i="9"/>
  <c r="B156" i="9"/>
  <c r="A156" i="9"/>
  <c r="I155" i="9"/>
  <c r="H155" i="9"/>
  <c r="G155" i="9"/>
  <c r="F155" i="9"/>
  <c r="E155" i="9"/>
  <c r="D155" i="9"/>
  <c r="C155" i="9"/>
  <c r="B155" i="9"/>
  <c r="A155" i="9"/>
  <c r="I154" i="9"/>
  <c r="H154" i="9"/>
  <c r="G154" i="9"/>
  <c r="F154" i="9"/>
  <c r="E154" i="9"/>
  <c r="D154" i="9"/>
  <c r="C154" i="9"/>
  <c r="B154" i="9"/>
  <c r="A154" i="9"/>
  <c r="I153" i="9"/>
  <c r="H153" i="9"/>
  <c r="G153" i="9"/>
  <c r="F153" i="9"/>
  <c r="E153" i="9"/>
  <c r="D153" i="9"/>
  <c r="C153" i="9"/>
  <c r="B153" i="9"/>
  <c r="A153" i="9"/>
  <c r="I152" i="9"/>
  <c r="H152" i="9"/>
  <c r="G152" i="9"/>
  <c r="F152" i="9"/>
  <c r="E152" i="9"/>
  <c r="D152" i="9"/>
  <c r="C152" i="9"/>
  <c r="B152" i="9"/>
  <c r="A152" i="9"/>
  <c r="I151" i="9"/>
  <c r="H151" i="9"/>
  <c r="G151" i="9"/>
  <c r="F151" i="9"/>
  <c r="E151" i="9"/>
  <c r="D151" i="9"/>
  <c r="C151" i="9"/>
  <c r="B151" i="9"/>
  <c r="A151" i="9"/>
  <c r="I150" i="9"/>
  <c r="H150" i="9"/>
  <c r="F150" i="9"/>
  <c r="E150" i="9"/>
  <c r="D150" i="9"/>
  <c r="C150" i="9"/>
  <c r="B150" i="9"/>
  <c r="A150" i="9"/>
  <c r="I149" i="9"/>
  <c r="H149" i="9"/>
  <c r="F149" i="9"/>
  <c r="E149" i="9"/>
  <c r="D149" i="9"/>
  <c r="C149" i="9"/>
  <c r="B149" i="9"/>
  <c r="A149" i="9"/>
  <c r="I148" i="9"/>
  <c r="H148" i="9"/>
  <c r="F148" i="9"/>
  <c r="E148" i="9"/>
  <c r="D148" i="9"/>
  <c r="C148" i="9"/>
  <c r="B148" i="9"/>
  <c r="A148" i="9"/>
  <c r="I147" i="9"/>
  <c r="H147" i="9"/>
  <c r="F147" i="9"/>
  <c r="E147" i="9"/>
  <c r="D147" i="9"/>
  <c r="C147" i="9"/>
  <c r="B147" i="9"/>
  <c r="A147" i="9"/>
  <c r="I146" i="9"/>
  <c r="H146" i="9"/>
  <c r="F146" i="9"/>
  <c r="E146" i="9"/>
  <c r="D146" i="9"/>
  <c r="C146" i="9"/>
  <c r="B146" i="9"/>
  <c r="A146" i="9"/>
  <c r="I145" i="9"/>
  <c r="H145" i="9"/>
  <c r="F145" i="9"/>
  <c r="E145" i="9"/>
  <c r="D145" i="9"/>
  <c r="C145" i="9"/>
  <c r="B145" i="9"/>
  <c r="A145" i="9"/>
  <c r="I144" i="9"/>
  <c r="H144" i="9"/>
  <c r="F144" i="9"/>
  <c r="E144" i="9"/>
  <c r="D144" i="9"/>
  <c r="C144" i="9"/>
  <c r="B144" i="9"/>
  <c r="A144" i="9"/>
  <c r="I143" i="9"/>
  <c r="H143" i="9"/>
  <c r="G143" i="9"/>
  <c r="F143" i="9"/>
  <c r="E143" i="9"/>
  <c r="D143" i="9"/>
  <c r="C143" i="9"/>
  <c r="B143" i="9"/>
  <c r="A143" i="9"/>
  <c r="I142" i="9"/>
  <c r="H142" i="9"/>
  <c r="G142" i="9"/>
  <c r="F142" i="9"/>
  <c r="E142" i="9"/>
  <c r="D142" i="9"/>
  <c r="C142" i="9"/>
  <c r="B142" i="9"/>
  <c r="A142" i="9"/>
  <c r="I141" i="9"/>
  <c r="H141" i="9"/>
  <c r="G141" i="9"/>
  <c r="F141" i="9"/>
  <c r="E141" i="9"/>
  <c r="D141" i="9"/>
  <c r="C141" i="9"/>
  <c r="B141" i="9"/>
  <c r="A141" i="9"/>
  <c r="I140" i="9"/>
  <c r="H140" i="9"/>
  <c r="G140" i="9"/>
  <c r="F140" i="9"/>
  <c r="E140" i="9"/>
  <c r="D140" i="9"/>
  <c r="C140" i="9"/>
  <c r="B140" i="9"/>
  <c r="A140" i="9"/>
  <c r="I139" i="9"/>
  <c r="H139" i="9"/>
  <c r="G139" i="9"/>
  <c r="F139" i="9"/>
  <c r="E139" i="9"/>
  <c r="D139" i="9"/>
  <c r="C139" i="9"/>
  <c r="B139" i="9"/>
  <c r="A139" i="9"/>
  <c r="I138" i="9"/>
  <c r="H138" i="9"/>
  <c r="G138" i="9"/>
  <c r="F138" i="9"/>
  <c r="E138" i="9"/>
  <c r="D138" i="9"/>
  <c r="C138" i="9"/>
  <c r="B138" i="9"/>
  <c r="A138" i="9"/>
  <c r="I137" i="9"/>
  <c r="H137" i="9"/>
  <c r="G137" i="9"/>
  <c r="F137" i="9"/>
  <c r="E137" i="9"/>
  <c r="D137" i="9"/>
  <c r="C137" i="9"/>
  <c r="B137" i="9"/>
  <c r="A137" i="9"/>
  <c r="I136" i="9"/>
  <c r="H136" i="9"/>
  <c r="G136" i="9"/>
  <c r="F136" i="9"/>
  <c r="E136" i="9"/>
  <c r="D136" i="9"/>
  <c r="C136" i="9"/>
  <c r="B136" i="9"/>
  <c r="A136" i="9"/>
  <c r="I135" i="9"/>
  <c r="H135" i="9"/>
  <c r="G135" i="9"/>
  <c r="F135" i="9"/>
  <c r="E135" i="9"/>
  <c r="D135" i="9"/>
  <c r="C135" i="9"/>
  <c r="B135" i="9"/>
  <c r="A135" i="9"/>
  <c r="I134" i="9"/>
  <c r="H134" i="9"/>
  <c r="G134" i="9"/>
  <c r="F134" i="9"/>
  <c r="E134" i="9"/>
  <c r="D134" i="9"/>
  <c r="C134" i="9"/>
  <c r="B134" i="9"/>
  <c r="A134" i="9"/>
  <c r="I133" i="9"/>
  <c r="H133" i="9"/>
  <c r="G133" i="9"/>
  <c r="F133" i="9"/>
  <c r="E133" i="9"/>
  <c r="D133" i="9"/>
  <c r="C133" i="9"/>
  <c r="B133" i="9"/>
  <c r="A133" i="9"/>
  <c r="I132" i="9"/>
  <c r="H132" i="9"/>
  <c r="G132" i="9"/>
  <c r="F132" i="9"/>
  <c r="E132" i="9"/>
  <c r="D132" i="9"/>
  <c r="C132" i="9"/>
  <c r="B132" i="9"/>
  <c r="A132" i="9"/>
  <c r="I131" i="9"/>
  <c r="H131" i="9"/>
  <c r="G131" i="9"/>
  <c r="F131" i="9"/>
  <c r="E131" i="9"/>
  <c r="D131" i="9"/>
  <c r="C131" i="9"/>
  <c r="B131" i="9"/>
  <c r="A131" i="9"/>
  <c r="I130" i="9"/>
  <c r="H130" i="9"/>
  <c r="G130" i="9"/>
  <c r="F130" i="9"/>
  <c r="E130" i="9"/>
  <c r="D130" i="9"/>
  <c r="C130" i="9"/>
  <c r="B130" i="9"/>
  <c r="A130" i="9"/>
  <c r="I129" i="9"/>
  <c r="H129" i="9"/>
  <c r="F129" i="9"/>
  <c r="E129" i="9"/>
  <c r="D129" i="9"/>
  <c r="C129" i="9"/>
  <c r="B129" i="9"/>
  <c r="A129" i="9"/>
  <c r="I128" i="9"/>
  <c r="H128" i="9"/>
  <c r="G128" i="9"/>
  <c r="F128" i="9"/>
  <c r="E128" i="9"/>
  <c r="D128" i="9"/>
  <c r="C128" i="9"/>
  <c r="B128" i="9"/>
  <c r="A128" i="9"/>
  <c r="I127" i="9"/>
  <c r="H127" i="9"/>
  <c r="F127" i="9"/>
  <c r="E127" i="9"/>
  <c r="D127" i="9"/>
  <c r="C127" i="9"/>
  <c r="B127" i="9"/>
  <c r="A127" i="9"/>
  <c r="I126" i="9"/>
  <c r="H126" i="9"/>
  <c r="F126" i="9"/>
  <c r="E126" i="9"/>
  <c r="D126" i="9"/>
  <c r="C126" i="9"/>
  <c r="B126" i="9"/>
  <c r="A126" i="9"/>
  <c r="I125" i="9"/>
  <c r="H125" i="9"/>
  <c r="F125" i="9"/>
  <c r="E125" i="9"/>
  <c r="D125" i="9"/>
  <c r="C125" i="9"/>
  <c r="B125" i="9"/>
  <c r="A125" i="9"/>
  <c r="I124" i="9"/>
  <c r="H124" i="9"/>
  <c r="F124" i="9"/>
  <c r="E124" i="9"/>
  <c r="D124" i="9"/>
  <c r="C124" i="9"/>
  <c r="B124" i="9"/>
  <c r="A124" i="9"/>
  <c r="I123" i="9"/>
  <c r="H123" i="9"/>
  <c r="F123" i="9"/>
  <c r="E123" i="9"/>
  <c r="D123" i="9"/>
  <c r="C123" i="9"/>
  <c r="B123" i="9"/>
  <c r="A123" i="9"/>
  <c r="I122" i="9"/>
  <c r="H122" i="9"/>
  <c r="F122" i="9"/>
  <c r="E122" i="9"/>
  <c r="D122" i="9"/>
  <c r="C122" i="9"/>
  <c r="B122" i="9"/>
  <c r="A122" i="9"/>
  <c r="I121" i="9"/>
  <c r="H121" i="9"/>
  <c r="F121" i="9"/>
  <c r="E121" i="9"/>
  <c r="D121" i="9"/>
  <c r="C121" i="9"/>
  <c r="B121" i="9"/>
  <c r="A121" i="9"/>
  <c r="I120" i="9"/>
  <c r="H120" i="9"/>
  <c r="F120" i="9"/>
  <c r="E120" i="9"/>
  <c r="D120" i="9"/>
  <c r="C120" i="9"/>
  <c r="B120" i="9"/>
  <c r="A120" i="9"/>
  <c r="I119" i="9"/>
  <c r="H119" i="9"/>
  <c r="F119" i="9"/>
  <c r="E119" i="9"/>
  <c r="D119" i="9"/>
  <c r="C119" i="9"/>
  <c r="B119" i="9"/>
  <c r="A119" i="9"/>
  <c r="I118" i="9"/>
  <c r="H118" i="9"/>
  <c r="F118" i="9"/>
  <c r="E118" i="9"/>
  <c r="D118" i="9"/>
  <c r="C118" i="9"/>
  <c r="B118" i="9"/>
  <c r="A118" i="9"/>
  <c r="I117" i="9"/>
  <c r="H117" i="9"/>
  <c r="F117" i="9"/>
  <c r="E117" i="9"/>
  <c r="D117" i="9"/>
  <c r="C117" i="9"/>
  <c r="B117" i="9"/>
  <c r="A117" i="9"/>
  <c r="I116" i="9"/>
  <c r="H116" i="9"/>
  <c r="F116" i="9"/>
  <c r="E116" i="9"/>
  <c r="D116" i="9"/>
  <c r="C116" i="9"/>
  <c r="B116" i="9"/>
  <c r="A116" i="9"/>
  <c r="I115" i="9"/>
  <c r="H115" i="9"/>
  <c r="F115" i="9"/>
  <c r="E115" i="9"/>
  <c r="D115" i="9"/>
  <c r="C115" i="9"/>
  <c r="B115" i="9"/>
  <c r="A115" i="9"/>
  <c r="I114" i="9"/>
  <c r="H114" i="9"/>
  <c r="F114" i="9"/>
  <c r="E114" i="9"/>
  <c r="D114" i="9"/>
  <c r="C114" i="9"/>
  <c r="B114" i="9"/>
  <c r="A114" i="9"/>
  <c r="I113" i="9"/>
  <c r="H113" i="9"/>
  <c r="F113" i="9"/>
  <c r="E113" i="9"/>
  <c r="D113" i="9"/>
  <c r="C113" i="9"/>
  <c r="B113" i="9"/>
  <c r="A113" i="9"/>
  <c r="I112" i="9"/>
  <c r="H112" i="9"/>
  <c r="F112" i="9"/>
  <c r="E112" i="9"/>
  <c r="D112" i="9"/>
  <c r="C112" i="9"/>
  <c r="B112" i="9"/>
  <c r="A112" i="9"/>
  <c r="I111" i="9"/>
  <c r="H111" i="9"/>
  <c r="F111" i="9"/>
  <c r="E111" i="9"/>
  <c r="D111" i="9"/>
  <c r="C111" i="9"/>
  <c r="B111" i="9"/>
  <c r="A111" i="9"/>
  <c r="I110" i="9"/>
  <c r="H110" i="9"/>
  <c r="F110" i="9"/>
  <c r="E110" i="9"/>
  <c r="D110" i="9"/>
  <c r="C110" i="9"/>
  <c r="B110" i="9"/>
  <c r="A110" i="9"/>
  <c r="I109" i="9"/>
  <c r="H109" i="9"/>
  <c r="F109" i="9"/>
  <c r="E109" i="9"/>
  <c r="D109" i="9"/>
  <c r="C109" i="9"/>
  <c r="B109" i="9"/>
  <c r="A109" i="9"/>
  <c r="I108" i="9"/>
  <c r="H108" i="9"/>
  <c r="G108" i="9"/>
  <c r="F108" i="9"/>
  <c r="E108" i="9"/>
  <c r="D108" i="9"/>
  <c r="C108" i="9"/>
  <c r="B108" i="9"/>
  <c r="A108" i="9"/>
  <c r="I107" i="9"/>
  <c r="H107" i="9"/>
  <c r="G107" i="9"/>
  <c r="F107" i="9"/>
  <c r="E107" i="9"/>
  <c r="D107" i="9"/>
  <c r="C107" i="9"/>
  <c r="B107" i="9"/>
  <c r="A107" i="9"/>
  <c r="I106" i="9"/>
  <c r="H106" i="9"/>
  <c r="G106" i="9"/>
  <c r="F106" i="9"/>
  <c r="E106" i="9"/>
  <c r="D106" i="9"/>
  <c r="C106" i="9"/>
  <c r="B106" i="9"/>
  <c r="A106" i="9"/>
  <c r="I105" i="9"/>
  <c r="H105" i="9"/>
  <c r="G105" i="9"/>
  <c r="F105" i="9"/>
  <c r="E105" i="9"/>
  <c r="D105" i="9"/>
  <c r="C105" i="9"/>
  <c r="B105" i="9"/>
  <c r="A105" i="9"/>
  <c r="I104" i="9"/>
  <c r="H104" i="9"/>
  <c r="G104" i="9"/>
  <c r="F104" i="9"/>
  <c r="E104" i="9"/>
  <c r="D104" i="9"/>
  <c r="C104" i="9"/>
  <c r="B104" i="9"/>
  <c r="A104" i="9"/>
  <c r="I103" i="9"/>
  <c r="H103" i="9"/>
  <c r="G103" i="9"/>
  <c r="F103" i="9"/>
  <c r="E103" i="9"/>
  <c r="D103" i="9"/>
  <c r="C103" i="9"/>
  <c r="B103" i="9"/>
  <c r="A103" i="9"/>
  <c r="I102" i="9"/>
  <c r="H102" i="9"/>
  <c r="G102" i="9"/>
  <c r="F102" i="9"/>
  <c r="E102" i="9"/>
  <c r="D102" i="9"/>
  <c r="C102" i="9"/>
  <c r="B102" i="9"/>
  <c r="A102" i="9"/>
  <c r="I101" i="9"/>
  <c r="H101" i="9"/>
  <c r="F101" i="9"/>
  <c r="E101" i="9"/>
  <c r="D101" i="9"/>
  <c r="C101" i="9"/>
  <c r="B101" i="9"/>
  <c r="A101" i="9"/>
  <c r="I100" i="9"/>
  <c r="H100" i="9"/>
  <c r="G100" i="9"/>
  <c r="F100" i="9"/>
  <c r="E100" i="9"/>
  <c r="D100" i="9"/>
  <c r="C100" i="9"/>
  <c r="B100" i="9"/>
  <c r="A100" i="9"/>
  <c r="I99" i="9"/>
  <c r="H99" i="9"/>
  <c r="G99" i="9"/>
  <c r="F99" i="9"/>
  <c r="E99" i="9"/>
  <c r="D99" i="9"/>
  <c r="C99" i="9"/>
  <c r="B99" i="9"/>
  <c r="A99" i="9"/>
  <c r="I98" i="9"/>
  <c r="H98" i="9"/>
  <c r="F98" i="9"/>
  <c r="E98" i="9"/>
  <c r="D98" i="9"/>
  <c r="C98" i="9"/>
  <c r="B98" i="9"/>
  <c r="A98" i="9"/>
  <c r="I97" i="9"/>
  <c r="H97" i="9"/>
  <c r="F97" i="9"/>
  <c r="E97" i="9"/>
  <c r="D97" i="9"/>
  <c r="C97" i="9"/>
  <c r="B97" i="9"/>
  <c r="A97" i="9"/>
  <c r="I96" i="9"/>
  <c r="H96" i="9"/>
  <c r="F96" i="9"/>
  <c r="E96" i="9"/>
  <c r="D96" i="9"/>
  <c r="C96" i="9"/>
  <c r="B96" i="9"/>
  <c r="A96" i="9"/>
  <c r="I95" i="9"/>
  <c r="H95" i="9"/>
  <c r="F95" i="9"/>
  <c r="E95" i="9"/>
  <c r="D95" i="9"/>
  <c r="C95" i="9"/>
  <c r="B95" i="9"/>
  <c r="A95" i="9"/>
  <c r="I94" i="9"/>
  <c r="H94" i="9"/>
  <c r="F94" i="9"/>
  <c r="E94" i="9"/>
  <c r="D94" i="9"/>
  <c r="C94" i="9"/>
  <c r="B94" i="9"/>
  <c r="A94" i="9"/>
  <c r="I93" i="9"/>
  <c r="H93" i="9"/>
  <c r="F93" i="9"/>
  <c r="E93" i="9"/>
  <c r="D93" i="9"/>
  <c r="C93" i="9"/>
  <c r="B93" i="9"/>
  <c r="A93" i="9"/>
  <c r="I92" i="9"/>
  <c r="H92" i="9"/>
  <c r="F92" i="9"/>
  <c r="E92" i="9"/>
  <c r="D92" i="9"/>
  <c r="C92" i="9"/>
  <c r="B92" i="9"/>
  <c r="A92" i="9"/>
  <c r="I91" i="9"/>
  <c r="H91" i="9"/>
  <c r="F91" i="9"/>
  <c r="E91" i="9"/>
  <c r="D91" i="9"/>
  <c r="C91" i="9"/>
  <c r="B91" i="9"/>
  <c r="A91" i="9"/>
  <c r="I90" i="9"/>
  <c r="H90" i="9"/>
  <c r="F90" i="9"/>
  <c r="E90" i="9"/>
  <c r="D90" i="9"/>
  <c r="C90" i="9"/>
  <c r="B90" i="9"/>
  <c r="A90" i="9"/>
  <c r="I89" i="9"/>
  <c r="H89" i="9"/>
  <c r="F89" i="9"/>
  <c r="E89" i="9"/>
  <c r="D89" i="9"/>
  <c r="C89" i="9"/>
  <c r="B89" i="9"/>
  <c r="A89" i="9"/>
  <c r="I88" i="9"/>
  <c r="H88" i="9"/>
  <c r="F88" i="9"/>
  <c r="E88" i="9"/>
  <c r="D88" i="9"/>
  <c r="C88" i="9"/>
  <c r="B88" i="9"/>
  <c r="A88" i="9"/>
  <c r="I87" i="9"/>
  <c r="H87" i="9"/>
  <c r="F87" i="9"/>
  <c r="E87" i="9"/>
  <c r="D87" i="9"/>
  <c r="C87" i="9"/>
  <c r="B87" i="9"/>
  <c r="A87" i="9"/>
  <c r="I86" i="9"/>
  <c r="H86" i="9"/>
  <c r="F86" i="9"/>
  <c r="E86" i="9"/>
  <c r="D86" i="9"/>
  <c r="C86" i="9"/>
  <c r="B86" i="9"/>
  <c r="A86" i="9"/>
  <c r="I85" i="9"/>
  <c r="H85" i="9"/>
  <c r="F85" i="9"/>
  <c r="E85" i="9"/>
  <c r="D85" i="9"/>
  <c r="C85" i="9"/>
  <c r="B85" i="9"/>
  <c r="A85" i="9"/>
  <c r="I84" i="9"/>
  <c r="H84" i="9"/>
  <c r="G84" i="9"/>
  <c r="F84" i="9"/>
  <c r="E84" i="9"/>
  <c r="D84" i="9"/>
  <c r="C84" i="9"/>
  <c r="B84" i="9"/>
  <c r="A84" i="9"/>
  <c r="I83" i="9"/>
  <c r="H83" i="9"/>
  <c r="G83" i="9"/>
  <c r="F83" i="9"/>
  <c r="E83" i="9"/>
  <c r="D83" i="9"/>
  <c r="C83" i="9"/>
  <c r="B83" i="9"/>
  <c r="A83" i="9"/>
  <c r="I82" i="9"/>
  <c r="H82" i="9"/>
  <c r="F82" i="9"/>
  <c r="E82" i="9"/>
  <c r="D82" i="9"/>
  <c r="C82" i="9"/>
  <c r="B82" i="9"/>
  <c r="A82" i="9"/>
  <c r="I81" i="9"/>
  <c r="H81" i="9"/>
  <c r="F81" i="9"/>
  <c r="E81" i="9"/>
  <c r="D81" i="9"/>
  <c r="C81" i="9"/>
  <c r="B81" i="9"/>
  <c r="A81" i="9"/>
  <c r="I80" i="9"/>
  <c r="H80" i="9"/>
  <c r="F80" i="9"/>
  <c r="E80" i="9"/>
  <c r="D80" i="9"/>
  <c r="C80" i="9"/>
  <c r="B80" i="9"/>
  <c r="A80" i="9"/>
  <c r="I79" i="9"/>
  <c r="H79" i="9"/>
  <c r="G79" i="9"/>
  <c r="F79" i="9"/>
  <c r="E79" i="9"/>
  <c r="D79" i="9"/>
  <c r="C79" i="9"/>
  <c r="B79" i="9"/>
  <c r="A79" i="9"/>
  <c r="I78" i="9"/>
  <c r="H78" i="9"/>
  <c r="F78" i="9"/>
  <c r="E78" i="9"/>
  <c r="D78" i="9"/>
  <c r="C78" i="9"/>
  <c r="B78" i="9"/>
  <c r="A78" i="9"/>
  <c r="I77" i="9"/>
  <c r="H77" i="9"/>
  <c r="G77" i="9"/>
  <c r="F77" i="9"/>
  <c r="E77" i="9"/>
  <c r="D77" i="9"/>
  <c r="C77" i="9"/>
  <c r="B77" i="9"/>
  <c r="A77" i="9"/>
  <c r="I76" i="9"/>
  <c r="H76" i="9"/>
  <c r="G76" i="9"/>
  <c r="F76" i="9"/>
  <c r="E76" i="9"/>
  <c r="D76" i="9"/>
  <c r="C76" i="9"/>
  <c r="B76" i="9"/>
  <c r="A76" i="9"/>
  <c r="I75" i="9"/>
  <c r="H75" i="9"/>
  <c r="G75" i="9"/>
  <c r="F75" i="9"/>
  <c r="E75" i="9"/>
  <c r="D75" i="9"/>
  <c r="C75" i="9"/>
  <c r="B75" i="9"/>
  <c r="A75" i="9"/>
  <c r="I74" i="9"/>
  <c r="H74" i="9"/>
  <c r="G74" i="9"/>
  <c r="F74" i="9"/>
  <c r="E74" i="9"/>
  <c r="D74" i="9"/>
  <c r="C74" i="9"/>
  <c r="B74" i="9"/>
  <c r="A74" i="9"/>
  <c r="I73" i="9"/>
  <c r="H73" i="9"/>
  <c r="F73" i="9"/>
  <c r="E73" i="9"/>
  <c r="D73" i="9"/>
  <c r="C73" i="9"/>
  <c r="B73" i="9"/>
  <c r="A73" i="9"/>
  <c r="I72" i="9"/>
  <c r="H72" i="9"/>
  <c r="F72" i="9"/>
  <c r="E72" i="9"/>
  <c r="D72" i="9"/>
  <c r="C72" i="9"/>
  <c r="B72" i="9"/>
  <c r="A72" i="9"/>
  <c r="I71" i="9"/>
  <c r="H71" i="9"/>
  <c r="F71" i="9"/>
  <c r="E71" i="9"/>
  <c r="D71" i="9"/>
  <c r="C71" i="9"/>
  <c r="B71" i="9"/>
  <c r="A71" i="9"/>
  <c r="I70" i="9"/>
  <c r="H70" i="9"/>
  <c r="F70" i="9"/>
  <c r="E70" i="9"/>
  <c r="D70" i="9"/>
  <c r="C70" i="9"/>
  <c r="B70" i="9"/>
  <c r="A70" i="9"/>
  <c r="I69" i="9"/>
  <c r="H69" i="9"/>
  <c r="F69" i="9"/>
  <c r="E69" i="9"/>
  <c r="D69" i="9"/>
  <c r="C69" i="9"/>
  <c r="B69" i="9"/>
  <c r="A69" i="9"/>
  <c r="I68" i="9"/>
  <c r="H68" i="9"/>
  <c r="F68" i="9"/>
  <c r="E68" i="9"/>
  <c r="D68" i="9"/>
  <c r="C68" i="9"/>
  <c r="B68" i="9"/>
  <c r="A68" i="9"/>
  <c r="I67" i="9"/>
  <c r="H67" i="9"/>
  <c r="F67" i="9"/>
  <c r="E67" i="9"/>
  <c r="D67" i="9"/>
  <c r="C67" i="9"/>
  <c r="B67" i="9"/>
  <c r="A67" i="9"/>
  <c r="I66" i="9"/>
  <c r="H66" i="9"/>
  <c r="F66" i="9"/>
  <c r="E66" i="9"/>
  <c r="D66" i="9"/>
  <c r="C66" i="9"/>
  <c r="B66" i="9"/>
  <c r="A66" i="9"/>
  <c r="I65" i="9"/>
  <c r="H65" i="9"/>
  <c r="F65" i="9"/>
  <c r="E65" i="9"/>
  <c r="D65" i="9"/>
  <c r="C65" i="9"/>
  <c r="B65" i="9"/>
  <c r="A65" i="9"/>
  <c r="I64" i="9"/>
  <c r="H64" i="9"/>
  <c r="F64" i="9"/>
  <c r="E64" i="9"/>
  <c r="D64" i="9"/>
  <c r="C64" i="9"/>
  <c r="B64" i="9"/>
  <c r="A64" i="9"/>
  <c r="I63" i="9"/>
  <c r="H63" i="9"/>
  <c r="F63" i="9"/>
  <c r="E63" i="9"/>
  <c r="D63" i="9"/>
  <c r="C63" i="9"/>
  <c r="B63" i="9"/>
  <c r="A63" i="9"/>
  <c r="I62" i="9"/>
  <c r="H62" i="9"/>
  <c r="G62" i="9"/>
  <c r="F62" i="9"/>
  <c r="E62" i="9"/>
  <c r="D62" i="9"/>
  <c r="C62" i="9"/>
  <c r="B62" i="9"/>
  <c r="A62" i="9"/>
  <c r="I61" i="9"/>
  <c r="H61" i="9"/>
  <c r="G61" i="9"/>
  <c r="F61" i="9"/>
  <c r="E61" i="9"/>
  <c r="D61" i="9"/>
  <c r="C61" i="9"/>
  <c r="B61" i="9"/>
  <c r="A61" i="9"/>
  <c r="I60" i="9"/>
  <c r="H60" i="9"/>
  <c r="G60" i="9"/>
  <c r="F60" i="9"/>
  <c r="E60" i="9"/>
  <c r="D60" i="9"/>
  <c r="C60" i="9"/>
  <c r="B60" i="9"/>
  <c r="A60" i="9"/>
  <c r="I59" i="9"/>
  <c r="H59" i="9"/>
  <c r="G59" i="9"/>
  <c r="F59" i="9"/>
  <c r="E59" i="9"/>
  <c r="D59" i="9"/>
  <c r="C59" i="9"/>
  <c r="B59" i="9"/>
  <c r="A59" i="9"/>
  <c r="I58" i="9"/>
  <c r="H58" i="9"/>
  <c r="G58" i="9"/>
  <c r="F58" i="9"/>
  <c r="E58" i="9"/>
  <c r="D58" i="9"/>
  <c r="C58" i="9"/>
  <c r="B58" i="9"/>
  <c r="A58" i="9"/>
  <c r="I57" i="9"/>
  <c r="H57" i="9"/>
  <c r="F57" i="9"/>
  <c r="E57" i="9"/>
  <c r="D57" i="9"/>
  <c r="C57" i="9"/>
  <c r="B57" i="9"/>
  <c r="A57" i="9"/>
  <c r="I56" i="9"/>
  <c r="H56" i="9"/>
  <c r="F56" i="9"/>
  <c r="E56" i="9"/>
  <c r="D56" i="9"/>
  <c r="C56" i="9"/>
  <c r="B56" i="9"/>
  <c r="A56" i="9"/>
  <c r="I55" i="9"/>
  <c r="H55" i="9"/>
  <c r="G55" i="9"/>
  <c r="F55" i="9"/>
  <c r="E55" i="9"/>
  <c r="D55" i="9"/>
  <c r="C55" i="9"/>
  <c r="B55" i="9"/>
  <c r="A55" i="9"/>
  <c r="I54" i="9"/>
  <c r="H54" i="9"/>
  <c r="G54" i="9"/>
  <c r="F54" i="9"/>
  <c r="E54" i="9"/>
  <c r="D54" i="9"/>
  <c r="C54" i="9"/>
  <c r="B54" i="9"/>
  <c r="A54" i="9"/>
  <c r="I53" i="9"/>
  <c r="H53" i="9"/>
  <c r="G53" i="9"/>
  <c r="F53" i="9"/>
  <c r="E53" i="9"/>
  <c r="D53" i="9"/>
  <c r="C53" i="9"/>
  <c r="B53" i="9"/>
  <c r="A53" i="9"/>
  <c r="I52" i="9"/>
  <c r="H52" i="9"/>
  <c r="F52" i="9"/>
  <c r="E52" i="9"/>
  <c r="D52" i="9"/>
  <c r="C52" i="9"/>
  <c r="B52" i="9"/>
  <c r="A52" i="9"/>
  <c r="I51" i="9"/>
  <c r="H51" i="9"/>
  <c r="F51" i="9"/>
  <c r="E51" i="9"/>
  <c r="D51" i="9"/>
  <c r="C51" i="9"/>
  <c r="B51" i="9"/>
  <c r="A51" i="9"/>
  <c r="I50" i="9"/>
  <c r="H50" i="9"/>
  <c r="F50" i="9"/>
  <c r="E50" i="9"/>
  <c r="D50" i="9"/>
  <c r="C50" i="9"/>
  <c r="B50" i="9"/>
  <c r="A50" i="9"/>
  <c r="I49" i="9"/>
  <c r="H49" i="9"/>
  <c r="G49" i="9"/>
  <c r="F49" i="9"/>
  <c r="E49" i="9"/>
  <c r="D49" i="9"/>
  <c r="C49" i="9"/>
  <c r="B49" i="9"/>
  <c r="A49" i="9"/>
  <c r="I48" i="9"/>
  <c r="H48" i="9"/>
  <c r="G48" i="9"/>
  <c r="F48" i="9"/>
  <c r="E48" i="9"/>
  <c r="D48" i="9"/>
  <c r="C48" i="9"/>
  <c r="B48" i="9"/>
  <c r="A48" i="9"/>
  <c r="I47" i="9"/>
  <c r="H47" i="9"/>
  <c r="G47" i="9"/>
  <c r="F47" i="9"/>
  <c r="E47" i="9"/>
  <c r="D47" i="9"/>
  <c r="C47" i="9"/>
  <c r="B47" i="9"/>
  <c r="A47" i="9"/>
  <c r="I46" i="9"/>
  <c r="H46" i="9"/>
  <c r="G46" i="9"/>
  <c r="F46" i="9"/>
  <c r="E46" i="9"/>
  <c r="D46" i="9"/>
  <c r="C46" i="9"/>
  <c r="B46" i="9"/>
  <c r="A46" i="9"/>
  <c r="I45" i="9"/>
  <c r="H45" i="9"/>
  <c r="G45" i="9"/>
  <c r="F45" i="9"/>
  <c r="E45" i="9"/>
  <c r="D45" i="9"/>
  <c r="C45" i="9"/>
  <c r="B45" i="9"/>
  <c r="A45" i="9"/>
  <c r="I44" i="9"/>
  <c r="H44" i="9"/>
  <c r="G44" i="9"/>
  <c r="F44" i="9"/>
  <c r="E44" i="9"/>
  <c r="D44" i="9"/>
  <c r="C44" i="9"/>
  <c r="B44" i="9"/>
  <c r="A44" i="9"/>
  <c r="I43" i="9"/>
  <c r="H43" i="9"/>
  <c r="G43" i="9"/>
  <c r="F43" i="9"/>
  <c r="E43" i="9"/>
  <c r="D43" i="9"/>
  <c r="C43" i="9"/>
  <c r="B43" i="9"/>
  <c r="A43" i="9"/>
  <c r="I42" i="9"/>
  <c r="H42" i="9"/>
  <c r="G42" i="9"/>
  <c r="F42" i="9"/>
  <c r="E42" i="9"/>
  <c r="D42" i="9"/>
  <c r="C42" i="9"/>
  <c r="B42" i="9"/>
  <c r="A42" i="9"/>
  <c r="I41" i="9"/>
  <c r="H41" i="9"/>
  <c r="G41" i="9"/>
  <c r="F41" i="9"/>
  <c r="E41" i="9"/>
  <c r="D41" i="9"/>
  <c r="C41" i="9"/>
  <c r="B41" i="9"/>
  <c r="A41" i="9"/>
  <c r="I40" i="9"/>
  <c r="H40" i="9"/>
  <c r="G40" i="9"/>
  <c r="F40" i="9"/>
  <c r="E40" i="9"/>
  <c r="D40" i="9"/>
  <c r="C40" i="9"/>
  <c r="B40" i="9"/>
  <c r="A40" i="9"/>
  <c r="I39" i="9"/>
  <c r="H39" i="9"/>
  <c r="G39" i="9"/>
  <c r="F39" i="9"/>
  <c r="E39" i="9"/>
  <c r="D39" i="9"/>
  <c r="C39" i="9"/>
  <c r="B39" i="9"/>
  <c r="A39" i="9"/>
  <c r="I38" i="9"/>
  <c r="H38" i="9"/>
  <c r="G38" i="9"/>
  <c r="F38" i="9"/>
  <c r="E38" i="9"/>
  <c r="D38" i="9"/>
  <c r="C38" i="9"/>
  <c r="B38" i="9"/>
  <c r="A38" i="9"/>
  <c r="I37" i="9"/>
  <c r="H37" i="9"/>
  <c r="G37" i="9"/>
  <c r="F37" i="9"/>
  <c r="E37" i="9"/>
  <c r="D37" i="9"/>
  <c r="C37" i="9"/>
  <c r="B37" i="9"/>
  <c r="A37" i="9"/>
  <c r="I36" i="9"/>
  <c r="H36" i="9"/>
  <c r="G36" i="9"/>
  <c r="F36" i="9"/>
  <c r="E36" i="9"/>
  <c r="D36" i="9"/>
  <c r="C36" i="9"/>
  <c r="B36" i="9"/>
  <c r="A36" i="9"/>
  <c r="I35" i="9"/>
  <c r="H35" i="9"/>
  <c r="G35" i="9"/>
  <c r="F35" i="9"/>
  <c r="E35" i="9"/>
  <c r="D35" i="9"/>
  <c r="C35" i="9"/>
  <c r="B35" i="9"/>
  <c r="A35" i="9"/>
  <c r="I34" i="9"/>
  <c r="H34" i="9"/>
  <c r="G34" i="9"/>
  <c r="F34" i="9"/>
  <c r="E34" i="9"/>
  <c r="D34" i="9"/>
  <c r="C34" i="9"/>
  <c r="B34" i="9"/>
  <c r="A34" i="9"/>
  <c r="I33" i="9"/>
  <c r="H33" i="9"/>
  <c r="G33" i="9"/>
  <c r="F33" i="9"/>
  <c r="E33" i="9"/>
  <c r="D33" i="9"/>
  <c r="C33" i="9"/>
  <c r="B33" i="9"/>
  <c r="A33" i="9"/>
  <c r="I32" i="9"/>
  <c r="H32" i="9"/>
  <c r="G32" i="9"/>
  <c r="F32" i="9"/>
  <c r="E32" i="9"/>
  <c r="D32" i="9"/>
  <c r="C32" i="9"/>
  <c r="B32" i="9"/>
  <c r="A32" i="9"/>
  <c r="I31" i="9"/>
  <c r="H31" i="9"/>
  <c r="G31" i="9"/>
  <c r="F31" i="9"/>
  <c r="E31" i="9"/>
  <c r="D31" i="9"/>
  <c r="C31" i="9"/>
  <c r="B31" i="9"/>
  <c r="A31" i="9"/>
  <c r="I30" i="9"/>
  <c r="H30" i="9"/>
  <c r="G30" i="9"/>
  <c r="F30" i="9"/>
  <c r="E30" i="9"/>
  <c r="D30" i="9"/>
  <c r="C30" i="9"/>
  <c r="B30" i="9"/>
  <c r="A30" i="9"/>
  <c r="I29" i="9"/>
  <c r="H29" i="9"/>
  <c r="G29" i="9"/>
  <c r="F29" i="9"/>
  <c r="E29" i="9"/>
  <c r="D29" i="9"/>
  <c r="C29" i="9"/>
  <c r="B29" i="9"/>
  <c r="A29" i="9"/>
  <c r="I28" i="9"/>
  <c r="H28" i="9"/>
  <c r="G28" i="9"/>
  <c r="F28" i="9"/>
  <c r="E28" i="9"/>
  <c r="D28" i="9"/>
  <c r="C28" i="9"/>
  <c r="B28" i="9"/>
  <c r="A28" i="9"/>
  <c r="I27" i="9"/>
  <c r="H27" i="9"/>
  <c r="G27" i="9"/>
  <c r="F27" i="9"/>
  <c r="E27" i="9"/>
  <c r="D27" i="9"/>
  <c r="C27" i="9"/>
  <c r="B27" i="9"/>
  <c r="A27" i="9"/>
  <c r="I26" i="9"/>
  <c r="H26" i="9"/>
  <c r="G26" i="9"/>
  <c r="F26" i="9"/>
  <c r="E26" i="9"/>
  <c r="D26" i="9"/>
  <c r="C26" i="9"/>
  <c r="B26" i="9"/>
  <c r="A26" i="9"/>
  <c r="I25" i="9"/>
  <c r="H25" i="9"/>
  <c r="G25" i="9"/>
  <c r="F25" i="9"/>
  <c r="E25" i="9"/>
  <c r="D25" i="9"/>
  <c r="C25" i="9"/>
  <c r="B25" i="9"/>
  <c r="A25" i="9"/>
  <c r="I24" i="9"/>
  <c r="H24" i="9"/>
  <c r="G24" i="9"/>
  <c r="F24" i="9"/>
  <c r="E24" i="9"/>
  <c r="D24" i="9"/>
  <c r="C24" i="9"/>
  <c r="B24" i="9"/>
  <c r="A24" i="9"/>
  <c r="I23" i="9"/>
  <c r="H23" i="9"/>
  <c r="G23" i="9"/>
  <c r="F23" i="9"/>
  <c r="E23" i="9"/>
  <c r="D23" i="9"/>
  <c r="C23" i="9"/>
  <c r="B23" i="9"/>
  <c r="A23" i="9"/>
  <c r="I22" i="9"/>
  <c r="H22" i="9"/>
  <c r="G22" i="9"/>
  <c r="F22" i="9"/>
  <c r="E22" i="9"/>
  <c r="D22" i="9"/>
  <c r="C22" i="9"/>
  <c r="B22" i="9"/>
  <c r="A22" i="9"/>
  <c r="I21" i="9"/>
  <c r="H21" i="9"/>
  <c r="G21" i="9"/>
  <c r="F21" i="9"/>
  <c r="E21" i="9"/>
  <c r="D21" i="9"/>
  <c r="C21" i="9"/>
  <c r="B21" i="9"/>
  <c r="A21" i="9"/>
  <c r="I20" i="9"/>
  <c r="H20" i="9"/>
  <c r="G20" i="9"/>
  <c r="F20" i="9"/>
  <c r="E20" i="9"/>
  <c r="D20" i="9"/>
  <c r="C20" i="9"/>
  <c r="B20" i="9"/>
  <c r="A20" i="9"/>
  <c r="I19" i="9"/>
  <c r="H19" i="9"/>
  <c r="G19" i="9"/>
  <c r="F19" i="9"/>
  <c r="E19" i="9"/>
  <c r="D19" i="9"/>
  <c r="C19" i="9"/>
  <c r="B19" i="9"/>
  <c r="A19" i="9"/>
  <c r="I18" i="9"/>
  <c r="H18" i="9"/>
  <c r="G18" i="9"/>
  <c r="F18" i="9"/>
  <c r="E18" i="9"/>
  <c r="D18" i="9"/>
  <c r="C18" i="9"/>
  <c r="B18" i="9"/>
  <c r="A18" i="9"/>
  <c r="I17" i="9"/>
  <c r="H17" i="9"/>
  <c r="G17" i="9"/>
  <c r="F17" i="9"/>
  <c r="E17" i="9"/>
  <c r="D17" i="9"/>
  <c r="C17" i="9"/>
  <c r="B17" i="9"/>
  <c r="A17" i="9"/>
  <c r="I16" i="9"/>
  <c r="H16" i="9"/>
  <c r="G16" i="9"/>
  <c r="F16" i="9"/>
  <c r="E16" i="9"/>
  <c r="D16" i="9"/>
  <c r="C16" i="9"/>
  <c r="B16" i="9"/>
  <c r="A16" i="9"/>
  <c r="I15" i="9"/>
  <c r="H15" i="9"/>
  <c r="G15" i="9"/>
  <c r="F15" i="9"/>
  <c r="E15" i="9"/>
  <c r="D15" i="9"/>
  <c r="C15" i="9"/>
  <c r="B15" i="9"/>
  <c r="A15" i="9"/>
  <c r="I14" i="9"/>
  <c r="H14" i="9"/>
  <c r="G14" i="9"/>
  <c r="F14" i="9"/>
  <c r="E14" i="9"/>
  <c r="D14" i="9"/>
  <c r="C14" i="9"/>
  <c r="B14" i="9"/>
  <c r="A14" i="9"/>
  <c r="I13" i="9"/>
  <c r="H13" i="9"/>
  <c r="G13" i="9"/>
  <c r="F13" i="9"/>
  <c r="E13" i="9"/>
  <c r="D13" i="9"/>
  <c r="C13" i="9"/>
  <c r="B13" i="9"/>
  <c r="A13" i="9"/>
  <c r="I12" i="9"/>
  <c r="H12" i="9"/>
  <c r="G12" i="9"/>
  <c r="F12" i="9"/>
  <c r="E12" i="9"/>
  <c r="D12" i="9"/>
  <c r="C12" i="9"/>
  <c r="B12" i="9"/>
  <c r="A12" i="9"/>
  <c r="I11" i="9"/>
  <c r="H11" i="9"/>
  <c r="G11" i="9"/>
  <c r="F11" i="9"/>
  <c r="E11" i="9"/>
  <c r="D11" i="9"/>
  <c r="C11" i="9"/>
  <c r="B11" i="9"/>
  <c r="A11" i="9"/>
  <c r="I10" i="9"/>
  <c r="H10" i="9"/>
  <c r="G10" i="9"/>
  <c r="F10" i="9"/>
  <c r="E10" i="9"/>
  <c r="D10" i="9"/>
  <c r="C10" i="9"/>
  <c r="B10" i="9"/>
  <c r="A10" i="9"/>
  <c r="I9" i="9"/>
  <c r="H9" i="9"/>
  <c r="G9" i="9"/>
  <c r="F9" i="9"/>
  <c r="E9" i="9"/>
  <c r="D9" i="9"/>
  <c r="C9" i="9"/>
  <c r="B9" i="9"/>
  <c r="A9" i="9"/>
  <c r="I8" i="9"/>
  <c r="H8" i="9"/>
  <c r="G8" i="9"/>
  <c r="F8" i="9"/>
  <c r="E8" i="9"/>
  <c r="D8" i="9"/>
  <c r="C8" i="9"/>
  <c r="B8" i="9"/>
  <c r="A8" i="9"/>
  <c r="I7" i="9"/>
  <c r="H7" i="9"/>
  <c r="G7" i="9"/>
  <c r="F7" i="9"/>
  <c r="E7" i="9"/>
  <c r="D7" i="9"/>
  <c r="C7" i="9"/>
  <c r="B7" i="9"/>
  <c r="A7" i="9"/>
  <c r="I6" i="9"/>
  <c r="H6" i="9"/>
  <c r="G6" i="9"/>
  <c r="F6" i="9"/>
  <c r="E6" i="9"/>
  <c r="D6" i="9"/>
  <c r="C6" i="9"/>
  <c r="B6" i="9"/>
  <c r="A6" i="9"/>
  <c r="I5" i="9"/>
  <c r="H5" i="9"/>
  <c r="G5" i="9"/>
  <c r="F5" i="9"/>
  <c r="E5" i="9"/>
  <c r="D5" i="9"/>
  <c r="C5" i="9"/>
  <c r="B5" i="9"/>
  <c r="A5" i="9"/>
  <c r="I4" i="9"/>
  <c r="H4" i="9"/>
  <c r="G4" i="9"/>
  <c r="F4" i="9"/>
  <c r="E4" i="9"/>
  <c r="D4" i="9"/>
  <c r="C4" i="9"/>
  <c r="B4" i="9"/>
  <c r="A4" i="9"/>
  <c r="I3" i="9"/>
  <c r="H3" i="9"/>
  <c r="G3" i="9"/>
  <c r="F3" i="9"/>
  <c r="E3" i="9"/>
  <c r="D3" i="9"/>
  <c r="C3" i="9"/>
  <c r="B3" i="9"/>
  <c r="A3" i="9"/>
  <c r="I2" i="9"/>
  <c r="H2" i="9"/>
  <c r="G2" i="9"/>
  <c r="F2" i="9"/>
  <c r="E2" i="9"/>
  <c r="D2" i="9"/>
  <c r="C2" i="9"/>
  <c r="B2" i="9"/>
  <c r="A2" i="9"/>
  <c r="I1" i="9"/>
  <c r="H1" i="9"/>
  <c r="G1" i="9"/>
  <c r="F1" i="9"/>
  <c r="E1" i="9"/>
  <c r="D1" i="9"/>
  <c r="C1" i="9"/>
  <c r="B1" i="9"/>
  <c r="A1" i="9"/>
</calcChain>
</file>

<file path=xl/sharedStrings.xml><?xml version="1.0" encoding="utf-8"?>
<sst xmlns="http://schemas.openxmlformats.org/spreadsheetml/2006/main" count="1967" uniqueCount="512">
  <si>
    <t>料號</t>
  </si>
  <si>
    <t>產品類別</t>
  </si>
  <si>
    <t>產品位置</t>
  </si>
  <si>
    <t>ME0030000058</t>
  </si>
  <si>
    <t>ME0020000544</t>
  </si>
  <si>
    <t>A00100000731</t>
  </si>
  <si>
    <t>ME0160000073</t>
  </si>
  <si>
    <t>AGT000000001</t>
  </si>
  <si>
    <t>ME0120000207</t>
  </si>
  <si>
    <t>ME0020000525</t>
  </si>
  <si>
    <t>ME0140000043</t>
  </si>
  <si>
    <t>ME0010000382</t>
  </si>
  <si>
    <t>ME0120000230</t>
  </si>
  <si>
    <t>ME0070000140</t>
  </si>
  <si>
    <t>ME0010000296</t>
  </si>
  <si>
    <t>MM0260000077</t>
  </si>
  <si>
    <t>A00100000708</t>
  </si>
  <si>
    <t>ME0230000255</t>
  </si>
  <si>
    <t>ME0270001245</t>
  </si>
  <si>
    <t>ME0010000263</t>
  </si>
  <si>
    <t>ME0010000339</t>
  </si>
  <si>
    <t>MM0040003484</t>
  </si>
  <si>
    <t>AGT000000005</t>
  </si>
  <si>
    <t>ME0070000181</t>
  </si>
  <si>
    <t>ME0140000039</t>
  </si>
  <si>
    <t>ME0060000270</t>
  </si>
  <si>
    <t>ME0270001256</t>
  </si>
  <si>
    <t>MM0010000125</t>
  </si>
  <si>
    <t>ME0010000385</t>
  </si>
  <si>
    <t>MM0260000249</t>
  </si>
  <si>
    <t>ME0070000097</t>
  </si>
  <si>
    <t>ME0070000052</t>
  </si>
  <si>
    <t>ME0140000048</t>
  </si>
  <si>
    <t>MM0260000157</t>
  </si>
  <si>
    <t>ME0120000084</t>
  </si>
  <si>
    <t>ME0120000085</t>
  </si>
  <si>
    <t>ME0230000240</t>
  </si>
  <si>
    <t>MM0260000199</t>
  </si>
  <si>
    <t>MM0260000200</t>
  </si>
  <si>
    <t>A00700000825</t>
  </si>
  <si>
    <t>ME0020000554</t>
  </si>
  <si>
    <t>MM0260000149</t>
  </si>
  <si>
    <t>MM0260000147</t>
  </si>
  <si>
    <t>MM0260000258</t>
  </si>
  <si>
    <t>MM0010000272</t>
  </si>
  <si>
    <t>AGT000000003</t>
  </si>
  <si>
    <t>ME0020000592</t>
  </si>
  <si>
    <t>ME0010000383</t>
  </si>
  <si>
    <t>ME0020000562</t>
  </si>
  <si>
    <t>ME0050000167</t>
  </si>
  <si>
    <t>ME0050000168</t>
  </si>
  <si>
    <t>ME0020000566</t>
  </si>
  <si>
    <t>ME0020000596</t>
  </si>
  <si>
    <t>AGT000000006</t>
  </si>
  <si>
    <t>MM0220000045</t>
  </si>
  <si>
    <t>ME0120000048</t>
  </si>
  <si>
    <t>MM0090000047</t>
  </si>
  <si>
    <t>AGT000000007</t>
  </si>
  <si>
    <t>AGT000000008</t>
  </si>
  <si>
    <t>AGT000000004</t>
  </si>
  <si>
    <t>ME0070000003</t>
  </si>
  <si>
    <t>MM0220000046</t>
  </si>
  <si>
    <t>MM0220000043</t>
  </si>
  <si>
    <t>ME0070000316</t>
  </si>
  <si>
    <t>ME0120000270</t>
  </si>
  <si>
    <t>A00700000482</t>
  </si>
  <si>
    <t>A00900000618</t>
  </si>
  <si>
    <t>AGT000000009</t>
  </si>
  <si>
    <t>AGT000000010</t>
  </si>
  <si>
    <t>ME0060000278</t>
  </si>
  <si>
    <t>ME0060000277</t>
  </si>
  <si>
    <t>ME0100000056</t>
  </si>
  <si>
    <t>A00100000721</t>
  </si>
  <si>
    <t>ME0030000076</t>
  </si>
  <si>
    <t>ME0030000075</t>
  </si>
  <si>
    <t>MM0220000039</t>
  </si>
  <si>
    <t>MM0260000259</t>
  </si>
  <si>
    <t>AGT000000011</t>
  </si>
  <si>
    <t>ME0020000425</t>
  </si>
  <si>
    <t>ME0050000184</t>
  </si>
  <si>
    <t>All/COLOR</t>
  </si>
  <si>
    <t>ME0270001078</t>
  </si>
  <si>
    <t>ME0020000560</t>
  </si>
  <si>
    <t>ME0270000789</t>
  </si>
  <si>
    <t>ME0050000183</t>
  </si>
  <si>
    <t>ME0270001045</t>
  </si>
  <si>
    <t>ME0270001131</t>
  </si>
  <si>
    <t>ME0020000619</t>
  </si>
  <si>
    <t>ME0050000182</t>
  </si>
  <si>
    <t>ME0020000563</t>
  </si>
  <si>
    <t>ME0120000134</t>
  </si>
  <si>
    <t>ME0120000142</t>
  </si>
  <si>
    <t>A00700000848</t>
  </si>
  <si>
    <t>ME0020000632</t>
  </si>
  <si>
    <t>ME0020000564</t>
  </si>
  <si>
    <t>ME0280000080</t>
  </si>
  <si>
    <t>MM0220000048</t>
  </si>
  <si>
    <t>A00700000837</t>
  </si>
  <si>
    <t>ME0270001300</t>
  </si>
  <si>
    <t>ME0270001309</t>
  </si>
  <si>
    <t>ME0160000130</t>
  </si>
  <si>
    <t>ME0270001234</t>
  </si>
  <si>
    <t>ME0050000178</t>
  </si>
  <si>
    <t>ME0300000028</t>
  </si>
  <si>
    <t>ME0100000086</t>
  </si>
  <si>
    <t>ME0100000087</t>
  </si>
  <si>
    <t>ME0100000077</t>
  </si>
  <si>
    <t>ME0100000078</t>
  </si>
  <si>
    <t>ME0100000079</t>
  </si>
  <si>
    <t>ME0100000081</t>
  </si>
  <si>
    <t>ME0100000082</t>
  </si>
  <si>
    <t>ME0100000083</t>
  </si>
  <si>
    <t>ME0100000084</t>
  </si>
  <si>
    <t>ME0100000085</t>
  </si>
  <si>
    <t>ME0300000019</t>
  </si>
  <si>
    <t>ME0300000020</t>
  </si>
  <si>
    <t>ME0300000021</t>
  </si>
  <si>
    <t>ME0300000022</t>
  </si>
  <si>
    <t>ME0300000023</t>
  </si>
  <si>
    <t>ME0300000024</t>
  </si>
  <si>
    <t>ME0300000026</t>
  </si>
  <si>
    <t>ME0270001323</t>
  </si>
  <si>
    <t>ME0270001324</t>
  </si>
  <si>
    <t>ME0050000181</t>
  </si>
  <si>
    <t>ME0300000017</t>
  </si>
  <si>
    <t>ME0300000016</t>
  </si>
  <si>
    <t>MM0220000040</t>
  </si>
  <si>
    <t>MM0220000042</t>
  </si>
  <si>
    <t>ME0270000955</t>
  </si>
  <si>
    <t>ME0070000319</t>
  </si>
  <si>
    <t>A01100000092</t>
  </si>
  <si>
    <t>A00700000352</t>
  </si>
  <si>
    <t>ME0020000464</t>
  </si>
  <si>
    <t>ME0030000065</t>
  </si>
  <si>
    <t>A00700000862</t>
  </si>
  <si>
    <t>MM0230000010</t>
  </si>
  <si>
    <t>MM0040003550</t>
  </si>
  <si>
    <t>MM0040003551</t>
  </si>
  <si>
    <t>ME0230000257</t>
  </si>
  <si>
    <t>MM0260000260</t>
  </si>
  <si>
    <t>MM0260000266</t>
  </si>
  <si>
    <t>ME0020000582</t>
  </si>
  <si>
    <t>ME0270001338</t>
  </si>
  <si>
    <t>ME0270001339</t>
  </si>
  <si>
    <t>ME0270001340</t>
  </si>
  <si>
    <t>ME0270001341</t>
  </si>
  <si>
    <t>ME0020000637</t>
  </si>
  <si>
    <t>MM0220000044</t>
  </si>
  <si>
    <t>ME0020000622</t>
  </si>
  <si>
    <t>ME0270001257</t>
  </si>
  <si>
    <t>ME0050000135</t>
  </si>
  <si>
    <t>ME0120000132</t>
  </si>
  <si>
    <t>MM0090000279</t>
  </si>
  <si>
    <t>ME0020000642</t>
  </si>
  <si>
    <t>ME0020000627</t>
  </si>
  <si>
    <t>A00700000836</t>
  </si>
  <si>
    <t>ME0020000527</t>
  </si>
  <si>
    <t>ME0270001344</t>
  </si>
  <si>
    <t>ME0270001345</t>
  </si>
  <si>
    <t>BA-304</t>
  </si>
  <si>
    <t>MC0060000118</t>
  </si>
  <si>
    <t>MC0060000119</t>
  </si>
  <si>
    <t>MC0060000120</t>
  </si>
  <si>
    <t>MC0060000121</t>
  </si>
  <si>
    <t>ME0160000101</t>
  </si>
  <si>
    <t>ME0060000218</t>
  </si>
  <si>
    <t>A00700000875</t>
  </si>
  <si>
    <t>ME0140000042</t>
  </si>
  <si>
    <t>ME0270001357</t>
  </si>
  <si>
    <t>ME0270001294</t>
  </si>
  <si>
    <t>A00700000823</t>
  </si>
  <si>
    <t>MM0040003630</t>
  </si>
  <si>
    <t>MM0020001114</t>
  </si>
  <si>
    <t>All / BA</t>
  </si>
  <si>
    <t>A00700000366</t>
  </si>
  <si>
    <t>All / 共用</t>
  </si>
  <si>
    <t>品名</t>
  </si>
  <si>
    <t>庫存數量</t>
  </si>
  <si>
    <t>盤點數量</t>
  </si>
  <si>
    <t>送修數量(-)</t>
  </si>
  <si>
    <t>返修數量</t>
  </si>
  <si>
    <t>領料數量(-)</t>
  </si>
  <si>
    <t>進貨數量</t>
  </si>
  <si>
    <t>調整數量</t>
  </si>
  <si>
    <t>備註</t>
  </si>
  <si>
    <t>電磁閥組</t>
  </si>
  <si>
    <t>P2/庫存</t>
  </si>
  <si>
    <t>A00100000712</t>
  </si>
  <si>
    <t>洗牌機頂出凸輪桿組-左</t>
  </si>
  <si>
    <t>主控制線組</t>
  </si>
  <si>
    <t>機械手臂及控制器組</t>
  </si>
  <si>
    <t>A00100000758</t>
  </si>
  <si>
    <t>發流主機模組-主機+擷取卡+作業系統+V-Mix+EDID模擬</t>
  </si>
  <si>
    <t>A00400000114</t>
  </si>
  <si>
    <t>過濾器模組</t>
  </si>
  <si>
    <t>All / RL</t>
  </si>
  <si>
    <t>A00700000351</t>
  </si>
  <si>
    <t>幫浦緩啟停控制器組</t>
  </si>
  <si>
    <t>二代輪盤自製控制板組</t>
  </si>
  <si>
    <t>無油式真空幫浦組</t>
  </si>
  <si>
    <t>骰子組-50mm</t>
  </si>
  <si>
    <t>All / SB</t>
  </si>
  <si>
    <t>A00700000579</t>
  </si>
  <si>
    <t>RL-S_CCD組   A3-1843-02/ROHS (CCD 含架子)</t>
  </si>
  <si>
    <t>PRECISION REGULATOR MODULE_TYPE-10 &amp; MP43P-030-F3/ROHS &amp; 快速接頭 &amp; 12V直流線</t>
  </si>
  <si>
    <t xml:space="preserve">PRECISION REGULATOR MODULE_TYPE-10 &amp; MP43P-030-F3/ROHS &amp; 快速接頭 &amp; 12V直流線
</t>
  </si>
  <si>
    <t>SECURE IPC 新增電容加工，解決主機Battery Low</t>
  </si>
  <si>
    <t>燈板組(BASLER架/白光燈板) 玻璃管上蓋含辨識座</t>
  </si>
  <si>
    <t>色骰骰子組-50㎜(白)(有字)無tag</t>
  </si>
  <si>
    <t>擲筊機玻璃管組-250 外徑250璃管固定座(校正及上膠)</t>
  </si>
  <si>
    <t>骰子組-50mm (無tag)</t>
  </si>
  <si>
    <t>A00700000873</t>
  </si>
  <si>
    <t>碟子(三色 寶可夢)</t>
  </si>
  <si>
    <t>All / XD</t>
  </si>
  <si>
    <t>碟子(二色 交期一個月)</t>
  </si>
  <si>
    <t>A00900000314</t>
  </si>
  <si>
    <t>環形變壓器模組</t>
  </si>
  <si>
    <t>A00900000382</t>
  </si>
  <si>
    <t>散熱風扇</t>
  </si>
  <si>
    <t>發流主機</t>
  </si>
  <si>
    <t>A00900000638</t>
  </si>
  <si>
    <t>DIN導軌型電源組  HDR-100-24/92W</t>
  </si>
  <si>
    <t>PCB模組 (HB-103)</t>
  </si>
  <si>
    <t>ASUS RT-AX1800S WI-FI 6 雙頻無線路由器</t>
  </si>
  <si>
    <t>AGT000000002</t>
  </si>
  <si>
    <t>htc 手機-純拍照片使用</t>
  </si>
  <si>
    <t>平板充電線</t>
  </si>
  <si>
    <t>1條在304 單路手臂平板上</t>
  </si>
  <si>
    <t>平板豆腐頭</t>
  </si>
  <si>
    <t>棚燈變壓器</t>
  </si>
  <si>
    <t>棚燈調節器</t>
  </si>
  <si>
    <t>USB 網路線</t>
  </si>
  <si>
    <t xml:space="preserve">6/24 A 1個在304 SB VMIX上  老師從色骰DEALER拆下來       </t>
  </si>
  <si>
    <t>RL 治具</t>
  </si>
  <si>
    <t>T8燈管</t>
  </si>
  <si>
    <t>T8燈座</t>
  </si>
  <si>
    <t>DP模擬器</t>
  </si>
  <si>
    <t>整組百路(不含手臂&amp;洗牌機&amp;發流&amp;平板)</t>
  </si>
  <si>
    <t>整組百路(含手臂、洗牌機、平板，但不含發流)</t>
  </si>
  <si>
    <t>手臂維修紙箱</t>
  </si>
  <si>
    <t>手臂控制器維修紙箱</t>
  </si>
  <si>
    <t>手臂維修PE包材</t>
  </si>
  <si>
    <t>手臂控制器維修PE包材</t>
  </si>
  <si>
    <t>ME0010000218</t>
  </si>
  <si>
    <t>ENCODER</t>
  </si>
  <si>
    <t>HDMI介面EDID模擬器 old</t>
  </si>
  <si>
    <t>螢幕</t>
  </si>
  <si>
    <t>鍵盤滑鼠組</t>
  </si>
  <si>
    <t>影像編碼器</t>
  </si>
  <si>
    <t>平板支架</t>
  </si>
  <si>
    <t>LINDY EDID模擬器</t>
  </si>
  <si>
    <t>ME0020000384</t>
  </si>
  <si>
    <t>背板組 不含Secure IPC及Graphic IPC</t>
  </si>
  <si>
    <t>32GB SATADOM</t>
  </si>
  <si>
    <t>ME0020000443</t>
  </si>
  <si>
    <t>DVR主機模組</t>
  </si>
  <si>
    <t>IPC Dbox601, GMB130-421 (G板)</t>
  </si>
  <si>
    <t>美光固態硬碟 SSD</t>
  </si>
  <si>
    <t>GMB 140  FOR SB</t>
  </si>
  <si>
    <t>IPC (GMB140) FOR BA</t>
  </si>
  <si>
    <t>亞郁主機</t>
  </si>
  <si>
    <t>6/17 老師拿一台裝在機房給snake連線用</t>
  </si>
  <si>
    <t>影像擷取卡</t>
  </si>
  <si>
    <t>DELL SERVER-R650 XEON 4310 2.1G*2/32GB</t>
  </si>
  <si>
    <t>CISCO SWITCH</t>
  </si>
  <si>
    <t>ROUTER</t>
  </si>
  <si>
    <t>NAS 硬碟 (監控碟) 10TB</t>
  </si>
  <si>
    <t>ATX 電源供應器(發流主機使用)</t>
  </si>
  <si>
    <t>平板電腦PAD</t>
  </si>
  <si>
    <t>NAS 硬碟 (企業碟) 12TB</t>
  </si>
  <si>
    <t>ME0020000617</t>
  </si>
  <si>
    <t>NAS-SYNOLOGY DS923+ 4-BAY/AMD/8G</t>
  </si>
  <si>
    <t>IPC  SYS-WADE-8213-JB-001(I5</t>
  </si>
  <si>
    <t>平板電腦PAD Samsung Galaxy Tab A9+ 5G</t>
  </si>
  <si>
    <t>SSD 480GB SATA 讀取密集型 6Gbps(For Dell Server)</t>
  </si>
  <si>
    <t>SSD-KINGSTON 金士頓 KC600 512GB 2.5"</t>
  </si>
  <si>
    <t>DELL 600G SAS 15K 12GB/2.5" Hot-Plug Hard Drive/Media Server(04HGTJ)</t>
  </si>
  <si>
    <t>ROUTER_Mikrotik/CCR2116-12G-4S+/16核企業級ros路由器</t>
  </si>
  <si>
    <t>無線分享器 1500</t>
  </si>
  <si>
    <t>SWITCH-Aruba Instant On 1830 24G</t>
  </si>
  <si>
    <t>無線分享器_ ASUS RT-AX1800S-V2 4天線</t>
  </si>
  <si>
    <t>USB 網卡_ TP-LINK USB3.0 Gigabit 網卡 ( UE300(UN)</t>
  </si>
  <si>
    <t>ME0030000079</t>
  </si>
  <si>
    <t>HPE Aruba / CX6200F  24G 4SFP+ /支援 32組802 3AD / JL724B     (core switch)</t>
  </si>
  <si>
    <t>ME0040000110</t>
  </si>
  <si>
    <t>PCB模組 TB-101 V01，輪盤SENSOR 校正驅動板  MB-200,維修燈驅動板 V01</t>
  </si>
  <si>
    <t>ME0040000162</t>
  </si>
  <si>
    <t>PCB模組 TB-101 V01，輪盤SENSOR 校正驅動板</t>
  </si>
  <si>
    <t>ME0050000134</t>
  </si>
  <si>
    <t>HDTV CCD  (單料不含架子)</t>
  </si>
  <si>
    <t>VIDEO SERVER-AXIS F41</t>
  </si>
  <si>
    <t>ME0050000158</t>
  </si>
  <si>
    <t>CCD相機 (黑白)</t>
  </si>
  <si>
    <t>ME0050000160</t>
  </si>
  <si>
    <t>鏡頭</t>
  </si>
  <si>
    <t>4K攝影機</t>
  </si>
  <si>
    <t xml:space="preserve">CCD相機 (彩色) QCAM-UC1300-200CE/1280x1024 1.3MP </t>
  </si>
  <si>
    <t>CCD相機 (彩色) UC4024-029CE/4024 x 3036 12MP</t>
  </si>
  <si>
    <t>色骰用CCD(黑白)</t>
  </si>
  <si>
    <t>HDMI分配器(1對8)</t>
  </si>
  <si>
    <t>色骰用鏡頭 MK1214-C</t>
  </si>
  <si>
    <t>ME0060000141</t>
  </si>
  <si>
    <t>LED軟燈條    SMD5050 白光,60LED/M,DC12V,IP55+背膠</t>
  </si>
  <si>
    <t>LED燈條</t>
  </si>
  <si>
    <t>ME0060000239</t>
  </si>
  <si>
    <t>LED軟燈條 ROULETTE-S 上蓋LED燈條</t>
  </si>
  <si>
    <t>布燈  (棚燈整組料號)</t>
  </si>
  <si>
    <t>LED 燈片 (棚燈 燈片)  單獨送修請用此料號</t>
  </si>
  <si>
    <t>燈板控制器 (調節器+變壓器) 單獨送修調節器用此料號</t>
  </si>
  <si>
    <t>ME0060000286</t>
  </si>
  <si>
    <t>ASTE 18吋環型燈_ASTE 18吋環型燈 (RL-18)美容燈</t>
  </si>
  <si>
    <t>鑰匙開關-大B鑰匙(0320/忠泰/蛇片鎖)</t>
  </si>
  <si>
    <t>SNAP SWITCH (3pin)</t>
  </si>
  <si>
    <t>SNAP SWITCH (6pin)</t>
  </si>
  <si>
    <t>無油式真空幫浦</t>
  </si>
  <si>
    <t>ME0070000179</t>
  </si>
  <si>
    <t>無熔絲開關</t>
  </si>
  <si>
    <t>SOLENOID VALVE(P/N:2-79-071) (電磁閥 上、側吹使用)</t>
  </si>
  <si>
    <t>ME0070000192</t>
  </si>
  <si>
    <t>儲氣桶</t>
  </si>
  <si>
    <t>壓力開關 (壓力計)</t>
  </si>
  <si>
    <t>PRECISION REGULATOR   TYPE10 &amp; MP43P-030-F3/ROHS</t>
  </si>
  <si>
    <t>ME0100000054</t>
  </si>
  <si>
    <t>SLINGSHOT 2 STEPPER MOTOR  (轉盤馬達)</t>
  </si>
  <si>
    <t>ME0100000055</t>
  </si>
  <si>
    <t>轉盤EXMK268-02E   P5 (轉盤馬達)</t>
  </si>
  <si>
    <t>ME0100000057</t>
  </si>
  <si>
    <t>推骰馬達(含編碼器)EXMK249E-02A_60L</t>
  </si>
  <si>
    <t>前撥片馬達(EXMK223-01A2-C4_33L)</t>
  </si>
  <si>
    <t>左撥馬達(含編碼器)EXMK224E-015A-01</t>
  </si>
  <si>
    <t>取骰旋臂馬達(含減速機)MSST-14-50-C-I_EXMK247E-02A</t>
  </si>
  <si>
    <t>夾骰角度馬達(含編碼器)EXMK247E-02A_48L</t>
  </si>
  <si>
    <t>夾骰馬達(含螺桿及連接塊2)DP223SA5-P0502-L100-02A</t>
  </si>
  <si>
    <t>放骰馬達(含螺桿)DP245SA2-P0802-L125-017A</t>
  </si>
  <si>
    <t>驅動器(EXD2002T_D01A)</t>
  </si>
  <si>
    <t>伺服驅動器(SV630AS2R81_M09B)</t>
  </si>
  <si>
    <t>伺服馬達(MS1H4-40B30CB-T33R_M09B)</t>
  </si>
  <si>
    <t>ME0100000058</t>
  </si>
  <si>
    <t>水銀電池 maxell CR2032 3V</t>
  </si>
  <si>
    <t>控制器電池</t>
  </si>
  <si>
    <t>編碼器記憶用電池 (手臂用電池)</t>
  </si>
  <si>
    <t>直流電源轉換器</t>
  </si>
  <si>
    <t>POWER SUPPLY(台達電)</t>
  </si>
  <si>
    <t>電源供應器(BA轉盤用) RS-50-24</t>
  </si>
  <si>
    <t>ME0120000160</t>
  </si>
  <si>
    <t>電源供應器 +24V</t>
  </si>
  <si>
    <t>ME0120000167</t>
  </si>
  <si>
    <t>電源供應器 +12V</t>
  </si>
  <si>
    <t xml:space="preserve">IPC變壓器   </t>
  </si>
  <si>
    <t>ME0120000209</t>
  </si>
  <si>
    <t>DIN導軌型電源  HDR-60-12 60W</t>
  </si>
  <si>
    <t>ONPRO 充電器</t>
  </si>
  <si>
    <t>電源供應器 RT125D 125W 5V/24V/12V   SB辨識燈電源</t>
  </si>
  <si>
    <t>ME0130000069</t>
  </si>
  <si>
    <t>CAROL 佳樂電子領夾式麥克風_MDM-865 TS 版 本</t>
  </si>
  <si>
    <t>ME0140000029</t>
  </si>
  <si>
    <t>轉盤EX-13EAD   P47</t>
  </si>
  <si>
    <t>ME0140000030</t>
  </si>
  <si>
    <t>轉盤EX-13EAD  P49</t>
  </si>
  <si>
    <t>ME0140000036</t>
  </si>
  <si>
    <t>轉盤JBHALL  P21</t>
  </si>
  <si>
    <t>ME0140000037</t>
  </si>
  <si>
    <t>轉盤JBHALL  P25</t>
  </si>
  <si>
    <t>ME0140000038</t>
  </si>
  <si>
    <t>轉盤JBHALL  P26</t>
  </si>
  <si>
    <t>轉盤JBHALL  P31</t>
  </si>
  <si>
    <t>ME0140000040</t>
  </si>
  <si>
    <t>轉盤JBHALL  P32</t>
  </si>
  <si>
    <t>ME0140000041</t>
  </si>
  <si>
    <t>轉盤JBHALL  P42</t>
  </si>
  <si>
    <t>轉盤SPR-402-N   P23</t>
  </si>
  <si>
    <t>轉盤SPR-402-N   P24</t>
  </si>
  <si>
    <t>ME0140000044</t>
  </si>
  <si>
    <t>轉盤SPR-402-N  P2</t>
  </si>
  <si>
    <t>ME0140000045</t>
  </si>
  <si>
    <t>轉盤SPR-402-N  P4</t>
  </si>
  <si>
    <t>ME0140000046</t>
  </si>
  <si>
    <t>轉盤SPR-402-N   P44</t>
  </si>
  <si>
    <t>ME0140000047</t>
  </si>
  <si>
    <t>轉盤SPR-402-N  P45</t>
  </si>
  <si>
    <t>轉盤DA-1805N  P46</t>
  </si>
  <si>
    <t>ME0140000050</t>
  </si>
  <si>
    <t>轉盤E2E-X1R5E1  P33</t>
  </si>
  <si>
    <t>ME0140000051</t>
  </si>
  <si>
    <t>轉盤E2E-X1R5E1  P34</t>
  </si>
  <si>
    <t>ME0140000052</t>
  </si>
  <si>
    <t>轉盤E2E-X1R5E1  P35</t>
  </si>
  <si>
    <t>ME0140000053</t>
  </si>
  <si>
    <t>轉盤E2E-X1R5E1  P6</t>
  </si>
  <si>
    <t>ME0140000054</t>
  </si>
  <si>
    <t>雙贏百家自動洗牌機</t>
  </si>
  <si>
    <t>轉盤F04A   轉盤控制板(L或R相同)</t>
  </si>
  <si>
    <t>自動送牌模組(左)</t>
  </si>
  <si>
    <t>ME0230000157</t>
  </si>
  <si>
    <t>快速接頭  管徑6mm</t>
  </si>
  <si>
    <t>轉接器 41006-DISPLAYPORT公轉VGA母</t>
  </si>
  <si>
    <t>L 型快速接頭</t>
  </si>
  <si>
    <t>快速接頭   管徑4mm</t>
  </si>
  <si>
    <t>ME0230000276</t>
  </si>
  <si>
    <t>光纖模組接頭-10G-SR SFP+ for Aruba 系列/J9150D</t>
  </si>
  <si>
    <t>ME0270000243</t>
  </si>
  <si>
    <t>偵測線組5  A4-1908-04/4.2mm 2P公轉187直行端子</t>
  </si>
  <si>
    <t>ME0270000628</t>
  </si>
  <si>
    <t>控制線  A4-3280-02/4.2MM 6P母端轉2.5MM 4P母</t>
  </si>
  <si>
    <t>ME0270000629</t>
  </si>
  <si>
    <t>偵測線  A4-3277-01/3.0mm 12P母端轉4.2mm 6P公</t>
  </si>
  <si>
    <t>ME0270000630</t>
  </si>
  <si>
    <t>偵測線  A4-3278-02/4.2mm 6P母端轉4.2mm 2P公</t>
  </si>
  <si>
    <t>ME0270000728</t>
  </si>
  <si>
    <t>RS232線</t>
  </si>
  <si>
    <t>HDMI線24K鍍金 1.8米</t>
  </si>
  <si>
    <t>轉盤 COM2通訊線</t>
  </si>
  <si>
    <t>電源延長線 Qpower  TS-316B</t>
  </si>
  <si>
    <t>USB傳輸線(FOR SB)</t>
  </si>
  <si>
    <t>USB轉RS232線</t>
  </si>
  <si>
    <t>USB傳輸線</t>
  </si>
  <si>
    <t>辨識燈線</t>
  </si>
  <si>
    <t>HDMI線 HDMI 1.4版 高畫質3D影音傳輸線(5米)</t>
  </si>
  <si>
    <t>USB傳輸線 馬卡龍編織傳輸充電線</t>
  </si>
  <si>
    <t>骰寶馬達控制線</t>
  </si>
  <si>
    <t>HDMI線 5米</t>
  </si>
  <si>
    <t>左撥右撥拖鍊連接線6芯(D01B-S01-11-06-L或Ｒ)</t>
  </si>
  <si>
    <t>左撥右撥拖鍊連接線4芯(D01B-S01-12-04-L或Ｒ)</t>
  </si>
  <si>
    <t>色骰 E2_左撥拖鍊連接線6芯</t>
  </si>
  <si>
    <t>色骰 E3_右撥拖鍊連接線6芯</t>
  </si>
  <si>
    <t>色骰 M2_左撥拖鍊連接線4芯</t>
  </si>
  <si>
    <t>色骰 M3_右撥拖鍊連接線4芯</t>
  </si>
  <si>
    <t>ME0270001342</t>
  </si>
  <si>
    <t>色骰 M8_夾骰馬達線4芯</t>
  </si>
  <si>
    <t>ME0270001343</t>
  </si>
  <si>
    <t>色骰 P79_夾骰原點(中段線3芯)</t>
  </si>
  <si>
    <t>色骰 P79夾骰原點(進階)</t>
  </si>
  <si>
    <t>色骰 P93夾骰角度原點(進階)</t>
  </si>
  <si>
    <t>ME0270001346</t>
  </si>
  <si>
    <t>光纖CABLE (core switch 用)</t>
  </si>
  <si>
    <t>7芯線/M8夾骰馬達4芯_P79夾骰原點3芯</t>
  </si>
  <si>
    <t>馬達驅動線(S6-L-T00-3.0/匯川)</t>
  </si>
  <si>
    <t>ME0280000019</t>
  </si>
  <si>
    <t>中一橫流扇   IN 內部</t>
  </si>
  <si>
    <t>ME0280000055</t>
  </si>
  <si>
    <t>CPU風扇  艾訊GPC(CPU Cooler for GMB130-BGA</t>
  </si>
  <si>
    <t>ME0280000076</t>
  </si>
  <si>
    <t>中一橫流扇   OUT 外部</t>
  </si>
  <si>
    <t>風扇   ME028-36/DELTA/EFB0512HA-</t>
  </si>
  <si>
    <t>SICK LASER  WT130L-32</t>
  </si>
  <si>
    <t>SICK AMPLIFIER UNIT    WI130T-P720</t>
  </si>
  <si>
    <t>推骰(原點/後極限/前極限) MC-MSX671N-2M</t>
  </si>
  <si>
    <t>前撥片(原點/前極限)MC-MSX954N-2M</t>
  </si>
  <si>
    <t>左撥右撥原點(MC-MSX951N-2M-R)</t>
  </si>
  <si>
    <t>取骰旋臂(原點/後極/前極限)MC-M08-N01-01_D01B</t>
  </si>
  <si>
    <t>整骰壓力感應器(左壓/右壓)MC-M08-N01-01_D01B</t>
  </si>
  <si>
    <t>夾骰原點/夾骰角度原點(MC-M05-N01_D01B)</t>
  </si>
  <si>
    <t>ABC骰在位感應器(EX-14A_D01B)</t>
  </si>
  <si>
    <t>上極限感應器(MC-M08-N01-02_M09B)</t>
  </si>
  <si>
    <t>IVORINE BALL</t>
  </si>
  <si>
    <t>輪盤盤面馬達滾輪</t>
  </si>
  <si>
    <t>MM0020000090</t>
  </si>
  <si>
    <t>高壓軟管   外徑6mm</t>
  </si>
  <si>
    <t>MM0020000404</t>
  </si>
  <si>
    <t>高壓軟管   外徑4mm</t>
  </si>
  <si>
    <t>MM0020001089</t>
  </si>
  <si>
    <t>洗牌機透明牌盒IN</t>
  </si>
  <si>
    <t>MM0020001090</t>
  </si>
  <si>
    <t>洗牌機透明牌盒OUT</t>
  </si>
  <si>
    <t>MM0020001101</t>
  </si>
  <si>
    <t>鏡頭架 (一個料號就一個)</t>
  </si>
  <si>
    <t>SB 辨識鏡頭座 (可裝防撞套件)</t>
  </si>
  <si>
    <t>旗桿組</t>
  </si>
  <si>
    <t>三吸嘴架(左) 莊</t>
  </si>
  <si>
    <t>三吸嘴架(右) 閒</t>
  </si>
  <si>
    <t>機箱 (SB 鐵殼)</t>
  </si>
  <si>
    <t>MM0060000259</t>
  </si>
  <si>
    <t>木製上蓋  (sb big small 使用)</t>
  </si>
  <si>
    <t>MM0090000248</t>
  </si>
  <si>
    <t>招財骰寶木桌</t>
  </si>
  <si>
    <t>撲克牌-SIK</t>
  </si>
  <si>
    <t>撲克牌-招財 (無背面花紋)</t>
  </si>
  <si>
    <t>強力關節臂 9.VD5095(雙截版)</t>
  </si>
  <si>
    <t>蟒蛇夾</t>
  </si>
  <si>
    <t>5/8 " 閉口關節 9.VG5096A</t>
  </si>
  <si>
    <t>三向雲台</t>
  </si>
  <si>
    <t>蟒蛇夾-公頭</t>
  </si>
  <si>
    <t>棚燈腳架  ZENITH ZLS-280 三節超穩大型燈架最高 310cm (已停產)</t>
  </si>
  <si>
    <t>相機腳架  K&amp;F Concept 便攜者</t>
  </si>
  <si>
    <t>棚燈腳架  Paniko PA-280 280cm專業燈架</t>
  </si>
  <si>
    <t>連軸器 SCG-16C-5X5 /招財系列</t>
  </si>
  <si>
    <t>MM0260000076</t>
  </si>
  <si>
    <t>吸盤</t>
  </si>
  <si>
    <t>吸嘴</t>
  </si>
  <si>
    <t>調速閥 AS2200-02</t>
  </si>
  <si>
    <t>轉接頭 尼卜P012,銅1/4P*1/4P</t>
  </si>
  <si>
    <t>濾心</t>
  </si>
  <si>
    <t>MM0260000186</t>
  </si>
  <si>
    <t>空壓過濾器  IDG5-F02-S   (三點式最後一關扁盒)</t>
  </si>
  <si>
    <t>MM0260000190</t>
  </si>
  <si>
    <t>空壓接頭  台制90度快速接頭SPL10-02</t>
  </si>
  <si>
    <t>MM0260000195</t>
  </si>
  <si>
    <t>空壓接頭  台制90度內牙快速接頭 SPLF10-02</t>
  </si>
  <si>
    <t>濾心 AFF EL2B AFF2C專用</t>
  </si>
  <si>
    <t>濾心 AMH EL150 AMH150C專用</t>
  </si>
  <si>
    <t>MM0260000248</t>
  </si>
  <si>
    <t>馬達幫浦消音器  JP-90C 消音器/ROHS</t>
  </si>
  <si>
    <t>消音器濾綿</t>
  </si>
  <si>
    <t>延長管 銅雙內牙接頭PT 1/4" 1/4"</t>
  </si>
  <si>
    <t>圓盤彈性布+PC</t>
  </si>
  <si>
    <t>吸盤(三吸嘴使用)</t>
  </si>
  <si>
    <t>吸嘴 (三吸嘴使用)</t>
  </si>
  <si>
    <t>P3/庫存</t>
  </si>
  <si>
    <t>轉盤TS3617N3E8  P30  (取、放牌升降馬達)</t>
  </si>
  <si>
    <t>轉盤TS3617N3E8  P39 (取、放牌升降馬達)</t>
  </si>
  <si>
    <t>轉盤TS3617N3E8  P37</t>
  </si>
  <si>
    <t>轉盤E2E-X1R5E1   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</si>
</sst>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[$NT$-404]#,##0.00"/>
    <numFmt numFmtId="177" formatCode="m/d/yyyy\ h:mm:ss"/>
    <numFmt numFmtId="178" formatCode="yyyy/m/d\ am/pm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7" fontId="1" fillId="0" borderId="0" xfId="0" applyNumberFormat="1" applyFont="1"/>
    <xf numFmtId="176" fontId="1" fillId="0" borderId="0" xfId="0" applyNumberFormat="1" applyFont="1"/>
    <xf numFmtId="178" fontId="1" fillId="0" borderId="0" xfId="0" applyNumberFormat="1" applyFont="1"/>
  </cellXfs>
  <cellStyles count="1">
    <cellStyle name="一般" xfId="0" builtinId="0"/>
  </cellStyles>
  <dxfs count="21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7">
    <tableStyle name="表單回應 3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庫存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送修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返修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領料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進貨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庫存調整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FFFF"/>
      </a:accent1>
      <a:accent2>
        <a:srgbClr val="FFFFFF"/>
      </a:accent2>
      <a:accent3>
        <a:srgbClr val="FFFFFF"/>
      </a:accent3>
      <a:accent4>
        <a:srgbClr val="FFFFFF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A02A-9914-4F27-ABE3-1247B96BC1E0}">
  <dimension ref="A1:L489"/>
  <sheetViews>
    <sheetView tabSelected="1" workbookViewId="0">
      <selection activeCell="N18" sqref="N18"/>
    </sheetView>
  </sheetViews>
  <sheetFormatPr defaultRowHeight="12.7" x14ac:dyDescent="0.4"/>
  <sheetData>
    <row r="1" spans="1:12" x14ac:dyDescent="0.4">
      <c r="A1" t="s">
        <v>0</v>
      </c>
      <c r="B1" t="s">
        <v>176</v>
      </c>
      <c r="C1" t="s">
        <v>1</v>
      </c>
      <c r="D1" t="s">
        <v>2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</row>
    <row r="2" spans="1:12" x14ac:dyDescent="0.4">
      <c r="A2" t="s">
        <v>16</v>
      </c>
      <c r="B2" t="s">
        <v>185</v>
      </c>
      <c r="C2" t="s">
        <v>173</v>
      </c>
      <c r="D2" t="s">
        <v>507</v>
      </c>
      <c r="E2">
        <v>6</v>
      </c>
      <c r="F2">
        <v>5</v>
      </c>
      <c r="G2">
        <v>0</v>
      </c>
      <c r="H2">
        <v>0</v>
      </c>
      <c r="I2">
        <v>0</v>
      </c>
      <c r="J2">
        <v>0</v>
      </c>
      <c r="K2">
        <v>1</v>
      </c>
    </row>
    <row r="3" spans="1:12" x14ac:dyDescent="0.4">
      <c r="A3" t="s">
        <v>16</v>
      </c>
      <c r="B3" t="s">
        <v>185</v>
      </c>
      <c r="C3" t="s">
        <v>173</v>
      </c>
      <c r="D3" t="s">
        <v>186</v>
      </c>
      <c r="E3">
        <v>6</v>
      </c>
      <c r="F3">
        <v>4</v>
      </c>
      <c r="G3">
        <v>2</v>
      </c>
      <c r="H3">
        <v>2</v>
      </c>
      <c r="I3">
        <v>0</v>
      </c>
      <c r="J3">
        <v>0</v>
      </c>
      <c r="K3">
        <v>2</v>
      </c>
    </row>
    <row r="4" spans="1:12" x14ac:dyDescent="0.4">
      <c r="A4" t="s">
        <v>187</v>
      </c>
      <c r="B4" t="s">
        <v>188</v>
      </c>
      <c r="C4" t="s">
        <v>173</v>
      </c>
      <c r="D4" t="s">
        <v>507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2" x14ac:dyDescent="0.4">
      <c r="A5" t="s">
        <v>187</v>
      </c>
      <c r="B5" t="s">
        <v>188</v>
      </c>
      <c r="C5" t="s">
        <v>173</v>
      </c>
      <c r="D5" t="s">
        <v>186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2" x14ac:dyDescent="0.4">
      <c r="A6" t="s">
        <v>72</v>
      </c>
      <c r="B6" t="s">
        <v>189</v>
      </c>
      <c r="C6" t="s">
        <v>173</v>
      </c>
      <c r="D6" t="s">
        <v>507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</row>
    <row r="7" spans="1:12" x14ac:dyDescent="0.4">
      <c r="A7" t="s">
        <v>72</v>
      </c>
      <c r="B7" t="s">
        <v>189</v>
      </c>
      <c r="C7" t="s">
        <v>173</v>
      </c>
      <c r="D7" t="s">
        <v>186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</row>
    <row r="8" spans="1:12" x14ac:dyDescent="0.4">
      <c r="A8" t="s">
        <v>5</v>
      </c>
      <c r="B8" t="s">
        <v>190</v>
      </c>
      <c r="C8" t="s">
        <v>173</v>
      </c>
      <c r="D8" t="s">
        <v>507</v>
      </c>
      <c r="E8">
        <v>0</v>
      </c>
      <c r="F8">
        <v>3</v>
      </c>
      <c r="G8">
        <v>23</v>
      </c>
      <c r="H8">
        <v>22</v>
      </c>
      <c r="I8">
        <v>0</v>
      </c>
      <c r="J8">
        <v>0</v>
      </c>
      <c r="K8">
        <v>-2</v>
      </c>
    </row>
    <row r="9" spans="1:12" x14ac:dyDescent="0.4">
      <c r="A9" t="s">
        <v>5</v>
      </c>
      <c r="B9" t="s">
        <v>190</v>
      </c>
      <c r="C9" t="s">
        <v>173</v>
      </c>
      <c r="D9" t="s">
        <v>186</v>
      </c>
      <c r="E9">
        <v>0</v>
      </c>
      <c r="F9">
        <v>2</v>
      </c>
      <c r="G9">
        <v>9</v>
      </c>
      <c r="H9">
        <v>4</v>
      </c>
      <c r="I9">
        <v>0</v>
      </c>
      <c r="J9">
        <v>0</v>
      </c>
      <c r="K9">
        <v>3</v>
      </c>
    </row>
    <row r="10" spans="1:12" x14ac:dyDescent="0.4">
      <c r="A10" t="s">
        <v>191</v>
      </c>
      <c r="B10" t="s">
        <v>192</v>
      </c>
      <c r="C10" t="s">
        <v>175</v>
      </c>
      <c r="D10" t="s">
        <v>507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2" x14ac:dyDescent="0.4">
      <c r="A11" t="s">
        <v>191</v>
      </c>
      <c r="B11" t="s">
        <v>192</v>
      </c>
      <c r="C11" t="s">
        <v>175</v>
      </c>
      <c r="D11" t="s">
        <v>186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2" x14ac:dyDescent="0.4">
      <c r="A12" t="s">
        <v>193</v>
      </c>
      <c r="B12" t="s">
        <v>194</v>
      </c>
      <c r="C12" t="s">
        <v>195</v>
      </c>
      <c r="D12" t="s">
        <v>507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2" x14ac:dyDescent="0.4">
      <c r="A13" t="s">
        <v>193</v>
      </c>
      <c r="B13" t="s">
        <v>194</v>
      </c>
      <c r="C13" t="s">
        <v>195</v>
      </c>
      <c r="D13" t="s">
        <v>186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2" x14ac:dyDescent="0.4">
      <c r="A14" t="s">
        <v>196</v>
      </c>
      <c r="B14" t="s">
        <v>197</v>
      </c>
      <c r="C14" t="s">
        <v>195</v>
      </c>
      <c r="D14" t="s">
        <v>507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2" x14ac:dyDescent="0.4">
      <c r="A15" t="s">
        <v>196</v>
      </c>
      <c r="B15" t="s">
        <v>197</v>
      </c>
      <c r="C15" t="s">
        <v>195</v>
      </c>
      <c r="D15" t="s">
        <v>186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2" x14ac:dyDescent="0.4">
      <c r="A16" t="s">
        <v>131</v>
      </c>
      <c r="B16" t="s">
        <v>198</v>
      </c>
      <c r="C16" t="s">
        <v>195</v>
      </c>
      <c r="D16" t="s">
        <v>507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</row>
    <row r="17" spans="1:11" x14ac:dyDescent="0.4">
      <c r="A17" t="s">
        <v>131</v>
      </c>
      <c r="B17" t="s">
        <v>198</v>
      </c>
      <c r="C17" t="s">
        <v>195</v>
      </c>
      <c r="D17" t="s">
        <v>186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 t="s">
        <v>174</v>
      </c>
      <c r="B18" t="s">
        <v>199</v>
      </c>
      <c r="C18" t="s">
        <v>195</v>
      </c>
      <c r="D18" t="s">
        <v>507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 t="s">
        <v>174</v>
      </c>
      <c r="B19" t="s">
        <v>199</v>
      </c>
      <c r="C19" t="s">
        <v>195</v>
      </c>
      <c r="D19" t="s">
        <v>186</v>
      </c>
      <c r="E19">
        <v>2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 t="s">
        <v>65</v>
      </c>
      <c r="B20" t="s">
        <v>200</v>
      </c>
      <c r="C20" t="s">
        <v>201</v>
      </c>
      <c r="D20" t="s">
        <v>507</v>
      </c>
      <c r="E20">
        <v>0</v>
      </c>
      <c r="F20">
        <v>0</v>
      </c>
      <c r="G20">
        <v>0</v>
      </c>
      <c r="H20">
        <v>0</v>
      </c>
      <c r="I20">
        <v>2</v>
      </c>
      <c r="J20">
        <v>3</v>
      </c>
      <c r="K20">
        <v>-1</v>
      </c>
    </row>
    <row r="21" spans="1:11" x14ac:dyDescent="0.4">
      <c r="A21" t="s">
        <v>65</v>
      </c>
      <c r="B21" t="s">
        <v>200</v>
      </c>
      <c r="C21" t="s">
        <v>201</v>
      </c>
      <c r="D21" t="s">
        <v>186</v>
      </c>
      <c r="E21">
        <v>0</v>
      </c>
      <c r="F21">
        <v>0</v>
      </c>
      <c r="G21">
        <v>0</v>
      </c>
      <c r="H21">
        <v>0</v>
      </c>
      <c r="I21">
        <v>23</v>
      </c>
      <c r="J21">
        <v>22</v>
      </c>
      <c r="K21">
        <v>1</v>
      </c>
    </row>
    <row r="22" spans="1:11" x14ac:dyDescent="0.4">
      <c r="A22" t="s">
        <v>202</v>
      </c>
      <c r="B22" t="s">
        <v>203</v>
      </c>
      <c r="C22" t="s">
        <v>195</v>
      </c>
      <c r="D22" t="s">
        <v>507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 t="s">
        <v>202</v>
      </c>
      <c r="B23" t="s">
        <v>203</v>
      </c>
      <c r="C23" t="s">
        <v>195</v>
      </c>
      <c r="D23" t="s">
        <v>186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 t="s">
        <v>170</v>
      </c>
      <c r="B24" t="s">
        <v>204</v>
      </c>
      <c r="C24" t="s">
        <v>195</v>
      </c>
      <c r="D24" t="s">
        <v>507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</row>
    <row r="25" spans="1:11" x14ac:dyDescent="0.4">
      <c r="A25" t="s">
        <v>170</v>
      </c>
      <c r="B25" t="s">
        <v>205</v>
      </c>
      <c r="C25" t="s">
        <v>195</v>
      </c>
      <c r="D25" t="s">
        <v>186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</row>
    <row r="26" spans="1:11" x14ac:dyDescent="0.4">
      <c r="A26" t="s">
        <v>39</v>
      </c>
      <c r="B26" t="s">
        <v>206</v>
      </c>
      <c r="C26" t="s">
        <v>195</v>
      </c>
      <c r="D26" t="s">
        <v>507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</row>
    <row r="27" spans="1:11" x14ac:dyDescent="0.4">
      <c r="A27" t="s">
        <v>39</v>
      </c>
      <c r="B27" t="s">
        <v>206</v>
      </c>
      <c r="C27" t="s">
        <v>195</v>
      </c>
      <c r="D27" t="s">
        <v>186</v>
      </c>
      <c r="E27">
        <v>2</v>
      </c>
      <c r="F27">
        <v>2</v>
      </c>
      <c r="G27">
        <v>2</v>
      </c>
      <c r="H27">
        <v>1</v>
      </c>
      <c r="I27">
        <v>0</v>
      </c>
      <c r="J27">
        <v>1</v>
      </c>
      <c r="K27">
        <v>0</v>
      </c>
    </row>
    <row r="28" spans="1:11" x14ac:dyDescent="0.4">
      <c r="A28" t="s">
        <v>155</v>
      </c>
      <c r="B28" t="s">
        <v>207</v>
      </c>
      <c r="C28" t="s">
        <v>201</v>
      </c>
      <c r="D28" t="s">
        <v>507</v>
      </c>
      <c r="E28">
        <v>1</v>
      </c>
      <c r="F28">
        <v>0</v>
      </c>
      <c r="G28">
        <v>0</v>
      </c>
      <c r="H28">
        <v>0</v>
      </c>
      <c r="I28">
        <v>1</v>
      </c>
      <c r="J28">
        <v>2</v>
      </c>
      <c r="K28">
        <v>0</v>
      </c>
    </row>
    <row r="29" spans="1:11" x14ac:dyDescent="0.4">
      <c r="A29" t="s">
        <v>155</v>
      </c>
      <c r="B29" t="s">
        <v>207</v>
      </c>
      <c r="C29" t="s">
        <v>201</v>
      </c>
      <c r="D29" t="s">
        <v>186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</row>
    <row r="30" spans="1:11" x14ac:dyDescent="0.4">
      <c r="A30" t="s">
        <v>97</v>
      </c>
      <c r="B30" t="s">
        <v>208</v>
      </c>
      <c r="C30" t="s">
        <v>80</v>
      </c>
      <c r="D30" t="s">
        <v>507</v>
      </c>
      <c r="E30">
        <v>6</v>
      </c>
      <c r="F30">
        <v>0</v>
      </c>
      <c r="G30">
        <v>0</v>
      </c>
      <c r="H30">
        <v>0</v>
      </c>
      <c r="I30">
        <v>11</v>
      </c>
      <c r="J30">
        <v>19</v>
      </c>
      <c r="K30">
        <v>-2</v>
      </c>
    </row>
    <row r="31" spans="1:11" x14ac:dyDescent="0.4">
      <c r="A31" t="s">
        <v>97</v>
      </c>
      <c r="B31" t="s">
        <v>208</v>
      </c>
      <c r="C31" t="s">
        <v>80</v>
      </c>
      <c r="D31" t="s">
        <v>186</v>
      </c>
      <c r="E31">
        <v>6</v>
      </c>
      <c r="F31">
        <v>0</v>
      </c>
      <c r="G31">
        <v>0</v>
      </c>
      <c r="H31">
        <v>0</v>
      </c>
      <c r="I31">
        <v>26</v>
      </c>
      <c r="J31">
        <v>30</v>
      </c>
      <c r="K31">
        <v>2</v>
      </c>
    </row>
    <row r="32" spans="1:11" x14ac:dyDescent="0.4">
      <c r="A32" t="s">
        <v>92</v>
      </c>
      <c r="B32" t="s">
        <v>209</v>
      </c>
      <c r="C32" t="s">
        <v>201</v>
      </c>
      <c r="D32" t="s">
        <v>507</v>
      </c>
      <c r="E32">
        <v>1</v>
      </c>
      <c r="F32">
        <v>0</v>
      </c>
      <c r="G32">
        <v>1</v>
      </c>
      <c r="H32">
        <v>0</v>
      </c>
      <c r="I32">
        <v>0</v>
      </c>
      <c r="J32">
        <v>2</v>
      </c>
      <c r="K32">
        <v>0</v>
      </c>
    </row>
    <row r="33" spans="1:11" x14ac:dyDescent="0.4">
      <c r="A33" t="s">
        <v>92</v>
      </c>
      <c r="B33" t="s">
        <v>209</v>
      </c>
      <c r="C33" t="s">
        <v>201</v>
      </c>
      <c r="D33" t="s">
        <v>186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 t="s">
        <v>134</v>
      </c>
      <c r="B34" t="s">
        <v>210</v>
      </c>
      <c r="C34" t="s">
        <v>201</v>
      </c>
      <c r="D34" t="s">
        <v>507</v>
      </c>
      <c r="E34">
        <v>12</v>
      </c>
      <c r="F34">
        <v>0</v>
      </c>
      <c r="G34">
        <v>0</v>
      </c>
      <c r="H34">
        <v>0</v>
      </c>
      <c r="I34">
        <v>22</v>
      </c>
      <c r="J34">
        <v>41</v>
      </c>
      <c r="K34">
        <v>-7</v>
      </c>
    </row>
    <row r="35" spans="1:11" x14ac:dyDescent="0.4">
      <c r="A35" t="s">
        <v>134</v>
      </c>
      <c r="B35" t="s">
        <v>210</v>
      </c>
      <c r="C35" t="s">
        <v>201</v>
      </c>
      <c r="D35" t="s">
        <v>186</v>
      </c>
      <c r="E35">
        <v>32</v>
      </c>
      <c r="F35">
        <v>0</v>
      </c>
      <c r="G35">
        <v>0</v>
      </c>
      <c r="H35">
        <v>0</v>
      </c>
      <c r="I35">
        <v>64</v>
      </c>
      <c r="J35">
        <v>90</v>
      </c>
      <c r="K35">
        <v>6</v>
      </c>
    </row>
    <row r="36" spans="1:11" x14ac:dyDescent="0.4">
      <c r="A36" t="s">
        <v>211</v>
      </c>
      <c r="B36" t="s">
        <v>212</v>
      </c>
      <c r="C36" t="s">
        <v>213</v>
      </c>
      <c r="D36" t="s">
        <v>507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 t="s">
        <v>211</v>
      </c>
      <c r="B37" t="s">
        <v>212</v>
      </c>
      <c r="C37" t="s">
        <v>213</v>
      </c>
      <c r="D37" t="s">
        <v>186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 t="s">
        <v>166</v>
      </c>
      <c r="B38" t="s">
        <v>214</v>
      </c>
      <c r="C38" t="s">
        <v>213</v>
      </c>
      <c r="D38" t="s">
        <v>507</v>
      </c>
      <c r="E38">
        <v>4</v>
      </c>
      <c r="F38">
        <v>0</v>
      </c>
      <c r="G38">
        <v>0</v>
      </c>
      <c r="H38">
        <v>0</v>
      </c>
      <c r="I38">
        <v>4</v>
      </c>
      <c r="J38">
        <v>4</v>
      </c>
      <c r="K38">
        <v>4</v>
      </c>
    </row>
    <row r="39" spans="1:11" x14ac:dyDescent="0.4">
      <c r="A39" t="s">
        <v>166</v>
      </c>
      <c r="B39" t="s">
        <v>214</v>
      </c>
      <c r="C39" t="s">
        <v>213</v>
      </c>
      <c r="D39" t="s">
        <v>186</v>
      </c>
      <c r="E39">
        <v>8</v>
      </c>
      <c r="F39">
        <v>0</v>
      </c>
      <c r="G39">
        <v>0</v>
      </c>
      <c r="H39">
        <v>0</v>
      </c>
      <c r="I39">
        <v>4</v>
      </c>
      <c r="J39">
        <v>8</v>
      </c>
      <c r="K39">
        <v>4</v>
      </c>
    </row>
    <row r="40" spans="1:11" x14ac:dyDescent="0.4">
      <c r="A40" t="s">
        <v>215</v>
      </c>
      <c r="B40" t="s">
        <v>216</v>
      </c>
      <c r="C40" t="s">
        <v>195</v>
      </c>
      <c r="D40" t="s">
        <v>507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 t="s">
        <v>215</v>
      </c>
      <c r="B41" t="s">
        <v>216</v>
      </c>
      <c r="C41" t="s">
        <v>195</v>
      </c>
      <c r="D41" t="s">
        <v>186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 t="s">
        <v>217</v>
      </c>
      <c r="B42" t="s">
        <v>218</v>
      </c>
      <c r="C42" t="s">
        <v>175</v>
      </c>
      <c r="D42" t="s">
        <v>507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 t="s">
        <v>217</v>
      </c>
      <c r="B43" t="s">
        <v>218</v>
      </c>
      <c r="C43" t="s">
        <v>175</v>
      </c>
      <c r="D43" t="s">
        <v>186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 t="s">
        <v>66</v>
      </c>
      <c r="B44" t="s">
        <v>219</v>
      </c>
      <c r="C44" t="s">
        <v>175</v>
      </c>
      <c r="D44" t="s">
        <v>507</v>
      </c>
      <c r="E44">
        <v>2</v>
      </c>
      <c r="F44">
        <v>3</v>
      </c>
      <c r="G44">
        <v>2</v>
      </c>
      <c r="H44">
        <v>2</v>
      </c>
      <c r="I44">
        <v>4</v>
      </c>
      <c r="J44">
        <v>2</v>
      </c>
      <c r="K44">
        <v>1</v>
      </c>
    </row>
    <row r="45" spans="1:11" x14ac:dyDescent="0.4">
      <c r="A45" t="s">
        <v>66</v>
      </c>
      <c r="B45" t="s">
        <v>219</v>
      </c>
      <c r="C45" t="s">
        <v>175</v>
      </c>
      <c r="D45" t="s">
        <v>186</v>
      </c>
      <c r="E45">
        <v>1</v>
      </c>
      <c r="F45">
        <v>2</v>
      </c>
      <c r="G45">
        <v>3</v>
      </c>
      <c r="H45">
        <v>3</v>
      </c>
      <c r="I45">
        <v>1</v>
      </c>
      <c r="J45">
        <v>0</v>
      </c>
      <c r="K45">
        <v>0</v>
      </c>
    </row>
    <row r="46" spans="1:11" x14ac:dyDescent="0.4">
      <c r="A46" t="s">
        <v>220</v>
      </c>
      <c r="B46" t="s">
        <v>221</v>
      </c>
      <c r="C46" t="s">
        <v>195</v>
      </c>
      <c r="D46" t="s">
        <v>507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 t="s">
        <v>220</v>
      </c>
      <c r="B47" t="s">
        <v>221</v>
      </c>
      <c r="C47" t="s">
        <v>195</v>
      </c>
      <c r="D47" t="s">
        <v>186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 t="s">
        <v>130</v>
      </c>
      <c r="B48" t="s">
        <v>222</v>
      </c>
      <c r="C48" t="s">
        <v>201</v>
      </c>
      <c r="D48" t="s">
        <v>507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</row>
    <row r="49" spans="1:12" x14ac:dyDescent="0.4">
      <c r="A49" t="s">
        <v>130</v>
      </c>
      <c r="B49" t="s">
        <v>222</v>
      </c>
      <c r="C49" t="s">
        <v>201</v>
      </c>
      <c r="D49" t="s">
        <v>186</v>
      </c>
      <c r="E49">
        <v>2</v>
      </c>
      <c r="F49">
        <v>0</v>
      </c>
      <c r="G49">
        <v>0</v>
      </c>
      <c r="H49">
        <v>0</v>
      </c>
      <c r="I49">
        <v>0</v>
      </c>
      <c r="J49">
        <v>2</v>
      </c>
      <c r="K49">
        <v>0</v>
      </c>
    </row>
    <row r="50" spans="1:12" x14ac:dyDescent="0.4">
      <c r="A50" t="s">
        <v>7</v>
      </c>
      <c r="B50" t="s">
        <v>223</v>
      </c>
      <c r="C50" t="s">
        <v>175</v>
      </c>
      <c r="D50" t="s">
        <v>507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-1</v>
      </c>
    </row>
    <row r="51" spans="1:12" x14ac:dyDescent="0.4">
      <c r="A51" t="s">
        <v>7</v>
      </c>
      <c r="B51" t="s">
        <v>223</v>
      </c>
      <c r="C51" t="s">
        <v>175</v>
      </c>
      <c r="D51" t="s">
        <v>186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-1</v>
      </c>
    </row>
    <row r="52" spans="1:12" x14ac:dyDescent="0.4">
      <c r="A52" t="s">
        <v>224</v>
      </c>
      <c r="B52" t="s">
        <v>225</v>
      </c>
      <c r="C52" t="s">
        <v>175</v>
      </c>
      <c r="D52" t="s">
        <v>507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2" x14ac:dyDescent="0.4">
      <c r="A53" t="s">
        <v>224</v>
      </c>
      <c r="B53" t="s">
        <v>225</v>
      </c>
      <c r="C53" t="s">
        <v>175</v>
      </c>
      <c r="D53" t="s">
        <v>186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2" x14ac:dyDescent="0.4">
      <c r="A54" t="s">
        <v>45</v>
      </c>
      <c r="B54" t="s">
        <v>226</v>
      </c>
      <c r="C54" t="s">
        <v>175</v>
      </c>
      <c r="D54" t="s">
        <v>507</v>
      </c>
      <c r="E54">
        <v>2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227</v>
      </c>
    </row>
    <row r="55" spans="1:12" x14ac:dyDescent="0.4">
      <c r="A55" t="s">
        <v>45</v>
      </c>
      <c r="B55" t="s">
        <v>226</v>
      </c>
      <c r="C55" t="s">
        <v>175</v>
      </c>
      <c r="D55" t="s">
        <v>186</v>
      </c>
      <c r="E55">
        <v>2</v>
      </c>
      <c r="F55">
        <v>2</v>
      </c>
      <c r="G55">
        <v>0</v>
      </c>
      <c r="H55">
        <v>0</v>
      </c>
      <c r="I55">
        <v>1</v>
      </c>
      <c r="J55">
        <v>1</v>
      </c>
      <c r="K55">
        <v>0</v>
      </c>
    </row>
    <row r="56" spans="1:12" x14ac:dyDescent="0.4">
      <c r="A56" t="s">
        <v>59</v>
      </c>
      <c r="B56" t="s">
        <v>228</v>
      </c>
      <c r="C56" t="s">
        <v>175</v>
      </c>
      <c r="D56" t="s">
        <v>507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-2</v>
      </c>
    </row>
    <row r="57" spans="1:12" x14ac:dyDescent="0.4">
      <c r="A57" t="s">
        <v>59</v>
      </c>
      <c r="B57" t="s">
        <v>228</v>
      </c>
      <c r="C57" t="s">
        <v>175</v>
      </c>
      <c r="D57" t="s">
        <v>186</v>
      </c>
      <c r="E57">
        <v>0</v>
      </c>
      <c r="F57">
        <v>2</v>
      </c>
      <c r="G57">
        <v>0</v>
      </c>
      <c r="H57">
        <v>0</v>
      </c>
      <c r="I57">
        <v>1</v>
      </c>
      <c r="J57">
        <v>0</v>
      </c>
      <c r="K57">
        <v>-1</v>
      </c>
    </row>
    <row r="58" spans="1:12" x14ac:dyDescent="0.4">
      <c r="A58" t="s">
        <v>22</v>
      </c>
      <c r="B58" t="s">
        <v>229</v>
      </c>
      <c r="C58" t="s">
        <v>175</v>
      </c>
      <c r="D58" t="s">
        <v>507</v>
      </c>
      <c r="E58">
        <v>23</v>
      </c>
      <c r="F58">
        <v>8</v>
      </c>
      <c r="G58">
        <v>3</v>
      </c>
      <c r="H58">
        <v>3</v>
      </c>
      <c r="I58">
        <v>43</v>
      </c>
      <c r="J58">
        <v>4</v>
      </c>
      <c r="K58">
        <v>54</v>
      </c>
    </row>
    <row r="59" spans="1:12" x14ac:dyDescent="0.4">
      <c r="A59" t="s">
        <v>22</v>
      </c>
      <c r="B59" t="s">
        <v>229</v>
      </c>
      <c r="C59" t="s">
        <v>175</v>
      </c>
      <c r="D59" t="s">
        <v>186</v>
      </c>
      <c r="E59">
        <v>107</v>
      </c>
      <c r="F59">
        <v>0</v>
      </c>
      <c r="G59">
        <v>2</v>
      </c>
      <c r="H59">
        <v>1</v>
      </c>
      <c r="I59">
        <v>7</v>
      </c>
      <c r="J59">
        <v>2</v>
      </c>
      <c r="K59">
        <v>113</v>
      </c>
    </row>
    <row r="60" spans="1:12" x14ac:dyDescent="0.4">
      <c r="A60" t="s">
        <v>53</v>
      </c>
      <c r="B60" t="s">
        <v>230</v>
      </c>
      <c r="C60" t="s">
        <v>175</v>
      </c>
      <c r="D60" t="s">
        <v>507</v>
      </c>
      <c r="E60">
        <v>0</v>
      </c>
      <c r="F60">
        <v>0</v>
      </c>
      <c r="G60">
        <v>4</v>
      </c>
      <c r="H60">
        <v>4</v>
      </c>
      <c r="I60">
        <v>4</v>
      </c>
      <c r="J60">
        <v>2</v>
      </c>
      <c r="K60">
        <v>2</v>
      </c>
    </row>
    <row r="61" spans="1:12" x14ac:dyDescent="0.4">
      <c r="A61" t="s">
        <v>53</v>
      </c>
      <c r="B61" t="s">
        <v>230</v>
      </c>
      <c r="C61" t="s">
        <v>175</v>
      </c>
      <c r="D61" t="s">
        <v>186</v>
      </c>
      <c r="E61">
        <v>0</v>
      </c>
      <c r="F61">
        <v>0</v>
      </c>
      <c r="G61">
        <v>1</v>
      </c>
      <c r="H61">
        <v>0</v>
      </c>
      <c r="I61">
        <v>0</v>
      </c>
      <c r="J61">
        <v>4</v>
      </c>
      <c r="K61">
        <v>-3</v>
      </c>
    </row>
    <row r="62" spans="1:12" x14ac:dyDescent="0.4">
      <c r="A62" t="s">
        <v>57</v>
      </c>
      <c r="B62" t="s">
        <v>231</v>
      </c>
      <c r="C62" t="s">
        <v>175</v>
      </c>
      <c r="D62" t="s">
        <v>507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 t="s">
        <v>232</v>
      </c>
    </row>
    <row r="63" spans="1:12" x14ac:dyDescent="0.4">
      <c r="A63" t="s">
        <v>57</v>
      </c>
      <c r="B63" t="s">
        <v>231</v>
      </c>
      <c r="C63" t="s">
        <v>175</v>
      </c>
      <c r="D63" t="s">
        <v>186</v>
      </c>
      <c r="E63">
        <v>0</v>
      </c>
      <c r="F63">
        <v>0</v>
      </c>
      <c r="G63">
        <v>0</v>
      </c>
      <c r="H63">
        <v>0</v>
      </c>
      <c r="I63">
        <v>5</v>
      </c>
      <c r="J63">
        <v>0</v>
      </c>
      <c r="K63">
        <v>5</v>
      </c>
    </row>
    <row r="64" spans="1:12" x14ac:dyDescent="0.4">
      <c r="A64" t="s">
        <v>58</v>
      </c>
      <c r="B64" t="s">
        <v>233</v>
      </c>
      <c r="C64" t="s">
        <v>195</v>
      </c>
      <c r="D64" t="s">
        <v>507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</row>
    <row r="65" spans="1:11" x14ac:dyDescent="0.4">
      <c r="A65" t="s">
        <v>58</v>
      </c>
      <c r="B65" t="s">
        <v>233</v>
      </c>
      <c r="C65" t="s">
        <v>195</v>
      </c>
      <c r="D65" t="s">
        <v>186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 t="s">
        <v>67</v>
      </c>
      <c r="B66" t="s">
        <v>234</v>
      </c>
      <c r="C66" t="s">
        <v>175</v>
      </c>
      <c r="D66" t="s">
        <v>507</v>
      </c>
      <c r="E66">
        <v>4</v>
      </c>
      <c r="F66">
        <v>0</v>
      </c>
      <c r="G66">
        <v>0</v>
      </c>
      <c r="H66">
        <v>0</v>
      </c>
      <c r="I66">
        <v>194</v>
      </c>
      <c r="J66">
        <v>200</v>
      </c>
      <c r="K66">
        <v>-2</v>
      </c>
    </row>
    <row r="67" spans="1:11" x14ac:dyDescent="0.4">
      <c r="A67" t="s">
        <v>67</v>
      </c>
      <c r="B67" t="s">
        <v>234</v>
      </c>
      <c r="C67" t="s">
        <v>175</v>
      </c>
      <c r="D67" t="s">
        <v>186</v>
      </c>
      <c r="E67">
        <v>7</v>
      </c>
      <c r="F67">
        <v>0</v>
      </c>
      <c r="G67">
        <v>0</v>
      </c>
      <c r="H67">
        <v>0</v>
      </c>
      <c r="I67">
        <v>275</v>
      </c>
      <c r="J67">
        <v>280</v>
      </c>
      <c r="K67">
        <v>2</v>
      </c>
    </row>
    <row r="68" spans="1:11" x14ac:dyDescent="0.4">
      <c r="A68" t="s">
        <v>68</v>
      </c>
      <c r="B68" t="s">
        <v>235</v>
      </c>
      <c r="C68" t="s">
        <v>175</v>
      </c>
      <c r="D68" t="s">
        <v>507</v>
      </c>
      <c r="E68">
        <v>4</v>
      </c>
      <c r="F68">
        <v>0</v>
      </c>
      <c r="G68">
        <v>0</v>
      </c>
      <c r="H68">
        <v>0</v>
      </c>
      <c r="I68">
        <v>191</v>
      </c>
      <c r="J68">
        <v>200</v>
      </c>
      <c r="K68">
        <v>-5</v>
      </c>
    </row>
    <row r="69" spans="1:11" x14ac:dyDescent="0.4">
      <c r="A69" t="s">
        <v>68</v>
      </c>
      <c r="B69" t="s">
        <v>235</v>
      </c>
      <c r="C69" t="s">
        <v>175</v>
      </c>
      <c r="D69" t="s">
        <v>186</v>
      </c>
      <c r="E69">
        <v>8</v>
      </c>
      <c r="F69">
        <v>0</v>
      </c>
      <c r="G69">
        <v>0</v>
      </c>
      <c r="H69">
        <v>0</v>
      </c>
      <c r="I69">
        <v>276</v>
      </c>
      <c r="J69">
        <v>280</v>
      </c>
      <c r="K69">
        <v>4</v>
      </c>
    </row>
    <row r="70" spans="1:11" x14ac:dyDescent="0.4">
      <c r="A70" t="s">
        <v>77</v>
      </c>
      <c r="B70" t="s">
        <v>236</v>
      </c>
      <c r="C70" t="s">
        <v>175</v>
      </c>
      <c r="D70" t="s">
        <v>507</v>
      </c>
      <c r="E70">
        <v>6</v>
      </c>
      <c r="F70">
        <v>0</v>
      </c>
      <c r="G70">
        <v>0</v>
      </c>
      <c r="H70">
        <v>0</v>
      </c>
      <c r="I70">
        <v>2</v>
      </c>
      <c r="J70">
        <v>8</v>
      </c>
      <c r="K70">
        <v>0</v>
      </c>
    </row>
    <row r="71" spans="1:11" x14ac:dyDescent="0.4">
      <c r="A71" t="s">
        <v>77</v>
      </c>
      <c r="B71" t="s">
        <v>236</v>
      </c>
      <c r="C71" t="s">
        <v>175</v>
      </c>
      <c r="D71" t="s">
        <v>186</v>
      </c>
      <c r="E71">
        <v>1</v>
      </c>
      <c r="F71">
        <v>0</v>
      </c>
      <c r="G71">
        <v>0</v>
      </c>
      <c r="H71">
        <v>0</v>
      </c>
      <c r="I71">
        <v>5</v>
      </c>
      <c r="J71">
        <v>8</v>
      </c>
      <c r="K71">
        <v>-2</v>
      </c>
    </row>
    <row r="72" spans="1:11" x14ac:dyDescent="0.4">
      <c r="A72" t="s">
        <v>159</v>
      </c>
      <c r="B72" t="s">
        <v>237</v>
      </c>
      <c r="C72" t="s">
        <v>173</v>
      </c>
      <c r="D72" t="s">
        <v>507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-1</v>
      </c>
    </row>
    <row r="73" spans="1:11" x14ac:dyDescent="0.4">
      <c r="A73" t="s">
        <v>159</v>
      </c>
      <c r="B73" t="s">
        <v>238</v>
      </c>
      <c r="C73" t="s">
        <v>173</v>
      </c>
      <c r="D73" t="s">
        <v>186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 t="s">
        <v>160</v>
      </c>
      <c r="B74" t="s">
        <v>239</v>
      </c>
      <c r="C74" t="s">
        <v>173</v>
      </c>
      <c r="D74" t="s">
        <v>507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-1</v>
      </c>
    </row>
    <row r="75" spans="1:11" x14ac:dyDescent="0.4">
      <c r="A75" t="s">
        <v>160</v>
      </c>
      <c r="B75" t="s">
        <v>239</v>
      </c>
      <c r="C75" t="s">
        <v>173</v>
      </c>
      <c r="D75" t="s">
        <v>186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 t="s">
        <v>161</v>
      </c>
      <c r="B76" t="s">
        <v>240</v>
      </c>
      <c r="C76" t="s">
        <v>173</v>
      </c>
      <c r="D76" t="s">
        <v>507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-1</v>
      </c>
    </row>
    <row r="77" spans="1:11" x14ac:dyDescent="0.4">
      <c r="A77" t="s">
        <v>161</v>
      </c>
      <c r="B77" t="s">
        <v>240</v>
      </c>
      <c r="C77" t="s">
        <v>173</v>
      </c>
      <c r="D77" t="s">
        <v>186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 t="s">
        <v>162</v>
      </c>
      <c r="B78" t="s">
        <v>241</v>
      </c>
      <c r="C78" t="s">
        <v>173</v>
      </c>
      <c r="D78" t="s">
        <v>507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-1</v>
      </c>
    </row>
    <row r="79" spans="1:11" x14ac:dyDescent="0.4">
      <c r="A79" t="s">
        <v>162</v>
      </c>
      <c r="B79" t="s">
        <v>241</v>
      </c>
      <c r="C79" t="s">
        <v>173</v>
      </c>
      <c r="D79" t="s">
        <v>186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 t="s">
        <v>163</v>
      </c>
      <c r="B80" t="s">
        <v>242</v>
      </c>
      <c r="C80" t="s">
        <v>173</v>
      </c>
      <c r="D80" t="s">
        <v>507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-1</v>
      </c>
    </row>
    <row r="81" spans="1:11" x14ac:dyDescent="0.4">
      <c r="A81" t="s">
        <v>163</v>
      </c>
      <c r="B81" t="s">
        <v>242</v>
      </c>
      <c r="C81" t="s">
        <v>173</v>
      </c>
      <c r="D81" t="s">
        <v>186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 t="s">
        <v>243</v>
      </c>
      <c r="B82" t="s">
        <v>244</v>
      </c>
      <c r="C82" t="s">
        <v>195</v>
      </c>
      <c r="D82" t="s">
        <v>507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 t="s">
        <v>243</v>
      </c>
      <c r="B83" t="s">
        <v>244</v>
      </c>
      <c r="C83" t="s">
        <v>195</v>
      </c>
      <c r="D83" t="s">
        <v>186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 t="s">
        <v>19</v>
      </c>
      <c r="B84" t="s">
        <v>245</v>
      </c>
      <c r="C84" t="s">
        <v>175</v>
      </c>
      <c r="D84" t="s">
        <v>507</v>
      </c>
      <c r="E84">
        <v>17</v>
      </c>
      <c r="F84">
        <v>22</v>
      </c>
      <c r="G84">
        <v>0</v>
      </c>
      <c r="H84">
        <v>0</v>
      </c>
      <c r="I84">
        <v>6</v>
      </c>
      <c r="J84">
        <v>0</v>
      </c>
      <c r="K84">
        <v>1</v>
      </c>
    </row>
    <row r="85" spans="1:11" x14ac:dyDescent="0.4">
      <c r="A85" t="s">
        <v>19</v>
      </c>
      <c r="B85" t="s">
        <v>245</v>
      </c>
      <c r="C85" t="s">
        <v>175</v>
      </c>
      <c r="D85" t="s">
        <v>186</v>
      </c>
      <c r="E85">
        <v>36</v>
      </c>
      <c r="F85">
        <v>33</v>
      </c>
      <c r="G85">
        <v>0</v>
      </c>
      <c r="H85">
        <v>0</v>
      </c>
      <c r="I85">
        <v>1</v>
      </c>
      <c r="J85">
        <v>0</v>
      </c>
      <c r="K85">
        <v>4</v>
      </c>
    </row>
    <row r="86" spans="1:11" x14ac:dyDescent="0.4">
      <c r="A86" t="s">
        <v>14</v>
      </c>
      <c r="B86" t="s">
        <v>246</v>
      </c>
      <c r="C86" t="s">
        <v>175</v>
      </c>
      <c r="D86" t="s">
        <v>507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</row>
    <row r="87" spans="1:11" x14ac:dyDescent="0.4">
      <c r="A87" t="s">
        <v>14</v>
      </c>
      <c r="B87" t="s">
        <v>246</v>
      </c>
      <c r="C87" t="s">
        <v>175</v>
      </c>
      <c r="D87" t="s">
        <v>186</v>
      </c>
      <c r="E87">
        <v>3</v>
      </c>
      <c r="F87">
        <v>2</v>
      </c>
      <c r="G87">
        <v>0</v>
      </c>
      <c r="H87">
        <v>0</v>
      </c>
      <c r="I87">
        <v>1</v>
      </c>
      <c r="J87">
        <v>0</v>
      </c>
      <c r="K87">
        <v>2</v>
      </c>
    </row>
    <row r="88" spans="1:11" x14ac:dyDescent="0.4">
      <c r="A88" t="s">
        <v>20</v>
      </c>
      <c r="B88" t="s">
        <v>247</v>
      </c>
      <c r="C88" t="s">
        <v>175</v>
      </c>
      <c r="D88" t="s">
        <v>507</v>
      </c>
      <c r="E88">
        <v>3</v>
      </c>
      <c r="F88">
        <v>2</v>
      </c>
      <c r="G88">
        <v>0</v>
      </c>
      <c r="H88">
        <v>0</v>
      </c>
      <c r="I88">
        <v>0</v>
      </c>
      <c r="J88">
        <v>0</v>
      </c>
      <c r="K88">
        <v>1</v>
      </c>
    </row>
    <row r="89" spans="1:11" x14ac:dyDescent="0.4">
      <c r="A89" t="s">
        <v>20</v>
      </c>
      <c r="B89" t="s">
        <v>247</v>
      </c>
      <c r="C89" t="s">
        <v>175</v>
      </c>
      <c r="D89" t="s">
        <v>186</v>
      </c>
      <c r="E89">
        <v>3</v>
      </c>
      <c r="F89">
        <v>2</v>
      </c>
      <c r="G89">
        <v>0</v>
      </c>
      <c r="H89">
        <v>0</v>
      </c>
      <c r="I89">
        <v>0</v>
      </c>
      <c r="J89">
        <v>0</v>
      </c>
      <c r="K89">
        <v>1</v>
      </c>
    </row>
    <row r="90" spans="1:11" x14ac:dyDescent="0.4">
      <c r="A90" t="s">
        <v>11</v>
      </c>
      <c r="B90" t="s">
        <v>248</v>
      </c>
      <c r="C90" t="s">
        <v>175</v>
      </c>
      <c r="D90" t="s">
        <v>507</v>
      </c>
      <c r="E90">
        <v>3</v>
      </c>
      <c r="F90">
        <v>0</v>
      </c>
      <c r="G90">
        <v>1</v>
      </c>
      <c r="H90">
        <v>1</v>
      </c>
      <c r="I90">
        <v>0</v>
      </c>
      <c r="J90">
        <v>1</v>
      </c>
      <c r="K90">
        <v>2</v>
      </c>
    </row>
    <row r="91" spans="1:11" x14ac:dyDescent="0.4">
      <c r="A91" t="s">
        <v>11</v>
      </c>
      <c r="B91" t="s">
        <v>248</v>
      </c>
      <c r="C91" t="s">
        <v>175</v>
      </c>
      <c r="D91" t="s">
        <v>186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 t="s">
        <v>47</v>
      </c>
      <c r="B92" t="s">
        <v>249</v>
      </c>
      <c r="C92" t="s">
        <v>175</v>
      </c>
      <c r="D92" t="s">
        <v>507</v>
      </c>
      <c r="E92">
        <v>31</v>
      </c>
      <c r="F92">
        <v>0</v>
      </c>
      <c r="G92">
        <v>0</v>
      </c>
      <c r="H92">
        <v>0</v>
      </c>
      <c r="I92">
        <v>2</v>
      </c>
      <c r="J92">
        <v>2</v>
      </c>
      <c r="K92">
        <v>31</v>
      </c>
    </row>
    <row r="93" spans="1:11" x14ac:dyDescent="0.4">
      <c r="A93" t="s">
        <v>47</v>
      </c>
      <c r="B93" t="s">
        <v>249</v>
      </c>
      <c r="C93" t="s">
        <v>175</v>
      </c>
      <c r="D93" t="s">
        <v>186</v>
      </c>
      <c r="E93">
        <v>40</v>
      </c>
      <c r="F93">
        <v>0</v>
      </c>
      <c r="G93">
        <v>0</v>
      </c>
      <c r="H93">
        <v>0</v>
      </c>
      <c r="I93">
        <v>1</v>
      </c>
      <c r="J93">
        <v>1</v>
      </c>
      <c r="K93">
        <v>40</v>
      </c>
    </row>
    <row r="94" spans="1:11" x14ac:dyDescent="0.4">
      <c r="A94" t="s">
        <v>28</v>
      </c>
      <c r="B94" t="s">
        <v>250</v>
      </c>
      <c r="C94" t="s">
        <v>175</v>
      </c>
      <c r="D94" t="s">
        <v>507</v>
      </c>
      <c r="E94">
        <v>2</v>
      </c>
      <c r="F94">
        <v>3</v>
      </c>
      <c r="G94">
        <v>0</v>
      </c>
      <c r="H94">
        <v>0</v>
      </c>
      <c r="I94">
        <v>4</v>
      </c>
      <c r="J94">
        <v>1</v>
      </c>
      <c r="K94">
        <v>2</v>
      </c>
    </row>
    <row r="95" spans="1:11" x14ac:dyDescent="0.4">
      <c r="A95" t="s">
        <v>28</v>
      </c>
      <c r="B95" t="s">
        <v>250</v>
      </c>
      <c r="C95" t="s">
        <v>175</v>
      </c>
      <c r="D95" t="s">
        <v>186</v>
      </c>
      <c r="E95">
        <v>4</v>
      </c>
      <c r="F95">
        <v>2</v>
      </c>
      <c r="G95">
        <v>0</v>
      </c>
      <c r="H95">
        <v>0</v>
      </c>
      <c r="I95">
        <v>3</v>
      </c>
      <c r="J95">
        <v>2</v>
      </c>
      <c r="K95">
        <v>3</v>
      </c>
    </row>
    <row r="96" spans="1:11" x14ac:dyDescent="0.4">
      <c r="A96" t="s">
        <v>251</v>
      </c>
      <c r="B96" t="s">
        <v>252</v>
      </c>
      <c r="C96" t="s">
        <v>195</v>
      </c>
      <c r="D96" t="s">
        <v>507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2" x14ac:dyDescent="0.4">
      <c r="A97" t="s">
        <v>251</v>
      </c>
      <c r="B97" t="s">
        <v>252</v>
      </c>
      <c r="C97" t="s">
        <v>195</v>
      </c>
      <c r="D97" t="s">
        <v>186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2" x14ac:dyDescent="0.4">
      <c r="A98" t="s">
        <v>78</v>
      </c>
      <c r="B98" t="s">
        <v>253</v>
      </c>
      <c r="C98" t="s">
        <v>175</v>
      </c>
      <c r="D98" t="s">
        <v>507</v>
      </c>
      <c r="E98">
        <v>2</v>
      </c>
      <c r="F98">
        <v>0</v>
      </c>
      <c r="G98">
        <v>0</v>
      </c>
      <c r="H98">
        <v>0</v>
      </c>
      <c r="I98">
        <v>3</v>
      </c>
      <c r="J98">
        <v>5</v>
      </c>
      <c r="K98">
        <v>0</v>
      </c>
    </row>
    <row r="99" spans="1:12" x14ac:dyDescent="0.4">
      <c r="A99" t="s">
        <v>78</v>
      </c>
      <c r="B99" t="s">
        <v>253</v>
      </c>
      <c r="C99" t="s">
        <v>175</v>
      </c>
      <c r="D99" t="s">
        <v>186</v>
      </c>
      <c r="E99">
        <v>5</v>
      </c>
      <c r="F99">
        <v>0</v>
      </c>
      <c r="G99">
        <v>0</v>
      </c>
      <c r="H99">
        <v>0</v>
      </c>
      <c r="I99">
        <v>0</v>
      </c>
      <c r="J99">
        <v>5</v>
      </c>
      <c r="K99">
        <v>0</v>
      </c>
    </row>
    <row r="100" spans="1:12" x14ac:dyDescent="0.4">
      <c r="A100" t="s">
        <v>254</v>
      </c>
      <c r="B100" t="s">
        <v>255</v>
      </c>
      <c r="C100" t="s">
        <v>175</v>
      </c>
      <c r="D100" t="s">
        <v>507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2" x14ac:dyDescent="0.4">
      <c r="A101" t="s">
        <v>254</v>
      </c>
      <c r="B101" t="s">
        <v>255</v>
      </c>
      <c r="C101" t="s">
        <v>175</v>
      </c>
      <c r="D101" t="s">
        <v>186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2" x14ac:dyDescent="0.4">
      <c r="A102" t="s">
        <v>132</v>
      </c>
      <c r="B102" t="s">
        <v>256</v>
      </c>
      <c r="C102" t="s">
        <v>195</v>
      </c>
      <c r="D102" t="s">
        <v>507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2" x14ac:dyDescent="0.4">
      <c r="A103" t="s">
        <v>132</v>
      </c>
      <c r="B103" t="s">
        <v>256</v>
      </c>
      <c r="C103" t="s">
        <v>195</v>
      </c>
      <c r="D103" t="s">
        <v>186</v>
      </c>
      <c r="E103">
        <v>1</v>
      </c>
      <c r="F103">
        <v>1</v>
      </c>
      <c r="G103">
        <v>2</v>
      </c>
      <c r="H103">
        <v>2</v>
      </c>
      <c r="I103">
        <v>0</v>
      </c>
      <c r="J103">
        <v>0</v>
      </c>
      <c r="K103">
        <v>0</v>
      </c>
    </row>
    <row r="104" spans="1:12" x14ac:dyDescent="0.4">
      <c r="A104" t="s">
        <v>9</v>
      </c>
      <c r="B104" t="s">
        <v>257</v>
      </c>
      <c r="C104" t="s">
        <v>175</v>
      </c>
      <c r="D104" t="s">
        <v>507</v>
      </c>
      <c r="E104">
        <v>2</v>
      </c>
      <c r="F104">
        <v>2</v>
      </c>
      <c r="G104">
        <v>5</v>
      </c>
      <c r="H104">
        <v>7</v>
      </c>
      <c r="I104">
        <v>2</v>
      </c>
      <c r="J104">
        <v>1</v>
      </c>
      <c r="K104">
        <v>-1</v>
      </c>
    </row>
    <row r="105" spans="1:12" x14ac:dyDescent="0.4">
      <c r="A105" t="s">
        <v>9</v>
      </c>
      <c r="B105" t="s">
        <v>257</v>
      </c>
      <c r="C105" t="s">
        <v>175</v>
      </c>
      <c r="D105" t="s">
        <v>186</v>
      </c>
      <c r="E105">
        <v>2</v>
      </c>
      <c r="F105">
        <v>2</v>
      </c>
      <c r="G105">
        <v>8</v>
      </c>
      <c r="H105">
        <v>6</v>
      </c>
      <c r="I105">
        <v>2</v>
      </c>
      <c r="J105">
        <v>4</v>
      </c>
      <c r="K105">
        <v>0</v>
      </c>
    </row>
    <row r="106" spans="1:12" x14ac:dyDescent="0.4">
      <c r="A106" t="s">
        <v>156</v>
      </c>
      <c r="B106" t="s">
        <v>258</v>
      </c>
      <c r="C106" t="s">
        <v>175</v>
      </c>
      <c r="D106" t="s">
        <v>507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</row>
    <row r="107" spans="1:12" x14ac:dyDescent="0.4">
      <c r="A107" t="s">
        <v>156</v>
      </c>
      <c r="B107" t="s">
        <v>258</v>
      </c>
      <c r="C107" t="s">
        <v>175</v>
      </c>
      <c r="D107" t="s">
        <v>186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</row>
    <row r="108" spans="1:12" x14ac:dyDescent="0.4">
      <c r="A108" t="s">
        <v>4</v>
      </c>
      <c r="B108" t="s">
        <v>259</v>
      </c>
      <c r="C108" t="s">
        <v>175</v>
      </c>
      <c r="D108" t="s">
        <v>507</v>
      </c>
      <c r="E108">
        <v>2</v>
      </c>
      <c r="F108">
        <v>2</v>
      </c>
      <c r="G108">
        <v>1</v>
      </c>
      <c r="H108">
        <v>1</v>
      </c>
      <c r="I108">
        <v>0</v>
      </c>
      <c r="J108">
        <v>1</v>
      </c>
      <c r="K108">
        <v>-1</v>
      </c>
    </row>
    <row r="109" spans="1:12" x14ac:dyDescent="0.4">
      <c r="A109" t="s">
        <v>4</v>
      </c>
      <c r="B109" t="s">
        <v>259</v>
      </c>
      <c r="C109" t="s">
        <v>175</v>
      </c>
      <c r="D109" t="s">
        <v>186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1</v>
      </c>
    </row>
    <row r="110" spans="1:12" x14ac:dyDescent="0.4">
      <c r="A110" t="s">
        <v>40</v>
      </c>
      <c r="B110" t="s">
        <v>260</v>
      </c>
      <c r="C110" t="s">
        <v>175</v>
      </c>
      <c r="D110" t="s">
        <v>507</v>
      </c>
      <c r="E110">
        <v>0</v>
      </c>
      <c r="F110">
        <v>3</v>
      </c>
      <c r="G110">
        <v>0</v>
      </c>
      <c r="H110">
        <v>0</v>
      </c>
      <c r="I110">
        <v>4</v>
      </c>
      <c r="J110">
        <v>0</v>
      </c>
      <c r="K110">
        <v>1</v>
      </c>
      <c r="L110" t="s">
        <v>261</v>
      </c>
    </row>
    <row r="111" spans="1:12" x14ac:dyDescent="0.4">
      <c r="A111" t="s">
        <v>40</v>
      </c>
      <c r="B111" t="s">
        <v>260</v>
      </c>
      <c r="C111" t="s">
        <v>175</v>
      </c>
      <c r="D111" t="s">
        <v>186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2" x14ac:dyDescent="0.4">
      <c r="A112" t="s">
        <v>82</v>
      </c>
      <c r="B112" t="s">
        <v>262</v>
      </c>
      <c r="C112" t="s">
        <v>175</v>
      </c>
      <c r="D112" t="s">
        <v>507</v>
      </c>
      <c r="E112">
        <v>3</v>
      </c>
      <c r="F112">
        <v>2</v>
      </c>
      <c r="G112">
        <v>0</v>
      </c>
      <c r="H112">
        <v>0</v>
      </c>
      <c r="I112">
        <v>3</v>
      </c>
      <c r="J112">
        <v>1</v>
      </c>
      <c r="K112">
        <v>3</v>
      </c>
    </row>
    <row r="113" spans="1:11" x14ac:dyDescent="0.4">
      <c r="A113" t="s">
        <v>82</v>
      </c>
      <c r="B113" t="s">
        <v>262</v>
      </c>
      <c r="C113" t="s">
        <v>175</v>
      </c>
      <c r="D113" t="s">
        <v>186</v>
      </c>
      <c r="E113">
        <v>1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-1</v>
      </c>
    </row>
    <row r="114" spans="1:11" x14ac:dyDescent="0.4">
      <c r="A114" t="s">
        <v>48</v>
      </c>
      <c r="B114" t="s">
        <v>263</v>
      </c>
      <c r="C114" t="s">
        <v>175</v>
      </c>
      <c r="D114" t="s">
        <v>507</v>
      </c>
      <c r="E114">
        <v>1</v>
      </c>
      <c r="F114">
        <v>1</v>
      </c>
      <c r="G114">
        <v>4</v>
      </c>
      <c r="H114">
        <v>3</v>
      </c>
      <c r="I114">
        <v>0</v>
      </c>
      <c r="J114">
        <v>0</v>
      </c>
      <c r="K114">
        <v>1</v>
      </c>
    </row>
    <row r="115" spans="1:11" x14ac:dyDescent="0.4">
      <c r="A115" t="s">
        <v>48</v>
      </c>
      <c r="B115" t="s">
        <v>263</v>
      </c>
      <c r="C115" t="s">
        <v>175</v>
      </c>
      <c r="D115" t="s">
        <v>186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 t="s">
        <v>89</v>
      </c>
      <c r="B116" t="s">
        <v>264</v>
      </c>
      <c r="C116" t="s">
        <v>175</v>
      </c>
      <c r="D116" t="s">
        <v>507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2</v>
      </c>
    </row>
    <row r="117" spans="1:11" x14ac:dyDescent="0.4">
      <c r="A117" t="s">
        <v>89</v>
      </c>
      <c r="B117" t="s">
        <v>264</v>
      </c>
      <c r="C117" t="s">
        <v>175</v>
      </c>
      <c r="D117" t="s">
        <v>186</v>
      </c>
      <c r="E117">
        <v>2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2</v>
      </c>
    </row>
    <row r="118" spans="1:11" x14ac:dyDescent="0.4">
      <c r="A118" t="s">
        <v>94</v>
      </c>
      <c r="B118" t="s">
        <v>265</v>
      </c>
      <c r="C118" t="s">
        <v>175</v>
      </c>
      <c r="D118" t="s">
        <v>507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</row>
    <row r="119" spans="1:11" x14ac:dyDescent="0.4">
      <c r="A119" t="s">
        <v>94</v>
      </c>
      <c r="B119" t="s">
        <v>265</v>
      </c>
      <c r="C119" t="s">
        <v>175</v>
      </c>
      <c r="D119" t="s">
        <v>186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</row>
    <row r="120" spans="1:11" x14ac:dyDescent="0.4">
      <c r="A120" t="s">
        <v>51</v>
      </c>
      <c r="B120" t="s">
        <v>266</v>
      </c>
      <c r="C120" t="s">
        <v>175</v>
      </c>
      <c r="D120" t="s">
        <v>507</v>
      </c>
      <c r="E120">
        <v>4</v>
      </c>
      <c r="F120">
        <v>2</v>
      </c>
      <c r="G120">
        <v>1</v>
      </c>
      <c r="H120">
        <v>1</v>
      </c>
      <c r="I120">
        <v>0</v>
      </c>
      <c r="J120">
        <v>0</v>
      </c>
      <c r="K120">
        <v>2</v>
      </c>
    </row>
    <row r="121" spans="1:11" x14ac:dyDescent="0.4">
      <c r="A121" t="s">
        <v>51</v>
      </c>
      <c r="B121" t="s">
        <v>266</v>
      </c>
      <c r="C121" t="s">
        <v>175</v>
      </c>
      <c r="D121" t="s">
        <v>186</v>
      </c>
      <c r="E121">
        <v>0</v>
      </c>
      <c r="F121">
        <v>2</v>
      </c>
      <c r="G121">
        <v>0</v>
      </c>
      <c r="H121">
        <v>0</v>
      </c>
      <c r="I121">
        <v>5</v>
      </c>
      <c r="J121">
        <v>0</v>
      </c>
      <c r="K121">
        <v>3</v>
      </c>
    </row>
    <row r="122" spans="1:11" x14ac:dyDescent="0.4">
      <c r="A122" t="s">
        <v>141</v>
      </c>
      <c r="B122" t="s">
        <v>267</v>
      </c>
      <c r="C122" t="s">
        <v>175</v>
      </c>
      <c r="D122" t="s">
        <v>507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</row>
    <row r="123" spans="1:11" x14ac:dyDescent="0.4">
      <c r="A123" t="s">
        <v>141</v>
      </c>
      <c r="B123" t="s">
        <v>267</v>
      </c>
      <c r="C123" t="s">
        <v>175</v>
      </c>
      <c r="D123" t="s">
        <v>186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0</v>
      </c>
    </row>
    <row r="124" spans="1:11" x14ac:dyDescent="0.4">
      <c r="A124" t="s">
        <v>46</v>
      </c>
      <c r="B124" t="s">
        <v>268</v>
      </c>
      <c r="C124" t="s">
        <v>175</v>
      </c>
      <c r="D124" t="s">
        <v>507</v>
      </c>
      <c r="E124">
        <v>31</v>
      </c>
      <c r="F124">
        <v>3</v>
      </c>
      <c r="G124">
        <v>4</v>
      </c>
      <c r="H124">
        <v>2</v>
      </c>
      <c r="I124">
        <v>3</v>
      </c>
      <c r="J124">
        <v>0</v>
      </c>
      <c r="K124">
        <v>33</v>
      </c>
    </row>
    <row r="125" spans="1:11" x14ac:dyDescent="0.4">
      <c r="A125" t="s">
        <v>46</v>
      </c>
      <c r="B125" t="s">
        <v>268</v>
      </c>
      <c r="C125" t="s">
        <v>175</v>
      </c>
      <c r="D125" t="s">
        <v>186</v>
      </c>
      <c r="E125">
        <v>35</v>
      </c>
      <c r="F125">
        <v>2</v>
      </c>
      <c r="G125">
        <v>3</v>
      </c>
      <c r="H125">
        <v>4</v>
      </c>
      <c r="I125">
        <v>2</v>
      </c>
      <c r="J125">
        <v>1</v>
      </c>
      <c r="K125">
        <v>33</v>
      </c>
    </row>
    <row r="126" spans="1:11" x14ac:dyDescent="0.4">
      <c r="A126" t="s">
        <v>52</v>
      </c>
      <c r="B126" t="s">
        <v>269</v>
      </c>
      <c r="C126" t="s">
        <v>175</v>
      </c>
      <c r="D126" t="s">
        <v>507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</v>
      </c>
    </row>
    <row r="127" spans="1:11" x14ac:dyDescent="0.4">
      <c r="A127" t="s">
        <v>52</v>
      </c>
      <c r="B127" t="s">
        <v>269</v>
      </c>
      <c r="C127" t="s">
        <v>175</v>
      </c>
      <c r="D127" t="s">
        <v>186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</row>
    <row r="128" spans="1:11" x14ac:dyDescent="0.4">
      <c r="A128" t="s">
        <v>270</v>
      </c>
      <c r="B128" t="s">
        <v>271</v>
      </c>
      <c r="C128" t="s">
        <v>175</v>
      </c>
      <c r="D128" t="s">
        <v>507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 t="s">
        <v>270</v>
      </c>
      <c r="B129" t="s">
        <v>271</v>
      </c>
      <c r="C129" t="s">
        <v>175</v>
      </c>
      <c r="D129" t="s">
        <v>186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 t="s">
        <v>87</v>
      </c>
      <c r="B130" t="s">
        <v>272</v>
      </c>
      <c r="C130" t="s">
        <v>175</v>
      </c>
      <c r="D130" t="s">
        <v>507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 t="s">
        <v>87</v>
      </c>
      <c r="B131" t="s">
        <v>272</v>
      </c>
      <c r="C131" t="s">
        <v>175</v>
      </c>
      <c r="D131" t="s">
        <v>186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1</v>
      </c>
    </row>
    <row r="132" spans="1:11" x14ac:dyDescent="0.4">
      <c r="A132" t="s">
        <v>148</v>
      </c>
      <c r="B132" t="s">
        <v>273</v>
      </c>
      <c r="C132" t="s">
        <v>175</v>
      </c>
      <c r="D132" t="s">
        <v>507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-1</v>
      </c>
    </row>
    <row r="133" spans="1:11" x14ac:dyDescent="0.4">
      <c r="A133" t="s">
        <v>148</v>
      </c>
      <c r="B133" t="s">
        <v>273</v>
      </c>
      <c r="C133" t="s">
        <v>175</v>
      </c>
      <c r="D133" t="s">
        <v>186</v>
      </c>
      <c r="E133">
        <v>9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10</v>
      </c>
    </row>
    <row r="134" spans="1:11" x14ac:dyDescent="0.4">
      <c r="A134" t="s">
        <v>154</v>
      </c>
      <c r="B134" t="s">
        <v>274</v>
      </c>
      <c r="C134" t="s">
        <v>175</v>
      </c>
      <c r="D134" t="s">
        <v>507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0</v>
      </c>
    </row>
    <row r="135" spans="1:11" x14ac:dyDescent="0.4">
      <c r="A135" t="s">
        <v>154</v>
      </c>
      <c r="B135" t="s">
        <v>274</v>
      </c>
      <c r="C135" t="s">
        <v>175</v>
      </c>
      <c r="D135" t="s">
        <v>186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 t="s">
        <v>93</v>
      </c>
      <c r="B136" t="s">
        <v>275</v>
      </c>
      <c r="C136" t="s">
        <v>175</v>
      </c>
      <c r="D136" t="s">
        <v>507</v>
      </c>
      <c r="E136">
        <v>3</v>
      </c>
      <c r="F136">
        <v>0</v>
      </c>
      <c r="G136">
        <v>2</v>
      </c>
      <c r="H136">
        <v>3</v>
      </c>
      <c r="I136">
        <v>0</v>
      </c>
      <c r="J136">
        <v>1</v>
      </c>
      <c r="K136">
        <v>1</v>
      </c>
    </row>
    <row r="137" spans="1:11" x14ac:dyDescent="0.4">
      <c r="A137" t="s">
        <v>93</v>
      </c>
      <c r="B137" t="s">
        <v>275</v>
      </c>
      <c r="C137" t="s">
        <v>175</v>
      </c>
      <c r="D137" t="s">
        <v>186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-1</v>
      </c>
    </row>
    <row r="138" spans="1:11" x14ac:dyDescent="0.4">
      <c r="A138" t="s">
        <v>146</v>
      </c>
      <c r="B138" t="s">
        <v>276</v>
      </c>
      <c r="C138" t="s">
        <v>175</v>
      </c>
      <c r="D138" t="s">
        <v>507</v>
      </c>
      <c r="E138">
        <v>1</v>
      </c>
      <c r="F138">
        <v>0</v>
      </c>
      <c r="G138">
        <v>2</v>
      </c>
      <c r="H138">
        <v>1</v>
      </c>
      <c r="I138">
        <v>5</v>
      </c>
      <c r="J138">
        <v>0</v>
      </c>
      <c r="K138">
        <v>7</v>
      </c>
    </row>
    <row r="139" spans="1:11" x14ac:dyDescent="0.4">
      <c r="A139" t="s">
        <v>146</v>
      </c>
      <c r="B139" t="s">
        <v>276</v>
      </c>
      <c r="C139" t="s">
        <v>175</v>
      </c>
      <c r="D139" t="s">
        <v>186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">
      <c r="A140" t="s">
        <v>153</v>
      </c>
      <c r="B140" t="s">
        <v>277</v>
      </c>
      <c r="C140" t="s">
        <v>175</v>
      </c>
      <c r="D140" t="s">
        <v>507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</row>
    <row r="141" spans="1:11" x14ac:dyDescent="0.4">
      <c r="A141" t="s">
        <v>153</v>
      </c>
      <c r="B141" t="s">
        <v>277</v>
      </c>
      <c r="C141" t="s">
        <v>175</v>
      </c>
      <c r="D141" t="s">
        <v>186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">
      <c r="A142" t="s">
        <v>3</v>
      </c>
      <c r="B142" t="s">
        <v>278</v>
      </c>
      <c r="C142" t="s">
        <v>175</v>
      </c>
      <c r="D142" t="s">
        <v>507</v>
      </c>
      <c r="E142">
        <v>4</v>
      </c>
      <c r="F142">
        <v>2</v>
      </c>
      <c r="G142">
        <v>0</v>
      </c>
      <c r="H142">
        <v>0</v>
      </c>
      <c r="I142">
        <v>3</v>
      </c>
      <c r="J142">
        <v>2</v>
      </c>
      <c r="K142">
        <v>3</v>
      </c>
    </row>
    <row r="143" spans="1:11" x14ac:dyDescent="0.4">
      <c r="A143" t="s">
        <v>3</v>
      </c>
      <c r="B143" t="s">
        <v>278</v>
      </c>
      <c r="C143" t="s">
        <v>175</v>
      </c>
      <c r="D143" t="s">
        <v>186</v>
      </c>
      <c r="E143">
        <v>2</v>
      </c>
      <c r="F143">
        <v>0</v>
      </c>
      <c r="G143">
        <v>0</v>
      </c>
      <c r="H143">
        <v>0</v>
      </c>
      <c r="I143">
        <v>4</v>
      </c>
      <c r="J143">
        <v>1</v>
      </c>
      <c r="K143">
        <v>5</v>
      </c>
    </row>
    <row r="144" spans="1:11" x14ac:dyDescent="0.4">
      <c r="A144" t="s">
        <v>133</v>
      </c>
      <c r="B144" t="s">
        <v>279</v>
      </c>
      <c r="C144" t="s">
        <v>175</v>
      </c>
      <c r="D144" t="s">
        <v>507</v>
      </c>
      <c r="E144">
        <v>1</v>
      </c>
      <c r="F144">
        <v>0</v>
      </c>
      <c r="G144">
        <v>0</v>
      </c>
      <c r="H144">
        <v>0</v>
      </c>
      <c r="I144">
        <v>5</v>
      </c>
      <c r="J144">
        <v>6</v>
      </c>
      <c r="K144">
        <v>0</v>
      </c>
    </row>
    <row r="145" spans="1:11" x14ac:dyDescent="0.4">
      <c r="A145" t="s">
        <v>133</v>
      </c>
      <c r="B145" t="s">
        <v>279</v>
      </c>
      <c r="C145" t="s">
        <v>175</v>
      </c>
      <c r="D145" t="s">
        <v>186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 t="s">
        <v>74</v>
      </c>
      <c r="B146" t="s">
        <v>280</v>
      </c>
      <c r="C146" t="s">
        <v>175</v>
      </c>
      <c r="D146" t="s">
        <v>507</v>
      </c>
      <c r="E146">
        <v>2</v>
      </c>
      <c r="F146">
        <v>0</v>
      </c>
      <c r="G146">
        <v>0</v>
      </c>
      <c r="H146">
        <v>0</v>
      </c>
      <c r="I146">
        <v>2</v>
      </c>
      <c r="J146">
        <v>1</v>
      </c>
      <c r="K146">
        <v>3</v>
      </c>
    </row>
    <row r="147" spans="1:11" x14ac:dyDescent="0.4">
      <c r="A147" t="s">
        <v>74</v>
      </c>
      <c r="B147" t="s">
        <v>280</v>
      </c>
      <c r="C147" t="s">
        <v>175</v>
      </c>
      <c r="D147" t="s">
        <v>186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 t="s">
        <v>73</v>
      </c>
      <c r="B148" t="s">
        <v>281</v>
      </c>
      <c r="C148" t="s">
        <v>175</v>
      </c>
      <c r="D148" t="s">
        <v>507</v>
      </c>
      <c r="E148">
        <v>3</v>
      </c>
      <c r="F148">
        <v>0</v>
      </c>
      <c r="G148">
        <v>2</v>
      </c>
      <c r="H148">
        <v>2</v>
      </c>
      <c r="I148">
        <v>4</v>
      </c>
      <c r="J148">
        <v>6</v>
      </c>
      <c r="K148">
        <v>1</v>
      </c>
    </row>
    <row r="149" spans="1:11" x14ac:dyDescent="0.4">
      <c r="A149" t="s">
        <v>73</v>
      </c>
      <c r="B149" t="s">
        <v>281</v>
      </c>
      <c r="C149" t="s">
        <v>175</v>
      </c>
      <c r="D149" t="s">
        <v>186</v>
      </c>
      <c r="E149">
        <v>1</v>
      </c>
      <c r="F149">
        <v>0</v>
      </c>
      <c r="G149">
        <v>1</v>
      </c>
      <c r="H149">
        <v>1</v>
      </c>
      <c r="I149">
        <v>5</v>
      </c>
      <c r="J149">
        <v>6</v>
      </c>
      <c r="K149">
        <v>0</v>
      </c>
    </row>
    <row r="150" spans="1:11" x14ac:dyDescent="0.4">
      <c r="A150" t="s">
        <v>282</v>
      </c>
      <c r="B150" t="s">
        <v>283</v>
      </c>
      <c r="C150" t="s">
        <v>175</v>
      </c>
      <c r="D150" t="s">
        <v>507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 t="s">
        <v>282</v>
      </c>
      <c r="B151" t="s">
        <v>283</v>
      </c>
      <c r="C151" t="s">
        <v>175</v>
      </c>
      <c r="D151" t="s">
        <v>186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 t="s">
        <v>284</v>
      </c>
      <c r="B152" t="s">
        <v>285</v>
      </c>
      <c r="C152" t="s">
        <v>195</v>
      </c>
      <c r="D152" t="s">
        <v>507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 t="s">
        <v>284</v>
      </c>
      <c r="B153" t="s">
        <v>285</v>
      </c>
      <c r="C153" t="s">
        <v>195</v>
      </c>
      <c r="D153" t="s">
        <v>186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 t="s">
        <v>286</v>
      </c>
      <c r="B154" t="s">
        <v>287</v>
      </c>
      <c r="C154" t="s">
        <v>195</v>
      </c>
      <c r="D154" t="s">
        <v>507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 t="s">
        <v>286</v>
      </c>
      <c r="B155" t="s">
        <v>287</v>
      </c>
      <c r="C155" t="s">
        <v>195</v>
      </c>
      <c r="D155" t="s">
        <v>186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 t="s">
        <v>288</v>
      </c>
      <c r="B156" t="s">
        <v>289</v>
      </c>
      <c r="C156" t="s">
        <v>195</v>
      </c>
      <c r="D156" t="s">
        <v>507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 t="s">
        <v>288</v>
      </c>
      <c r="B157" t="s">
        <v>289</v>
      </c>
      <c r="C157" t="s">
        <v>195</v>
      </c>
      <c r="D157" t="s">
        <v>186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 t="s">
        <v>150</v>
      </c>
      <c r="B158" t="s">
        <v>290</v>
      </c>
      <c r="C158" t="s">
        <v>195</v>
      </c>
      <c r="D158" t="s">
        <v>507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</row>
    <row r="159" spans="1:11" x14ac:dyDescent="0.4">
      <c r="A159" t="s">
        <v>150</v>
      </c>
      <c r="B159" t="s">
        <v>290</v>
      </c>
      <c r="C159" t="s">
        <v>195</v>
      </c>
      <c r="D159" t="s">
        <v>186</v>
      </c>
      <c r="E159">
        <v>1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-1</v>
      </c>
    </row>
    <row r="160" spans="1:11" x14ac:dyDescent="0.4">
      <c r="A160" t="s">
        <v>291</v>
      </c>
      <c r="B160" t="s">
        <v>292</v>
      </c>
      <c r="C160" t="s">
        <v>173</v>
      </c>
      <c r="D160" t="s">
        <v>507</v>
      </c>
      <c r="E160">
        <v>2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 t="s">
        <v>291</v>
      </c>
      <c r="B161" t="s">
        <v>292</v>
      </c>
      <c r="C161" t="s">
        <v>173</v>
      </c>
      <c r="D161" t="s">
        <v>186</v>
      </c>
      <c r="E161">
        <v>2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 t="s">
        <v>293</v>
      </c>
      <c r="B162" t="s">
        <v>294</v>
      </c>
      <c r="C162" t="s">
        <v>173</v>
      </c>
      <c r="D162" t="s">
        <v>507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 t="s">
        <v>293</v>
      </c>
      <c r="B163" t="s">
        <v>294</v>
      </c>
      <c r="C163" t="s">
        <v>173</v>
      </c>
      <c r="D163" t="s">
        <v>186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 t="s">
        <v>49</v>
      </c>
      <c r="B164" t="s">
        <v>295</v>
      </c>
      <c r="C164" t="s">
        <v>175</v>
      </c>
      <c r="D164" t="s">
        <v>507</v>
      </c>
      <c r="E164">
        <v>2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2</v>
      </c>
    </row>
    <row r="165" spans="1:11" x14ac:dyDescent="0.4">
      <c r="A165" t="s">
        <v>49</v>
      </c>
      <c r="B165" t="s">
        <v>295</v>
      </c>
      <c r="C165" t="s">
        <v>175</v>
      </c>
      <c r="D165" t="s">
        <v>186</v>
      </c>
      <c r="E165">
        <v>2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2</v>
      </c>
    </row>
    <row r="166" spans="1:11" x14ac:dyDescent="0.4">
      <c r="A166" t="s">
        <v>50</v>
      </c>
      <c r="B166" t="s">
        <v>294</v>
      </c>
      <c r="C166" t="s">
        <v>175</v>
      </c>
      <c r="D166" t="s">
        <v>507</v>
      </c>
      <c r="E166">
        <v>2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2</v>
      </c>
    </row>
    <row r="167" spans="1:11" x14ac:dyDescent="0.4">
      <c r="A167" t="s">
        <v>50</v>
      </c>
      <c r="B167" t="s">
        <v>294</v>
      </c>
      <c r="C167" t="s">
        <v>175</v>
      </c>
      <c r="D167" t="s">
        <v>186</v>
      </c>
      <c r="E167">
        <v>2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2</v>
      </c>
    </row>
    <row r="168" spans="1:11" x14ac:dyDescent="0.4">
      <c r="A168" t="s">
        <v>102</v>
      </c>
      <c r="B168" t="s">
        <v>296</v>
      </c>
      <c r="C168" t="s">
        <v>201</v>
      </c>
      <c r="D168" t="s">
        <v>507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 t="s">
        <v>102</v>
      </c>
      <c r="B169" t="s">
        <v>296</v>
      </c>
      <c r="C169" t="s">
        <v>201</v>
      </c>
      <c r="D169" t="s">
        <v>186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</row>
    <row r="170" spans="1:11" x14ac:dyDescent="0.4">
      <c r="A170" t="s">
        <v>123</v>
      </c>
      <c r="B170" t="s">
        <v>297</v>
      </c>
      <c r="C170" t="s">
        <v>80</v>
      </c>
      <c r="D170" t="s">
        <v>507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</v>
      </c>
    </row>
    <row r="171" spans="1:11" x14ac:dyDescent="0.4">
      <c r="A171" t="s">
        <v>123</v>
      </c>
      <c r="B171" t="s">
        <v>297</v>
      </c>
      <c r="C171" t="s">
        <v>80</v>
      </c>
      <c r="D171" t="s">
        <v>186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 t="s">
        <v>88</v>
      </c>
      <c r="B172" t="s">
        <v>298</v>
      </c>
      <c r="C172" t="s">
        <v>80</v>
      </c>
      <c r="D172" t="s">
        <v>507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</row>
    <row r="173" spans="1:11" x14ac:dyDescent="0.4">
      <c r="A173" t="s">
        <v>88</v>
      </c>
      <c r="B173" t="s">
        <v>298</v>
      </c>
      <c r="C173" t="s">
        <v>80</v>
      </c>
      <c r="D173" t="s">
        <v>186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 t="s">
        <v>84</v>
      </c>
      <c r="B174" t="s">
        <v>299</v>
      </c>
      <c r="C174" t="s">
        <v>175</v>
      </c>
      <c r="D174" t="s">
        <v>507</v>
      </c>
      <c r="E174">
        <v>2</v>
      </c>
      <c r="F174">
        <v>0</v>
      </c>
      <c r="G174">
        <v>0</v>
      </c>
      <c r="H174">
        <v>0</v>
      </c>
      <c r="I174">
        <v>12</v>
      </c>
      <c r="J174">
        <v>13</v>
      </c>
      <c r="K174">
        <v>1</v>
      </c>
    </row>
    <row r="175" spans="1:11" x14ac:dyDescent="0.4">
      <c r="A175" t="s">
        <v>84</v>
      </c>
      <c r="B175" t="s">
        <v>299</v>
      </c>
      <c r="C175" t="s">
        <v>175</v>
      </c>
      <c r="D175" t="s">
        <v>186</v>
      </c>
      <c r="E175">
        <v>1</v>
      </c>
      <c r="F175">
        <v>0</v>
      </c>
      <c r="G175">
        <v>0</v>
      </c>
      <c r="H175">
        <v>0</v>
      </c>
      <c r="I175">
        <v>25</v>
      </c>
      <c r="J175">
        <v>26</v>
      </c>
      <c r="K175">
        <v>0</v>
      </c>
    </row>
    <row r="176" spans="1:11" x14ac:dyDescent="0.4">
      <c r="A176" t="s">
        <v>79</v>
      </c>
      <c r="B176" t="s">
        <v>300</v>
      </c>
      <c r="C176" t="s">
        <v>80</v>
      </c>
      <c r="D176" t="s">
        <v>507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3</v>
      </c>
    </row>
    <row r="177" spans="1:11" x14ac:dyDescent="0.4">
      <c r="A177" t="s">
        <v>79</v>
      </c>
      <c r="B177" t="s">
        <v>300</v>
      </c>
      <c r="C177" t="s">
        <v>80</v>
      </c>
      <c r="D177" t="s">
        <v>186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 t="s">
        <v>301</v>
      </c>
      <c r="B178" t="s">
        <v>302</v>
      </c>
      <c r="C178" t="s">
        <v>195</v>
      </c>
      <c r="D178" t="s">
        <v>507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 t="s">
        <v>301</v>
      </c>
      <c r="B179" t="s">
        <v>302</v>
      </c>
      <c r="C179" t="s">
        <v>195</v>
      </c>
      <c r="D179" t="s">
        <v>186</v>
      </c>
      <c r="E179">
        <v>2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 t="s">
        <v>165</v>
      </c>
      <c r="B180" t="s">
        <v>303</v>
      </c>
      <c r="C180" t="s">
        <v>173</v>
      </c>
      <c r="D180" t="s">
        <v>507</v>
      </c>
      <c r="E180">
        <v>4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-1</v>
      </c>
    </row>
    <row r="181" spans="1:11" x14ac:dyDescent="0.4">
      <c r="A181" t="s">
        <v>165</v>
      </c>
      <c r="B181" t="s">
        <v>303</v>
      </c>
      <c r="C181" t="s">
        <v>173</v>
      </c>
      <c r="D181" t="s">
        <v>186</v>
      </c>
      <c r="E181">
        <v>5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 t="s">
        <v>304</v>
      </c>
      <c r="B182" t="s">
        <v>305</v>
      </c>
      <c r="C182" t="s">
        <v>195</v>
      </c>
      <c r="D182" t="s">
        <v>507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 t="s">
        <v>304</v>
      </c>
      <c r="B183" t="s">
        <v>305</v>
      </c>
      <c r="C183" t="s">
        <v>195</v>
      </c>
      <c r="D183" t="s">
        <v>186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 t="s">
        <v>25</v>
      </c>
      <c r="B184" t="s">
        <v>306</v>
      </c>
      <c r="C184" t="s">
        <v>175</v>
      </c>
      <c r="D184" t="s">
        <v>507</v>
      </c>
      <c r="E184">
        <v>1</v>
      </c>
      <c r="F184">
        <v>7</v>
      </c>
      <c r="G184">
        <v>5</v>
      </c>
      <c r="H184">
        <v>5</v>
      </c>
      <c r="I184">
        <v>3</v>
      </c>
      <c r="J184">
        <v>4</v>
      </c>
      <c r="K184">
        <v>-7</v>
      </c>
    </row>
    <row r="185" spans="1:11" x14ac:dyDescent="0.4">
      <c r="A185" t="s">
        <v>25</v>
      </c>
      <c r="B185" t="s">
        <v>306</v>
      </c>
      <c r="C185" t="s">
        <v>175</v>
      </c>
      <c r="D185" t="s">
        <v>186</v>
      </c>
      <c r="E185">
        <v>0</v>
      </c>
      <c r="F185">
        <v>5</v>
      </c>
      <c r="G185">
        <v>14</v>
      </c>
      <c r="H185">
        <v>15</v>
      </c>
      <c r="I185">
        <v>7</v>
      </c>
      <c r="J185">
        <v>10</v>
      </c>
      <c r="K185">
        <v>-9</v>
      </c>
    </row>
    <row r="186" spans="1:11" x14ac:dyDescent="0.4">
      <c r="A186" t="s">
        <v>70</v>
      </c>
      <c r="B186" t="s">
        <v>307</v>
      </c>
      <c r="C186" t="s">
        <v>175</v>
      </c>
      <c r="D186" t="s">
        <v>507</v>
      </c>
      <c r="E186">
        <v>15</v>
      </c>
      <c r="F186">
        <v>0</v>
      </c>
      <c r="G186">
        <v>0</v>
      </c>
      <c r="H186">
        <v>0</v>
      </c>
      <c r="I186">
        <v>5</v>
      </c>
      <c r="J186">
        <v>0</v>
      </c>
      <c r="K186">
        <v>20</v>
      </c>
    </row>
    <row r="187" spans="1:11" x14ac:dyDescent="0.4">
      <c r="A187" t="s">
        <v>70</v>
      </c>
      <c r="B187" t="s">
        <v>307</v>
      </c>
      <c r="C187" t="s">
        <v>175</v>
      </c>
      <c r="D187" t="s">
        <v>186</v>
      </c>
      <c r="E187">
        <v>10</v>
      </c>
      <c r="F187">
        <v>0</v>
      </c>
      <c r="G187">
        <v>0</v>
      </c>
      <c r="H187">
        <v>0</v>
      </c>
      <c r="I187">
        <v>3</v>
      </c>
      <c r="J187">
        <v>1</v>
      </c>
      <c r="K187">
        <v>12</v>
      </c>
    </row>
    <row r="188" spans="1:11" x14ac:dyDescent="0.4">
      <c r="A188" t="s">
        <v>69</v>
      </c>
      <c r="B188" t="s">
        <v>308</v>
      </c>
      <c r="C188" t="s">
        <v>175</v>
      </c>
      <c r="D188" t="s">
        <v>507</v>
      </c>
      <c r="E188">
        <v>66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66</v>
      </c>
    </row>
    <row r="189" spans="1:11" x14ac:dyDescent="0.4">
      <c r="A189" t="s">
        <v>69</v>
      </c>
      <c r="B189" t="s">
        <v>308</v>
      </c>
      <c r="C189" t="s">
        <v>175</v>
      </c>
      <c r="D189" t="s">
        <v>186</v>
      </c>
      <c r="E189">
        <v>105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106</v>
      </c>
    </row>
    <row r="190" spans="1:11" x14ac:dyDescent="0.4">
      <c r="A190" t="s">
        <v>309</v>
      </c>
      <c r="B190" t="s">
        <v>310</v>
      </c>
      <c r="C190" t="s">
        <v>175</v>
      </c>
      <c r="D190" t="s">
        <v>507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 t="s">
        <v>309</v>
      </c>
      <c r="B191" t="s">
        <v>310</v>
      </c>
      <c r="C191" t="s">
        <v>175</v>
      </c>
      <c r="D191" t="s">
        <v>186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 t="s">
        <v>60</v>
      </c>
      <c r="B192" t="s">
        <v>311</v>
      </c>
      <c r="C192" t="s">
        <v>175</v>
      </c>
      <c r="D192" t="s">
        <v>507</v>
      </c>
      <c r="E192">
        <v>3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 t="s">
        <v>60</v>
      </c>
      <c r="B193" t="s">
        <v>311</v>
      </c>
      <c r="C193" t="s">
        <v>175</v>
      </c>
      <c r="D193" t="s">
        <v>186</v>
      </c>
      <c r="E193">
        <v>3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1</v>
      </c>
    </row>
    <row r="194" spans="1:11" x14ac:dyDescent="0.4">
      <c r="A194" t="s">
        <v>31</v>
      </c>
      <c r="B194" t="s">
        <v>312</v>
      </c>
      <c r="C194" t="s">
        <v>175</v>
      </c>
      <c r="D194" t="s">
        <v>507</v>
      </c>
      <c r="E194">
        <v>0</v>
      </c>
      <c r="F194">
        <v>12</v>
      </c>
      <c r="G194">
        <v>0</v>
      </c>
      <c r="H194">
        <v>0</v>
      </c>
      <c r="I194">
        <v>0</v>
      </c>
      <c r="J194">
        <v>0</v>
      </c>
      <c r="K194">
        <v>-12</v>
      </c>
    </row>
    <row r="195" spans="1:11" x14ac:dyDescent="0.4">
      <c r="A195" t="s">
        <v>31</v>
      </c>
      <c r="B195" t="s">
        <v>312</v>
      </c>
      <c r="C195" t="s">
        <v>175</v>
      </c>
      <c r="D195" t="s">
        <v>186</v>
      </c>
      <c r="E195">
        <v>0</v>
      </c>
      <c r="F195">
        <v>12</v>
      </c>
      <c r="G195">
        <v>0</v>
      </c>
      <c r="H195">
        <v>0</v>
      </c>
      <c r="I195">
        <v>0</v>
      </c>
      <c r="J195">
        <v>0</v>
      </c>
      <c r="K195">
        <v>-12</v>
      </c>
    </row>
    <row r="196" spans="1:11" x14ac:dyDescent="0.4">
      <c r="A196" t="s">
        <v>30</v>
      </c>
      <c r="B196" t="s">
        <v>313</v>
      </c>
      <c r="C196" t="s">
        <v>175</v>
      </c>
      <c r="D196" t="s">
        <v>507</v>
      </c>
      <c r="E196">
        <v>0</v>
      </c>
      <c r="F196">
        <v>12</v>
      </c>
      <c r="G196">
        <v>0</v>
      </c>
      <c r="H196">
        <v>0</v>
      </c>
      <c r="I196">
        <v>0</v>
      </c>
      <c r="J196">
        <v>0</v>
      </c>
      <c r="K196">
        <v>-12</v>
      </c>
    </row>
    <row r="197" spans="1:11" x14ac:dyDescent="0.4">
      <c r="A197" t="s">
        <v>30</v>
      </c>
      <c r="B197" t="s">
        <v>313</v>
      </c>
      <c r="C197" t="s">
        <v>175</v>
      </c>
      <c r="D197" t="s">
        <v>186</v>
      </c>
      <c r="E197">
        <v>0</v>
      </c>
      <c r="F197">
        <v>12</v>
      </c>
      <c r="G197">
        <v>0</v>
      </c>
      <c r="H197">
        <v>0</v>
      </c>
      <c r="I197">
        <v>0</v>
      </c>
      <c r="J197">
        <v>0</v>
      </c>
      <c r="K197">
        <v>-12</v>
      </c>
    </row>
    <row r="198" spans="1:11" x14ac:dyDescent="0.4">
      <c r="A198" t="s">
        <v>13</v>
      </c>
      <c r="B198" t="s">
        <v>314</v>
      </c>
      <c r="C198" t="s">
        <v>173</v>
      </c>
      <c r="D198" t="s">
        <v>507</v>
      </c>
      <c r="E198">
        <v>2</v>
      </c>
      <c r="F198">
        <v>5</v>
      </c>
      <c r="G198">
        <v>8</v>
      </c>
      <c r="H198">
        <v>1</v>
      </c>
      <c r="I198">
        <v>4</v>
      </c>
      <c r="J198">
        <v>8</v>
      </c>
      <c r="K198">
        <v>0</v>
      </c>
    </row>
    <row r="199" spans="1:11" x14ac:dyDescent="0.4">
      <c r="A199" t="s">
        <v>13</v>
      </c>
      <c r="B199" t="s">
        <v>314</v>
      </c>
      <c r="C199" t="s">
        <v>173</v>
      </c>
      <c r="D199" t="s">
        <v>186</v>
      </c>
      <c r="E199">
        <v>1</v>
      </c>
      <c r="F199">
        <v>4</v>
      </c>
      <c r="G199">
        <v>13</v>
      </c>
      <c r="H199">
        <v>1</v>
      </c>
      <c r="I199">
        <v>7</v>
      </c>
      <c r="J199">
        <v>9</v>
      </c>
      <c r="K199">
        <v>7</v>
      </c>
    </row>
    <row r="200" spans="1:11" x14ac:dyDescent="0.4">
      <c r="A200" t="s">
        <v>315</v>
      </c>
      <c r="B200" t="s">
        <v>316</v>
      </c>
      <c r="C200" t="s">
        <v>195</v>
      </c>
      <c r="D200" t="s">
        <v>507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 t="s">
        <v>315</v>
      </c>
      <c r="B201" t="s">
        <v>316</v>
      </c>
      <c r="C201" t="s">
        <v>195</v>
      </c>
      <c r="D201" t="s">
        <v>186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 t="s">
        <v>23</v>
      </c>
      <c r="B202" t="s">
        <v>317</v>
      </c>
      <c r="C202" t="s">
        <v>195</v>
      </c>
      <c r="D202" t="s">
        <v>507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-1</v>
      </c>
    </row>
    <row r="203" spans="1:11" x14ac:dyDescent="0.4">
      <c r="A203" t="s">
        <v>23</v>
      </c>
      <c r="B203" t="s">
        <v>317</v>
      </c>
      <c r="C203" t="s">
        <v>195</v>
      </c>
      <c r="D203" t="s">
        <v>186</v>
      </c>
      <c r="E203">
        <v>2</v>
      </c>
      <c r="F203">
        <v>2</v>
      </c>
      <c r="G203">
        <v>2</v>
      </c>
      <c r="H203">
        <v>0</v>
      </c>
      <c r="I203">
        <v>0</v>
      </c>
      <c r="J203">
        <v>1</v>
      </c>
      <c r="K203">
        <v>1</v>
      </c>
    </row>
    <row r="204" spans="1:11" x14ac:dyDescent="0.4">
      <c r="A204" t="s">
        <v>318</v>
      </c>
      <c r="B204" t="s">
        <v>319</v>
      </c>
      <c r="C204" t="s">
        <v>195</v>
      </c>
      <c r="D204" t="s">
        <v>507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4">
      <c r="A205" t="s">
        <v>318</v>
      </c>
      <c r="B205" t="s">
        <v>319</v>
      </c>
      <c r="C205" t="s">
        <v>195</v>
      </c>
      <c r="D205" t="s">
        <v>186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4">
      <c r="A206" t="s">
        <v>63</v>
      </c>
      <c r="B206" t="s">
        <v>320</v>
      </c>
      <c r="C206" t="s">
        <v>173</v>
      </c>
      <c r="D206" t="s">
        <v>507</v>
      </c>
      <c r="E206">
        <v>2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4">
      <c r="A207" t="s">
        <v>63</v>
      </c>
      <c r="B207" t="s">
        <v>320</v>
      </c>
      <c r="C207" t="s">
        <v>173</v>
      </c>
      <c r="D207" t="s">
        <v>186</v>
      </c>
      <c r="E207">
        <v>2</v>
      </c>
      <c r="F207">
        <v>2</v>
      </c>
      <c r="G207">
        <v>1</v>
      </c>
      <c r="H207">
        <v>1</v>
      </c>
      <c r="I207">
        <v>0</v>
      </c>
      <c r="J207">
        <v>0</v>
      </c>
      <c r="K207">
        <v>0</v>
      </c>
    </row>
    <row r="208" spans="1:11" x14ac:dyDescent="0.4">
      <c r="A208" t="s">
        <v>129</v>
      </c>
      <c r="B208" t="s">
        <v>321</v>
      </c>
      <c r="C208" t="s">
        <v>195</v>
      </c>
      <c r="D208" t="s">
        <v>507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</row>
    <row r="209" spans="1:11" x14ac:dyDescent="0.4">
      <c r="A209" t="s">
        <v>129</v>
      </c>
      <c r="B209" t="s">
        <v>321</v>
      </c>
      <c r="C209" t="s">
        <v>195</v>
      </c>
      <c r="D209" t="s">
        <v>186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-1</v>
      </c>
    </row>
    <row r="210" spans="1:11" x14ac:dyDescent="0.4">
      <c r="A210" t="s">
        <v>322</v>
      </c>
      <c r="B210" t="s">
        <v>323</v>
      </c>
      <c r="C210" t="s">
        <v>195</v>
      </c>
      <c r="D210" t="s">
        <v>507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 t="s">
        <v>322</v>
      </c>
      <c r="B211" t="s">
        <v>323</v>
      </c>
      <c r="C211" t="s">
        <v>195</v>
      </c>
      <c r="D211" t="s">
        <v>186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 t="s">
        <v>324</v>
      </c>
      <c r="B212" t="s">
        <v>325</v>
      </c>
      <c r="C212" t="s">
        <v>173</v>
      </c>
      <c r="D212" t="s">
        <v>507</v>
      </c>
      <c r="E212">
        <v>2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 t="s">
        <v>324</v>
      </c>
      <c r="B213" t="s">
        <v>325</v>
      </c>
      <c r="C213" t="s">
        <v>173</v>
      </c>
      <c r="D213" t="s">
        <v>186</v>
      </c>
      <c r="E213">
        <v>2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 t="s">
        <v>71</v>
      </c>
      <c r="B214" t="s">
        <v>508</v>
      </c>
      <c r="C214" t="s">
        <v>173</v>
      </c>
      <c r="D214" t="s">
        <v>507</v>
      </c>
      <c r="E214">
        <v>2</v>
      </c>
      <c r="F214">
        <v>2</v>
      </c>
      <c r="G214">
        <v>1</v>
      </c>
      <c r="H214">
        <v>1</v>
      </c>
      <c r="I214">
        <v>0</v>
      </c>
      <c r="J214">
        <v>0</v>
      </c>
      <c r="K214">
        <v>0</v>
      </c>
    </row>
    <row r="215" spans="1:11" x14ac:dyDescent="0.4">
      <c r="A215" t="s">
        <v>71</v>
      </c>
      <c r="B215" t="s">
        <v>508</v>
      </c>
      <c r="C215" t="s">
        <v>173</v>
      </c>
      <c r="D215" t="s">
        <v>186</v>
      </c>
      <c r="E215">
        <v>2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 t="s">
        <v>326</v>
      </c>
      <c r="B216" t="s">
        <v>509</v>
      </c>
      <c r="C216" t="s">
        <v>173</v>
      </c>
      <c r="D216" t="s">
        <v>507</v>
      </c>
      <c r="E216">
        <v>2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 t="s">
        <v>326</v>
      </c>
      <c r="B217" t="s">
        <v>509</v>
      </c>
      <c r="C217" t="s">
        <v>173</v>
      </c>
      <c r="D217" t="s">
        <v>186</v>
      </c>
      <c r="E217">
        <v>2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 t="s">
        <v>106</v>
      </c>
      <c r="B218" t="s">
        <v>327</v>
      </c>
      <c r="C218" t="s">
        <v>80</v>
      </c>
      <c r="D218" t="s">
        <v>507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</row>
    <row r="219" spans="1:11" x14ac:dyDescent="0.4">
      <c r="A219" t="s">
        <v>106</v>
      </c>
      <c r="B219" t="s">
        <v>327</v>
      </c>
      <c r="C219" t="s">
        <v>80</v>
      </c>
      <c r="D219" t="s">
        <v>186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</row>
    <row r="220" spans="1:11" x14ac:dyDescent="0.4">
      <c r="A220" t="s">
        <v>107</v>
      </c>
      <c r="B220" t="s">
        <v>328</v>
      </c>
      <c r="C220" t="s">
        <v>80</v>
      </c>
      <c r="D220" t="s">
        <v>507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</row>
    <row r="221" spans="1:11" x14ac:dyDescent="0.4">
      <c r="A221" t="s">
        <v>107</v>
      </c>
      <c r="B221" t="s">
        <v>328</v>
      </c>
      <c r="C221" t="s">
        <v>80</v>
      </c>
      <c r="D221" t="s">
        <v>186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</row>
    <row r="222" spans="1:11" x14ac:dyDescent="0.4">
      <c r="A222" t="s">
        <v>108</v>
      </c>
      <c r="B222" t="s">
        <v>329</v>
      </c>
      <c r="C222" t="s">
        <v>80</v>
      </c>
      <c r="D222" t="s">
        <v>507</v>
      </c>
      <c r="E222">
        <v>2</v>
      </c>
      <c r="F222">
        <v>0</v>
      </c>
      <c r="G222">
        <v>0</v>
      </c>
      <c r="H222">
        <v>1</v>
      </c>
      <c r="I222">
        <v>0</v>
      </c>
      <c r="J222">
        <v>2</v>
      </c>
      <c r="K222">
        <v>-1</v>
      </c>
    </row>
    <row r="223" spans="1:11" x14ac:dyDescent="0.4">
      <c r="A223" t="s">
        <v>108</v>
      </c>
      <c r="B223" t="s">
        <v>329</v>
      </c>
      <c r="C223" t="s">
        <v>80</v>
      </c>
      <c r="D223" t="s">
        <v>186</v>
      </c>
      <c r="E223">
        <v>2</v>
      </c>
      <c r="F223">
        <v>0</v>
      </c>
      <c r="G223">
        <v>4</v>
      </c>
      <c r="H223">
        <v>2</v>
      </c>
      <c r="I223">
        <v>0</v>
      </c>
      <c r="J223">
        <v>2</v>
      </c>
      <c r="K223">
        <v>2</v>
      </c>
    </row>
    <row r="224" spans="1:11" x14ac:dyDescent="0.4">
      <c r="A224" t="s">
        <v>109</v>
      </c>
      <c r="B224" t="s">
        <v>330</v>
      </c>
      <c r="C224" t="s">
        <v>80</v>
      </c>
      <c r="D224" t="s">
        <v>507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</row>
    <row r="225" spans="1:11" x14ac:dyDescent="0.4">
      <c r="A225" t="s">
        <v>109</v>
      </c>
      <c r="B225" t="s">
        <v>330</v>
      </c>
      <c r="C225" t="s">
        <v>80</v>
      </c>
      <c r="D225" t="s">
        <v>186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</row>
    <row r="226" spans="1:11" x14ac:dyDescent="0.4">
      <c r="A226" t="s">
        <v>110</v>
      </c>
      <c r="B226" t="s">
        <v>331</v>
      </c>
      <c r="C226" t="s">
        <v>80</v>
      </c>
      <c r="D226" t="s">
        <v>507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</row>
    <row r="227" spans="1:11" x14ac:dyDescent="0.4">
      <c r="A227" t="s">
        <v>110</v>
      </c>
      <c r="B227" t="s">
        <v>331</v>
      </c>
      <c r="C227" t="s">
        <v>80</v>
      </c>
      <c r="D227" t="s">
        <v>186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</row>
    <row r="228" spans="1:11" x14ac:dyDescent="0.4">
      <c r="A228" t="s">
        <v>111</v>
      </c>
      <c r="B228" t="s">
        <v>332</v>
      </c>
      <c r="C228" t="s">
        <v>80</v>
      </c>
      <c r="D228" t="s">
        <v>507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</row>
    <row r="229" spans="1:11" x14ac:dyDescent="0.4">
      <c r="A229" t="s">
        <v>111</v>
      </c>
      <c r="B229" t="s">
        <v>332</v>
      </c>
      <c r="C229" t="s">
        <v>80</v>
      </c>
      <c r="D229" t="s">
        <v>186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</row>
    <row r="230" spans="1:11" x14ac:dyDescent="0.4">
      <c r="A230" t="s">
        <v>112</v>
      </c>
      <c r="B230" t="s">
        <v>333</v>
      </c>
      <c r="C230" t="s">
        <v>80</v>
      </c>
      <c r="D230" t="s">
        <v>507</v>
      </c>
      <c r="E230">
        <v>3</v>
      </c>
      <c r="F230">
        <v>0</v>
      </c>
      <c r="G230">
        <v>2</v>
      </c>
      <c r="H230">
        <v>2</v>
      </c>
      <c r="I230">
        <v>0</v>
      </c>
      <c r="J230">
        <v>2</v>
      </c>
      <c r="K230">
        <v>1</v>
      </c>
    </row>
    <row r="231" spans="1:11" x14ac:dyDescent="0.4">
      <c r="A231" t="s">
        <v>112</v>
      </c>
      <c r="B231" t="s">
        <v>333</v>
      </c>
      <c r="C231" t="s">
        <v>80</v>
      </c>
      <c r="D231" t="s">
        <v>186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-1</v>
      </c>
    </row>
    <row r="232" spans="1:11" x14ac:dyDescent="0.4">
      <c r="A232" t="s">
        <v>113</v>
      </c>
      <c r="B232" t="s">
        <v>334</v>
      </c>
      <c r="C232" t="s">
        <v>80</v>
      </c>
      <c r="D232" t="s">
        <v>507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</row>
    <row r="233" spans="1:11" x14ac:dyDescent="0.4">
      <c r="A233" t="s">
        <v>113</v>
      </c>
      <c r="B233" t="s">
        <v>334</v>
      </c>
      <c r="C233" t="s">
        <v>80</v>
      </c>
      <c r="D233" t="s">
        <v>186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</row>
    <row r="234" spans="1:11" x14ac:dyDescent="0.4">
      <c r="A234" t="s">
        <v>104</v>
      </c>
      <c r="B234" t="s">
        <v>335</v>
      </c>
      <c r="C234" t="s">
        <v>201</v>
      </c>
      <c r="D234" t="s">
        <v>507</v>
      </c>
      <c r="E234">
        <v>1</v>
      </c>
      <c r="F234">
        <v>0</v>
      </c>
      <c r="G234">
        <v>1</v>
      </c>
      <c r="H234">
        <v>1</v>
      </c>
      <c r="I234">
        <v>0</v>
      </c>
      <c r="J234">
        <v>1</v>
      </c>
      <c r="K234">
        <v>0</v>
      </c>
    </row>
    <row r="235" spans="1:11" x14ac:dyDescent="0.4">
      <c r="A235" t="s">
        <v>104</v>
      </c>
      <c r="B235" t="s">
        <v>335</v>
      </c>
      <c r="C235" t="s">
        <v>201</v>
      </c>
      <c r="D235" t="s">
        <v>186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</row>
    <row r="236" spans="1:11" x14ac:dyDescent="0.4">
      <c r="A236" t="s">
        <v>105</v>
      </c>
      <c r="B236" t="s">
        <v>336</v>
      </c>
      <c r="C236" t="s">
        <v>201</v>
      </c>
      <c r="D236" t="s">
        <v>507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</row>
    <row r="237" spans="1:11" x14ac:dyDescent="0.4">
      <c r="A237" t="s">
        <v>105</v>
      </c>
      <c r="B237" t="s">
        <v>336</v>
      </c>
      <c r="C237" t="s">
        <v>201</v>
      </c>
      <c r="D237" t="s">
        <v>186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</row>
    <row r="238" spans="1:11" x14ac:dyDescent="0.4">
      <c r="A238" t="s">
        <v>337</v>
      </c>
      <c r="B238" t="s">
        <v>510</v>
      </c>
      <c r="C238" t="s">
        <v>173</v>
      </c>
      <c r="D238" t="s">
        <v>507</v>
      </c>
      <c r="E238">
        <v>2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 t="s">
        <v>337</v>
      </c>
      <c r="B239" t="s">
        <v>510</v>
      </c>
      <c r="C239" t="s">
        <v>173</v>
      </c>
      <c r="D239" t="s">
        <v>186</v>
      </c>
      <c r="E239">
        <v>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 t="s">
        <v>55</v>
      </c>
      <c r="B240" t="s">
        <v>338</v>
      </c>
      <c r="C240" t="s">
        <v>195</v>
      </c>
      <c r="D240" t="s">
        <v>507</v>
      </c>
      <c r="E240">
        <v>6</v>
      </c>
      <c r="F240">
        <v>0</v>
      </c>
      <c r="G240">
        <v>0</v>
      </c>
      <c r="H240">
        <v>0</v>
      </c>
      <c r="I240">
        <v>10</v>
      </c>
      <c r="J240">
        <v>15</v>
      </c>
      <c r="K240">
        <v>1</v>
      </c>
    </row>
    <row r="241" spans="1:11" x14ac:dyDescent="0.4">
      <c r="A241" t="s">
        <v>55</v>
      </c>
      <c r="B241" t="s">
        <v>338</v>
      </c>
      <c r="C241" t="s">
        <v>195</v>
      </c>
      <c r="D241" t="s">
        <v>186</v>
      </c>
      <c r="E241">
        <v>7</v>
      </c>
      <c r="F241">
        <v>12</v>
      </c>
      <c r="G241">
        <v>0</v>
      </c>
      <c r="H241">
        <v>0</v>
      </c>
      <c r="I241">
        <v>21</v>
      </c>
      <c r="J241">
        <v>17</v>
      </c>
      <c r="K241">
        <v>-1</v>
      </c>
    </row>
    <row r="242" spans="1:11" x14ac:dyDescent="0.4">
      <c r="A242" t="s">
        <v>34</v>
      </c>
      <c r="B242" t="s">
        <v>339</v>
      </c>
      <c r="C242" t="s">
        <v>173</v>
      </c>
      <c r="D242" t="s">
        <v>507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</row>
    <row r="243" spans="1:11" x14ac:dyDescent="0.4">
      <c r="A243" t="s">
        <v>34</v>
      </c>
      <c r="B243" t="s">
        <v>339</v>
      </c>
      <c r="C243" t="s">
        <v>173</v>
      </c>
      <c r="D243" t="s">
        <v>186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</row>
    <row r="244" spans="1:11" x14ac:dyDescent="0.4">
      <c r="A244" t="s">
        <v>35</v>
      </c>
      <c r="B244" t="s">
        <v>340</v>
      </c>
      <c r="C244" t="s">
        <v>173</v>
      </c>
      <c r="D244" t="s">
        <v>507</v>
      </c>
      <c r="E244">
        <v>12</v>
      </c>
      <c r="F244">
        <v>9</v>
      </c>
      <c r="G244">
        <v>0</v>
      </c>
      <c r="H244">
        <v>0</v>
      </c>
      <c r="I244">
        <v>354</v>
      </c>
      <c r="J244">
        <v>360</v>
      </c>
      <c r="K244">
        <v>-3</v>
      </c>
    </row>
    <row r="245" spans="1:11" x14ac:dyDescent="0.4">
      <c r="A245" t="s">
        <v>35</v>
      </c>
      <c r="B245" t="s">
        <v>340</v>
      </c>
      <c r="C245" t="s">
        <v>173</v>
      </c>
      <c r="D245" t="s">
        <v>186</v>
      </c>
      <c r="E245">
        <v>6</v>
      </c>
      <c r="F245">
        <v>9</v>
      </c>
      <c r="G245">
        <v>0</v>
      </c>
      <c r="H245">
        <v>0</v>
      </c>
      <c r="I245">
        <v>180</v>
      </c>
      <c r="J245">
        <v>180</v>
      </c>
      <c r="K245">
        <v>-3</v>
      </c>
    </row>
    <row r="246" spans="1:11" x14ac:dyDescent="0.4">
      <c r="A246" t="s">
        <v>151</v>
      </c>
      <c r="B246" t="s">
        <v>341</v>
      </c>
      <c r="C246" t="s">
        <v>195</v>
      </c>
      <c r="D246" t="s">
        <v>507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</row>
    <row r="247" spans="1:11" x14ac:dyDescent="0.4">
      <c r="A247" t="s">
        <v>151</v>
      </c>
      <c r="B247" t="s">
        <v>341</v>
      </c>
      <c r="C247" t="s">
        <v>195</v>
      </c>
      <c r="D247" t="s">
        <v>186</v>
      </c>
      <c r="E247">
        <v>1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-1</v>
      </c>
    </row>
    <row r="248" spans="1:11" x14ac:dyDescent="0.4">
      <c r="A248" t="s">
        <v>90</v>
      </c>
      <c r="B248" t="s">
        <v>342</v>
      </c>
      <c r="C248" t="s">
        <v>195</v>
      </c>
      <c r="D248" t="s">
        <v>507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 t="s">
        <v>90</v>
      </c>
      <c r="B249" t="s">
        <v>342</v>
      </c>
      <c r="C249" t="s">
        <v>195</v>
      </c>
      <c r="D249" t="s">
        <v>186</v>
      </c>
      <c r="E249">
        <v>4</v>
      </c>
      <c r="F249">
        <v>2</v>
      </c>
      <c r="G249">
        <v>0</v>
      </c>
      <c r="H249">
        <v>0</v>
      </c>
      <c r="I249">
        <v>0</v>
      </c>
      <c r="J249">
        <v>2</v>
      </c>
      <c r="K249">
        <v>0</v>
      </c>
    </row>
    <row r="250" spans="1:11" x14ac:dyDescent="0.4">
      <c r="A250" t="s">
        <v>91</v>
      </c>
      <c r="B250" t="s">
        <v>343</v>
      </c>
      <c r="C250" t="s">
        <v>173</v>
      </c>
      <c r="D250" t="s">
        <v>507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3</v>
      </c>
      <c r="K250">
        <v>-1</v>
      </c>
    </row>
    <row r="251" spans="1:11" x14ac:dyDescent="0.4">
      <c r="A251" t="s">
        <v>91</v>
      </c>
      <c r="B251" t="s">
        <v>343</v>
      </c>
      <c r="C251" t="s">
        <v>173</v>
      </c>
      <c r="D251" t="s">
        <v>186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0</v>
      </c>
    </row>
    <row r="252" spans="1:11" x14ac:dyDescent="0.4">
      <c r="A252" t="s">
        <v>344</v>
      </c>
      <c r="B252" t="s">
        <v>345</v>
      </c>
      <c r="C252" t="s">
        <v>175</v>
      </c>
      <c r="D252" t="s">
        <v>507</v>
      </c>
      <c r="E252">
        <v>2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 t="s">
        <v>344</v>
      </c>
      <c r="B253" t="s">
        <v>345</v>
      </c>
      <c r="C253" t="s">
        <v>175</v>
      </c>
      <c r="D253" t="s">
        <v>186</v>
      </c>
      <c r="E253">
        <v>2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 t="s">
        <v>346</v>
      </c>
      <c r="B254" t="s">
        <v>347</v>
      </c>
      <c r="C254" t="s">
        <v>175</v>
      </c>
      <c r="D254" t="s">
        <v>507</v>
      </c>
      <c r="E254">
        <v>2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 t="s">
        <v>346</v>
      </c>
      <c r="B255" t="s">
        <v>347</v>
      </c>
      <c r="C255" t="s">
        <v>175</v>
      </c>
      <c r="D255" t="s">
        <v>186</v>
      </c>
      <c r="E255">
        <v>2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 t="s">
        <v>8</v>
      </c>
      <c r="B256" t="s">
        <v>348</v>
      </c>
      <c r="C256" t="s">
        <v>175</v>
      </c>
      <c r="D256" t="s">
        <v>507</v>
      </c>
      <c r="E256">
        <v>1</v>
      </c>
      <c r="F256">
        <v>4</v>
      </c>
      <c r="G256">
        <v>0</v>
      </c>
      <c r="H256">
        <v>0</v>
      </c>
      <c r="I256">
        <v>3</v>
      </c>
      <c r="J256">
        <v>0</v>
      </c>
      <c r="K256">
        <v>0</v>
      </c>
    </row>
    <row r="257" spans="1:11" x14ac:dyDescent="0.4">
      <c r="A257" t="s">
        <v>8</v>
      </c>
      <c r="B257" t="s">
        <v>348</v>
      </c>
      <c r="C257" t="s">
        <v>175</v>
      </c>
      <c r="D257" t="s">
        <v>186</v>
      </c>
      <c r="E257">
        <v>4</v>
      </c>
      <c r="F257">
        <v>5</v>
      </c>
      <c r="G257">
        <v>0</v>
      </c>
      <c r="H257">
        <v>0</v>
      </c>
      <c r="I257">
        <v>-2</v>
      </c>
      <c r="J257">
        <v>0</v>
      </c>
      <c r="K257">
        <v>-3</v>
      </c>
    </row>
    <row r="258" spans="1:11" x14ac:dyDescent="0.4">
      <c r="A258" t="s">
        <v>349</v>
      </c>
      <c r="B258" t="s">
        <v>350</v>
      </c>
      <c r="C258" t="s">
        <v>195</v>
      </c>
      <c r="D258" t="s">
        <v>507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 t="s">
        <v>349</v>
      </c>
      <c r="B259" t="s">
        <v>350</v>
      </c>
      <c r="C259" t="s">
        <v>195</v>
      </c>
      <c r="D259" t="s">
        <v>186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 t="s">
        <v>12</v>
      </c>
      <c r="B260" t="s">
        <v>351</v>
      </c>
      <c r="C260" t="s">
        <v>175</v>
      </c>
      <c r="D260" t="s">
        <v>507</v>
      </c>
      <c r="E260">
        <v>7</v>
      </c>
      <c r="F260">
        <v>0</v>
      </c>
      <c r="G260">
        <v>0</v>
      </c>
      <c r="H260">
        <v>0</v>
      </c>
      <c r="I260">
        <v>12</v>
      </c>
      <c r="J260">
        <v>15</v>
      </c>
      <c r="K260">
        <v>4</v>
      </c>
    </row>
    <row r="261" spans="1:11" x14ac:dyDescent="0.4">
      <c r="A261" t="s">
        <v>12</v>
      </c>
      <c r="B261" t="s">
        <v>351</v>
      </c>
      <c r="C261" t="s">
        <v>175</v>
      </c>
      <c r="D261" t="s">
        <v>186</v>
      </c>
      <c r="E261">
        <v>15</v>
      </c>
      <c r="F261">
        <v>0</v>
      </c>
      <c r="G261">
        <v>0</v>
      </c>
      <c r="H261">
        <v>0</v>
      </c>
      <c r="I261">
        <v>11</v>
      </c>
      <c r="J261">
        <v>2</v>
      </c>
      <c r="K261">
        <v>24</v>
      </c>
    </row>
    <row r="262" spans="1:11" x14ac:dyDescent="0.4">
      <c r="A262" t="s">
        <v>64</v>
      </c>
      <c r="B262" t="s">
        <v>352</v>
      </c>
      <c r="C262" t="s">
        <v>175</v>
      </c>
      <c r="D262" t="s">
        <v>507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</row>
    <row r="263" spans="1:11" x14ac:dyDescent="0.4">
      <c r="A263" t="s">
        <v>64</v>
      </c>
      <c r="B263" t="s">
        <v>352</v>
      </c>
      <c r="C263" t="s">
        <v>175</v>
      </c>
      <c r="D263" t="s">
        <v>186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</row>
    <row r="264" spans="1:11" x14ac:dyDescent="0.4">
      <c r="A264" t="s">
        <v>353</v>
      </c>
      <c r="B264" t="s">
        <v>354</v>
      </c>
      <c r="C264" t="s">
        <v>175</v>
      </c>
      <c r="D264" t="s">
        <v>507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 t="s">
        <v>353</v>
      </c>
      <c r="B265" t="s">
        <v>354</v>
      </c>
      <c r="C265" t="s">
        <v>175</v>
      </c>
      <c r="D265" t="s">
        <v>186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 t="s">
        <v>355</v>
      </c>
      <c r="B266" t="s">
        <v>356</v>
      </c>
      <c r="C266" t="s">
        <v>173</v>
      </c>
      <c r="D266" t="s">
        <v>507</v>
      </c>
      <c r="E266">
        <v>2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 t="s">
        <v>355</v>
      </c>
      <c r="B267" t="s">
        <v>356</v>
      </c>
      <c r="C267" t="s">
        <v>173</v>
      </c>
      <c r="D267" t="s">
        <v>186</v>
      </c>
      <c r="E267">
        <v>2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 t="s">
        <v>357</v>
      </c>
      <c r="B268" t="s">
        <v>358</v>
      </c>
      <c r="C268" t="s">
        <v>173</v>
      </c>
      <c r="D268" t="s">
        <v>507</v>
      </c>
      <c r="E268">
        <v>2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 t="s">
        <v>357</v>
      </c>
      <c r="B269" t="s">
        <v>358</v>
      </c>
      <c r="C269" t="s">
        <v>173</v>
      </c>
      <c r="D269" t="s">
        <v>186</v>
      </c>
      <c r="E269">
        <v>2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 t="s">
        <v>359</v>
      </c>
      <c r="B270" t="s">
        <v>360</v>
      </c>
      <c r="C270" t="s">
        <v>173</v>
      </c>
      <c r="D270" t="s">
        <v>507</v>
      </c>
      <c r="E270">
        <v>2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 t="s">
        <v>359</v>
      </c>
      <c r="B271" t="s">
        <v>360</v>
      </c>
      <c r="C271" t="s">
        <v>173</v>
      </c>
      <c r="D271" t="s">
        <v>186</v>
      </c>
      <c r="E271">
        <v>2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 t="s">
        <v>361</v>
      </c>
      <c r="B272" t="s">
        <v>362</v>
      </c>
      <c r="C272" t="s">
        <v>173</v>
      </c>
      <c r="D272" t="s">
        <v>507</v>
      </c>
      <c r="E272">
        <v>2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 t="s">
        <v>361</v>
      </c>
      <c r="B273" t="s">
        <v>362</v>
      </c>
      <c r="C273" t="s">
        <v>173</v>
      </c>
      <c r="D273" t="s">
        <v>186</v>
      </c>
      <c r="E273">
        <v>2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 t="s">
        <v>363</v>
      </c>
      <c r="B274" t="s">
        <v>364</v>
      </c>
      <c r="C274" t="s">
        <v>173</v>
      </c>
      <c r="D274" t="s">
        <v>507</v>
      </c>
      <c r="E274">
        <v>2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 t="s">
        <v>363</v>
      </c>
      <c r="B275" t="s">
        <v>364</v>
      </c>
      <c r="C275" t="s">
        <v>173</v>
      </c>
      <c r="D275" t="s">
        <v>186</v>
      </c>
      <c r="E275">
        <v>2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 t="s">
        <v>24</v>
      </c>
      <c r="B276" t="s">
        <v>365</v>
      </c>
      <c r="C276" t="s">
        <v>173</v>
      </c>
      <c r="D276" t="s">
        <v>507</v>
      </c>
      <c r="E276">
        <v>2</v>
      </c>
      <c r="F276">
        <v>2</v>
      </c>
      <c r="G276">
        <v>0</v>
      </c>
      <c r="H276">
        <v>0</v>
      </c>
      <c r="I276">
        <v>1</v>
      </c>
      <c r="J276">
        <v>1</v>
      </c>
      <c r="K276">
        <v>0</v>
      </c>
    </row>
    <row r="277" spans="1:11" x14ac:dyDescent="0.4">
      <c r="A277" t="s">
        <v>24</v>
      </c>
      <c r="B277" t="s">
        <v>365</v>
      </c>
      <c r="C277" t="s">
        <v>173</v>
      </c>
      <c r="D277" t="s">
        <v>186</v>
      </c>
      <c r="E277">
        <v>2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 t="s">
        <v>366</v>
      </c>
      <c r="B278" t="s">
        <v>367</v>
      </c>
      <c r="C278" t="s">
        <v>173</v>
      </c>
      <c r="D278" t="s">
        <v>507</v>
      </c>
      <c r="E278">
        <v>2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 t="s">
        <v>366</v>
      </c>
      <c r="B279" t="s">
        <v>367</v>
      </c>
      <c r="C279" t="s">
        <v>173</v>
      </c>
      <c r="D279" t="s">
        <v>186</v>
      </c>
      <c r="E279">
        <v>2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 t="s">
        <v>368</v>
      </c>
      <c r="B280" t="s">
        <v>369</v>
      </c>
      <c r="C280" t="s">
        <v>173</v>
      </c>
      <c r="D280" t="s">
        <v>507</v>
      </c>
      <c r="E280">
        <v>2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 t="s">
        <v>368</v>
      </c>
      <c r="B281" t="s">
        <v>369</v>
      </c>
      <c r="C281" t="s">
        <v>173</v>
      </c>
      <c r="D281" t="s">
        <v>186</v>
      </c>
      <c r="E281">
        <v>2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 t="s">
        <v>167</v>
      </c>
      <c r="B282" t="s">
        <v>370</v>
      </c>
      <c r="C282" t="s">
        <v>173</v>
      </c>
      <c r="D282" t="s">
        <v>507</v>
      </c>
      <c r="E282">
        <v>1</v>
      </c>
      <c r="F282">
        <v>2</v>
      </c>
      <c r="G282">
        <v>0</v>
      </c>
      <c r="H282">
        <v>0</v>
      </c>
      <c r="I282">
        <v>1</v>
      </c>
      <c r="J282">
        <v>0</v>
      </c>
      <c r="K282">
        <v>0</v>
      </c>
    </row>
    <row r="283" spans="1:11" x14ac:dyDescent="0.4">
      <c r="A283" t="s">
        <v>167</v>
      </c>
      <c r="B283" t="s">
        <v>370</v>
      </c>
      <c r="C283" t="s">
        <v>173</v>
      </c>
      <c r="D283" t="s">
        <v>186</v>
      </c>
      <c r="E283">
        <v>2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 t="s">
        <v>10</v>
      </c>
      <c r="B284" t="s">
        <v>371</v>
      </c>
      <c r="C284" t="s">
        <v>173</v>
      </c>
      <c r="D284" t="s">
        <v>507</v>
      </c>
      <c r="E284">
        <v>2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</row>
    <row r="285" spans="1:11" x14ac:dyDescent="0.4">
      <c r="A285" t="s">
        <v>10</v>
      </c>
      <c r="B285" t="s">
        <v>371</v>
      </c>
      <c r="C285" t="s">
        <v>173</v>
      </c>
      <c r="D285" t="s">
        <v>186</v>
      </c>
      <c r="E285">
        <v>2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 t="s">
        <v>372</v>
      </c>
      <c r="B286" t="s">
        <v>373</v>
      </c>
      <c r="C286" t="s">
        <v>173</v>
      </c>
      <c r="D286" t="s">
        <v>507</v>
      </c>
      <c r="E286">
        <v>2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 t="s">
        <v>372</v>
      </c>
      <c r="B287" t="s">
        <v>373</v>
      </c>
      <c r="C287" t="s">
        <v>173</v>
      </c>
      <c r="D287" t="s">
        <v>186</v>
      </c>
      <c r="E287">
        <v>2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 t="s">
        <v>374</v>
      </c>
      <c r="B288" t="s">
        <v>375</v>
      </c>
      <c r="C288" t="s">
        <v>173</v>
      </c>
      <c r="D288" t="s">
        <v>507</v>
      </c>
      <c r="E288">
        <v>2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 t="s">
        <v>374</v>
      </c>
      <c r="B289" t="s">
        <v>375</v>
      </c>
      <c r="C289" t="s">
        <v>173</v>
      </c>
      <c r="D289" t="s">
        <v>186</v>
      </c>
      <c r="E289">
        <v>2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 t="s">
        <v>376</v>
      </c>
      <c r="B290" t="s">
        <v>377</v>
      </c>
      <c r="C290" t="s">
        <v>173</v>
      </c>
      <c r="D290" t="s">
        <v>507</v>
      </c>
      <c r="E290">
        <v>2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 t="s">
        <v>376</v>
      </c>
      <c r="B291" t="s">
        <v>377</v>
      </c>
      <c r="C291" t="s">
        <v>173</v>
      </c>
      <c r="D291" t="s">
        <v>186</v>
      </c>
      <c r="E291">
        <v>2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 t="s">
        <v>378</v>
      </c>
      <c r="B292" t="s">
        <v>379</v>
      </c>
      <c r="C292" t="s">
        <v>173</v>
      </c>
      <c r="D292" t="s">
        <v>507</v>
      </c>
      <c r="E292">
        <v>2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 t="s">
        <v>378</v>
      </c>
      <c r="B293" t="s">
        <v>379</v>
      </c>
      <c r="C293" t="s">
        <v>173</v>
      </c>
      <c r="D293" t="s">
        <v>186</v>
      </c>
      <c r="E293">
        <v>2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 t="s">
        <v>32</v>
      </c>
      <c r="B294" t="s">
        <v>380</v>
      </c>
      <c r="C294" t="s">
        <v>173</v>
      </c>
      <c r="D294" t="s">
        <v>507</v>
      </c>
      <c r="E294">
        <v>0</v>
      </c>
      <c r="F294">
        <v>14</v>
      </c>
      <c r="G294">
        <v>0</v>
      </c>
      <c r="H294">
        <v>0</v>
      </c>
      <c r="I294">
        <v>0</v>
      </c>
      <c r="J294">
        <v>0</v>
      </c>
      <c r="K294">
        <v>-14</v>
      </c>
    </row>
    <row r="295" spans="1:11" x14ac:dyDescent="0.4">
      <c r="A295" t="s">
        <v>32</v>
      </c>
      <c r="B295" t="s">
        <v>380</v>
      </c>
      <c r="C295" t="s">
        <v>173</v>
      </c>
      <c r="D295" t="s">
        <v>186</v>
      </c>
      <c r="E295">
        <v>0</v>
      </c>
      <c r="F295">
        <v>15</v>
      </c>
      <c r="G295">
        <v>0</v>
      </c>
      <c r="H295">
        <v>0</v>
      </c>
      <c r="I295">
        <v>0</v>
      </c>
      <c r="J295">
        <v>0</v>
      </c>
      <c r="K295">
        <v>-15</v>
      </c>
    </row>
    <row r="296" spans="1:11" x14ac:dyDescent="0.4">
      <c r="A296" t="s">
        <v>381</v>
      </c>
      <c r="B296" t="s">
        <v>382</v>
      </c>
      <c r="C296" t="s">
        <v>173</v>
      </c>
      <c r="D296" t="s">
        <v>507</v>
      </c>
      <c r="E296">
        <v>2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 t="s">
        <v>381</v>
      </c>
      <c r="B297" t="s">
        <v>382</v>
      </c>
      <c r="C297" t="s">
        <v>173</v>
      </c>
      <c r="D297" t="s">
        <v>186</v>
      </c>
      <c r="E297">
        <v>2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 t="s">
        <v>383</v>
      </c>
      <c r="B298" t="s">
        <v>384</v>
      </c>
      <c r="C298" t="s">
        <v>173</v>
      </c>
      <c r="D298" t="s">
        <v>507</v>
      </c>
      <c r="E298">
        <v>2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 t="s">
        <v>383</v>
      </c>
      <c r="B299" t="s">
        <v>384</v>
      </c>
      <c r="C299" t="s">
        <v>173</v>
      </c>
      <c r="D299" t="s">
        <v>186</v>
      </c>
      <c r="E299">
        <v>2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 t="s">
        <v>385</v>
      </c>
      <c r="B300" t="s">
        <v>386</v>
      </c>
      <c r="C300" t="s">
        <v>173</v>
      </c>
      <c r="D300" t="s">
        <v>507</v>
      </c>
      <c r="E300">
        <v>2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 t="s">
        <v>385</v>
      </c>
      <c r="B301" t="s">
        <v>386</v>
      </c>
      <c r="C301" t="s">
        <v>173</v>
      </c>
      <c r="D301" t="s">
        <v>186</v>
      </c>
      <c r="E301">
        <v>2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 t="s">
        <v>387</v>
      </c>
      <c r="B302" t="s">
        <v>388</v>
      </c>
      <c r="C302" t="s">
        <v>173</v>
      </c>
      <c r="D302" t="s">
        <v>507</v>
      </c>
      <c r="E302">
        <v>2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 t="s">
        <v>387</v>
      </c>
      <c r="B303" t="s">
        <v>388</v>
      </c>
      <c r="C303" t="s">
        <v>173</v>
      </c>
      <c r="D303" t="s">
        <v>186</v>
      </c>
      <c r="E303">
        <v>2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 t="s">
        <v>389</v>
      </c>
      <c r="B304" t="s">
        <v>511</v>
      </c>
      <c r="C304" t="s">
        <v>173</v>
      </c>
      <c r="D304" t="s">
        <v>507</v>
      </c>
      <c r="E304">
        <v>2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 t="s">
        <v>389</v>
      </c>
      <c r="B305" t="s">
        <v>511</v>
      </c>
      <c r="C305" t="s">
        <v>173</v>
      </c>
      <c r="D305" t="s">
        <v>186</v>
      </c>
      <c r="E305">
        <v>2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 t="s">
        <v>6</v>
      </c>
      <c r="B306" t="s">
        <v>390</v>
      </c>
      <c r="C306" t="s">
        <v>173</v>
      </c>
      <c r="D306" t="s">
        <v>507</v>
      </c>
      <c r="E306">
        <v>3</v>
      </c>
      <c r="F306">
        <v>2</v>
      </c>
      <c r="G306">
        <v>12</v>
      </c>
      <c r="H306">
        <v>15</v>
      </c>
      <c r="I306">
        <v>0</v>
      </c>
      <c r="J306">
        <v>1</v>
      </c>
      <c r="K306">
        <v>-3</v>
      </c>
    </row>
    <row r="307" spans="1:11" x14ac:dyDescent="0.4">
      <c r="A307" t="s">
        <v>6</v>
      </c>
      <c r="B307" t="s">
        <v>390</v>
      </c>
      <c r="C307" t="s">
        <v>173</v>
      </c>
      <c r="D307" t="s">
        <v>186</v>
      </c>
      <c r="E307">
        <v>3</v>
      </c>
      <c r="F307">
        <v>2</v>
      </c>
      <c r="G307">
        <v>4</v>
      </c>
      <c r="H307">
        <v>3</v>
      </c>
      <c r="I307">
        <v>0</v>
      </c>
      <c r="J307">
        <v>0</v>
      </c>
      <c r="K307">
        <v>2</v>
      </c>
    </row>
    <row r="308" spans="1:11" x14ac:dyDescent="0.4">
      <c r="A308" t="s">
        <v>164</v>
      </c>
      <c r="B308" t="s">
        <v>391</v>
      </c>
      <c r="C308" t="s">
        <v>173</v>
      </c>
      <c r="D308" t="s">
        <v>507</v>
      </c>
      <c r="E308">
        <v>4</v>
      </c>
      <c r="F308">
        <v>5</v>
      </c>
      <c r="G308">
        <v>0</v>
      </c>
      <c r="H308">
        <v>0</v>
      </c>
      <c r="I308">
        <v>1</v>
      </c>
      <c r="J308">
        <v>0</v>
      </c>
      <c r="K308">
        <v>0</v>
      </c>
    </row>
    <row r="309" spans="1:11" x14ac:dyDescent="0.4">
      <c r="A309" t="s">
        <v>164</v>
      </c>
      <c r="B309" t="s">
        <v>391</v>
      </c>
      <c r="C309" t="s">
        <v>173</v>
      </c>
      <c r="D309" t="s">
        <v>186</v>
      </c>
      <c r="E309">
        <v>5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 t="s">
        <v>100</v>
      </c>
      <c r="B310" t="s">
        <v>392</v>
      </c>
      <c r="C310" t="s">
        <v>173</v>
      </c>
      <c r="D310" t="s">
        <v>507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</row>
    <row r="311" spans="1:11" x14ac:dyDescent="0.4">
      <c r="A311" t="s">
        <v>100</v>
      </c>
      <c r="B311" t="s">
        <v>392</v>
      </c>
      <c r="C311" t="s">
        <v>173</v>
      </c>
      <c r="D311" t="s">
        <v>186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 t="s">
        <v>393</v>
      </c>
      <c r="B312" t="s">
        <v>394</v>
      </c>
      <c r="C312" t="s">
        <v>173</v>
      </c>
      <c r="D312" t="s">
        <v>507</v>
      </c>
      <c r="E312">
        <v>6</v>
      </c>
      <c r="F312">
        <v>6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 t="s">
        <v>393</v>
      </c>
      <c r="B313" t="s">
        <v>394</v>
      </c>
      <c r="C313" t="s">
        <v>173</v>
      </c>
      <c r="D313" t="s">
        <v>186</v>
      </c>
      <c r="E313">
        <v>6</v>
      </c>
      <c r="F313">
        <v>6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 t="s">
        <v>36</v>
      </c>
      <c r="B314" t="s">
        <v>395</v>
      </c>
      <c r="C314" t="s">
        <v>175</v>
      </c>
      <c r="D314" t="s">
        <v>507</v>
      </c>
      <c r="E314">
        <v>3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 t="s">
        <v>36</v>
      </c>
      <c r="B315" t="s">
        <v>395</v>
      </c>
      <c r="C315" t="s">
        <v>175</v>
      </c>
      <c r="D315" t="s">
        <v>186</v>
      </c>
      <c r="E315">
        <v>3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1</v>
      </c>
    </row>
    <row r="316" spans="1:11" x14ac:dyDescent="0.4">
      <c r="A316" t="s">
        <v>17</v>
      </c>
      <c r="B316" t="s">
        <v>396</v>
      </c>
      <c r="C316" t="s">
        <v>173</v>
      </c>
      <c r="D316" t="s">
        <v>507</v>
      </c>
      <c r="E316">
        <v>3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 t="s">
        <v>17</v>
      </c>
      <c r="B317" t="s">
        <v>396</v>
      </c>
      <c r="C317" t="s">
        <v>173</v>
      </c>
      <c r="D317" t="s">
        <v>186</v>
      </c>
      <c r="E317">
        <v>5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2</v>
      </c>
    </row>
    <row r="318" spans="1:11" x14ac:dyDescent="0.4">
      <c r="A318" t="s">
        <v>138</v>
      </c>
      <c r="B318" t="s">
        <v>397</v>
      </c>
      <c r="C318" t="s">
        <v>173</v>
      </c>
      <c r="D318" t="s">
        <v>507</v>
      </c>
      <c r="E318">
        <v>6</v>
      </c>
      <c r="F318">
        <v>6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 t="s">
        <v>138</v>
      </c>
      <c r="B319" t="s">
        <v>397</v>
      </c>
      <c r="C319" t="s">
        <v>173</v>
      </c>
      <c r="D319" t="s">
        <v>186</v>
      </c>
      <c r="E319">
        <v>2</v>
      </c>
      <c r="F319">
        <v>6</v>
      </c>
      <c r="G319">
        <v>0</v>
      </c>
      <c r="H319">
        <v>0</v>
      </c>
      <c r="I319">
        <v>4</v>
      </c>
      <c r="J319">
        <v>0</v>
      </c>
      <c r="K319">
        <v>0</v>
      </c>
    </row>
    <row r="320" spans="1:11" x14ac:dyDescent="0.4">
      <c r="A320" t="s">
        <v>398</v>
      </c>
      <c r="B320" t="s">
        <v>399</v>
      </c>
      <c r="C320" t="s">
        <v>175</v>
      </c>
      <c r="D320" t="s">
        <v>507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 t="s">
        <v>398</v>
      </c>
      <c r="B321" t="s">
        <v>399</v>
      </c>
      <c r="C321" t="s">
        <v>175</v>
      </c>
      <c r="D321" t="s">
        <v>186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 t="s">
        <v>400</v>
      </c>
      <c r="B322" t="s">
        <v>401</v>
      </c>
      <c r="C322" t="s">
        <v>195</v>
      </c>
      <c r="D322" t="s">
        <v>507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 t="s">
        <v>400</v>
      </c>
      <c r="B323" t="s">
        <v>401</v>
      </c>
      <c r="C323" t="s">
        <v>195</v>
      </c>
      <c r="D323" t="s">
        <v>186</v>
      </c>
      <c r="E323">
        <v>2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 t="s">
        <v>402</v>
      </c>
      <c r="B324" t="s">
        <v>403</v>
      </c>
      <c r="C324" t="s">
        <v>195</v>
      </c>
      <c r="D324" t="s">
        <v>507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 t="s">
        <v>402</v>
      </c>
      <c r="B325" t="s">
        <v>403</v>
      </c>
      <c r="C325" t="s">
        <v>195</v>
      </c>
      <c r="D325" t="s">
        <v>186</v>
      </c>
      <c r="E325">
        <v>2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 t="s">
        <v>404</v>
      </c>
      <c r="B326" t="s">
        <v>405</v>
      </c>
      <c r="C326" t="s">
        <v>195</v>
      </c>
      <c r="D326" t="s">
        <v>507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 t="s">
        <v>404</v>
      </c>
      <c r="B327" t="s">
        <v>405</v>
      </c>
      <c r="C327" t="s">
        <v>195</v>
      </c>
      <c r="D327" t="s">
        <v>186</v>
      </c>
      <c r="E327">
        <v>2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 t="s">
        <v>406</v>
      </c>
      <c r="B328" t="s">
        <v>407</v>
      </c>
      <c r="C328" t="s">
        <v>195</v>
      </c>
      <c r="D328" t="s">
        <v>507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 t="s">
        <v>406</v>
      </c>
      <c r="B329" t="s">
        <v>407</v>
      </c>
      <c r="C329" t="s">
        <v>195</v>
      </c>
      <c r="D329" t="s">
        <v>186</v>
      </c>
      <c r="E329">
        <v>2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 t="s">
        <v>408</v>
      </c>
      <c r="B330" t="s">
        <v>409</v>
      </c>
      <c r="C330" t="s">
        <v>173</v>
      </c>
      <c r="D330" t="s">
        <v>507</v>
      </c>
      <c r="E330">
        <v>2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 t="s">
        <v>408</v>
      </c>
      <c r="B331" t="s">
        <v>409</v>
      </c>
      <c r="C331" t="s">
        <v>173</v>
      </c>
      <c r="D331" t="s">
        <v>186</v>
      </c>
      <c r="E331">
        <v>2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 t="s">
        <v>83</v>
      </c>
      <c r="B332" t="s">
        <v>410</v>
      </c>
      <c r="C332" t="s">
        <v>175</v>
      </c>
      <c r="D332" t="s">
        <v>507</v>
      </c>
      <c r="E332">
        <v>4</v>
      </c>
      <c r="F332">
        <v>0</v>
      </c>
      <c r="G332">
        <v>0</v>
      </c>
      <c r="H332">
        <v>0</v>
      </c>
      <c r="I332">
        <v>12</v>
      </c>
      <c r="J332">
        <v>14</v>
      </c>
      <c r="K332">
        <v>2</v>
      </c>
    </row>
    <row r="333" spans="1:11" x14ac:dyDescent="0.4">
      <c r="A333" t="s">
        <v>83</v>
      </c>
      <c r="B333" t="s">
        <v>410</v>
      </c>
      <c r="C333" t="s">
        <v>175</v>
      </c>
      <c r="D333" t="s">
        <v>186</v>
      </c>
      <c r="E333">
        <v>6</v>
      </c>
      <c r="F333">
        <v>0</v>
      </c>
      <c r="G333">
        <v>0</v>
      </c>
      <c r="H333">
        <v>0</v>
      </c>
      <c r="I333">
        <v>34</v>
      </c>
      <c r="J333">
        <v>40</v>
      </c>
      <c r="K333">
        <v>0</v>
      </c>
    </row>
    <row r="334" spans="1:11" x14ac:dyDescent="0.4">
      <c r="A334" t="s">
        <v>128</v>
      </c>
      <c r="B334" t="s">
        <v>411</v>
      </c>
      <c r="C334" t="s">
        <v>173</v>
      </c>
      <c r="D334" t="s">
        <v>507</v>
      </c>
      <c r="E334">
        <v>2</v>
      </c>
      <c r="F334">
        <v>2</v>
      </c>
      <c r="G334">
        <v>0</v>
      </c>
      <c r="H334">
        <v>0</v>
      </c>
      <c r="I334">
        <v>1</v>
      </c>
      <c r="J334">
        <v>1</v>
      </c>
      <c r="K334">
        <v>0</v>
      </c>
    </row>
    <row r="335" spans="1:11" x14ac:dyDescent="0.4">
      <c r="A335" t="s">
        <v>128</v>
      </c>
      <c r="B335" t="s">
        <v>411</v>
      </c>
      <c r="C335" t="s">
        <v>173</v>
      </c>
      <c r="D335" t="s">
        <v>186</v>
      </c>
      <c r="E335">
        <v>2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 t="s">
        <v>85</v>
      </c>
      <c r="B336" t="s">
        <v>412</v>
      </c>
      <c r="C336" t="s">
        <v>175</v>
      </c>
      <c r="D336" t="s">
        <v>507</v>
      </c>
      <c r="E336">
        <v>14</v>
      </c>
      <c r="F336">
        <v>0</v>
      </c>
      <c r="G336">
        <v>0</v>
      </c>
      <c r="H336">
        <v>0</v>
      </c>
      <c r="I336">
        <v>30</v>
      </c>
      <c r="J336">
        <v>32</v>
      </c>
      <c r="K336">
        <v>12</v>
      </c>
    </row>
    <row r="337" spans="1:11" x14ac:dyDescent="0.4">
      <c r="A337" t="s">
        <v>85</v>
      </c>
      <c r="B337" t="s">
        <v>412</v>
      </c>
      <c r="C337" t="s">
        <v>175</v>
      </c>
      <c r="D337" t="s">
        <v>186</v>
      </c>
      <c r="E337">
        <v>4</v>
      </c>
      <c r="F337">
        <v>0</v>
      </c>
      <c r="G337">
        <v>0</v>
      </c>
      <c r="H337">
        <v>0</v>
      </c>
      <c r="I337">
        <v>2</v>
      </c>
      <c r="J337">
        <v>2</v>
      </c>
      <c r="K337">
        <v>4</v>
      </c>
    </row>
    <row r="338" spans="1:11" x14ac:dyDescent="0.4">
      <c r="A338" t="s">
        <v>81</v>
      </c>
      <c r="B338" t="s">
        <v>413</v>
      </c>
      <c r="C338" t="s">
        <v>175</v>
      </c>
      <c r="D338" t="s">
        <v>507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 t="s">
        <v>81</v>
      </c>
      <c r="B339" t="s">
        <v>413</v>
      </c>
      <c r="C339" t="s">
        <v>175</v>
      </c>
      <c r="D339" t="s">
        <v>186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</row>
    <row r="340" spans="1:11" x14ac:dyDescent="0.4">
      <c r="A340" t="s">
        <v>86</v>
      </c>
      <c r="B340" t="s">
        <v>414</v>
      </c>
      <c r="C340" t="s">
        <v>175</v>
      </c>
      <c r="D340" t="s">
        <v>507</v>
      </c>
      <c r="E340">
        <v>2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2</v>
      </c>
    </row>
    <row r="341" spans="1:11" x14ac:dyDescent="0.4">
      <c r="A341" t="s">
        <v>86</v>
      </c>
      <c r="B341" t="s">
        <v>414</v>
      </c>
      <c r="C341" t="s">
        <v>175</v>
      </c>
      <c r="D341" t="s">
        <v>186</v>
      </c>
      <c r="E341">
        <v>2</v>
      </c>
      <c r="F341">
        <v>0</v>
      </c>
      <c r="G341">
        <v>0</v>
      </c>
      <c r="H341">
        <v>0</v>
      </c>
      <c r="I341">
        <v>2</v>
      </c>
      <c r="J341">
        <v>3</v>
      </c>
      <c r="K341">
        <v>1</v>
      </c>
    </row>
    <row r="342" spans="1:11" x14ac:dyDescent="0.4">
      <c r="A342" t="s">
        <v>101</v>
      </c>
      <c r="B342" t="s">
        <v>415</v>
      </c>
      <c r="C342" t="s">
        <v>173</v>
      </c>
      <c r="D342" t="s">
        <v>507</v>
      </c>
      <c r="E342">
        <v>5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3</v>
      </c>
    </row>
    <row r="343" spans="1:11" x14ac:dyDescent="0.4">
      <c r="A343" t="s">
        <v>101</v>
      </c>
      <c r="B343" t="s">
        <v>415</v>
      </c>
      <c r="C343" t="s">
        <v>173</v>
      </c>
      <c r="D343" t="s">
        <v>186</v>
      </c>
      <c r="E343">
        <v>2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 t="s">
        <v>18</v>
      </c>
      <c r="B344" t="s">
        <v>416</v>
      </c>
      <c r="C344" t="s">
        <v>173</v>
      </c>
      <c r="D344" t="s">
        <v>507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-1</v>
      </c>
    </row>
    <row r="345" spans="1:11" x14ac:dyDescent="0.4">
      <c r="A345" t="s">
        <v>18</v>
      </c>
      <c r="B345" t="s">
        <v>416</v>
      </c>
      <c r="C345" t="s">
        <v>173</v>
      </c>
      <c r="D345" t="s">
        <v>186</v>
      </c>
      <c r="E345">
        <v>31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29</v>
      </c>
    </row>
    <row r="346" spans="1:11" x14ac:dyDescent="0.4">
      <c r="A346" t="s">
        <v>26</v>
      </c>
      <c r="B346" t="s">
        <v>417</v>
      </c>
      <c r="C346" t="s">
        <v>175</v>
      </c>
      <c r="D346" t="s">
        <v>507</v>
      </c>
      <c r="E346">
        <v>0</v>
      </c>
      <c r="F346">
        <v>0</v>
      </c>
      <c r="G346">
        <v>0</v>
      </c>
      <c r="H346">
        <v>0</v>
      </c>
      <c r="I346">
        <v>2</v>
      </c>
      <c r="J346">
        <v>2</v>
      </c>
      <c r="K346">
        <v>0</v>
      </c>
    </row>
    <row r="347" spans="1:11" x14ac:dyDescent="0.4">
      <c r="A347" t="s">
        <v>26</v>
      </c>
      <c r="B347" t="s">
        <v>417</v>
      </c>
      <c r="C347" t="s">
        <v>175</v>
      </c>
      <c r="D347" t="s">
        <v>186</v>
      </c>
      <c r="E347">
        <v>1</v>
      </c>
      <c r="F347">
        <v>2</v>
      </c>
      <c r="G347">
        <v>0</v>
      </c>
      <c r="H347">
        <v>0</v>
      </c>
      <c r="I347">
        <v>2</v>
      </c>
      <c r="J347">
        <v>1</v>
      </c>
      <c r="K347">
        <v>0</v>
      </c>
    </row>
    <row r="348" spans="1:11" x14ac:dyDescent="0.4">
      <c r="A348" t="s">
        <v>149</v>
      </c>
      <c r="B348" t="s">
        <v>418</v>
      </c>
      <c r="C348" t="s">
        <v>175</v>
      </c>
      <c r="D348" t="s">
        <v>507</v>
      </c>
      <c r="E348">
        <v>2</v>
      </c>
      <c r="F348">
        <v>0</v>
      </c>
      <c r="G348">
        <v>0</v>
      </c>
      <c r="H348">
        <v>0</v>
      </c>
      <c r="I348">
        <v>2</v>
      </c>
      <c r="J348">
        <v>2</v>
      </c>
      <c r="K348">
        <v>2</v>
      </c>
    </row>
    <row r="349" spans="1:11" x14ac:dyDescent="0.4">
      <c r="A349" t="s">
        <v>149</v>
      </c>
      <c r="B349" t="s">
        <v>418</v>
      </c>
      <c r="C349" t="s">
        <v>175</v>
      </c>
      <c r="D349" t="s">
        <v>186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 t="s">
        <v>169</v>
      </c>
      <c r="B350" t="s">
        <v>419</v>
      </c>
      <c r="C350" t="s">
        <v>201</v>
      </c>
      <c r="D350" t="s">
        <v>507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</row>
    <row r="351" spans="1:11" x14ac:dyDescent="0.4">
      <c r="A351" t="s">
        <v>169</v>
      </c>
      <c r="B351" t="s">
        <v>419</v>
      </c>
      <c r="C351" t="s">
        <v>201</v>
      </c>
      <c r="D351" t="s">
        <v>186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 t="s">
        <v>98</v>
      </c>
      <c r="B352" t="s">
        <v>420</v>
      </c>
      <c r="C352" t="s">
        <v>175</v>
      </c>
      <c r="D352" t="s">
        <v>507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2</v>
      </c>
      <c r="K352">
        <v>0</v>
      </c>
    </row>
    <row r="353" spans="1:11" x14ac:dyDescent="0.4">
      <c r="A353" t="s">
        <v>98</v>
      </c>
      <c r="B353" t="s">
        <v>420</v>
      </c>
      <c r="C353" t="s">
        <v>175</v>
      </c>
      <c r="D353" t="s">
        <v>186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 t="s">
        <v>121</v>
      </c>
      <c r="B354" t="s">
        <v>421</v>
      </c>
      <c r="C354" t="s">
        <v>80</v>
      </c>
      <c r="D354" t="s">
        <v>507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</v>
      </c>
      <c r="K354">
        <v>-2</v>
      </c>
    </row>
    <row r="355" spans="1:11" x14ac:dyDescent="0.4">
      <c r="A355" t="s">
        <v>121</v>
      </c>
      <c r="B355" t="s">
        <v>421</v>
      </c>
      <c r="C355" t="s">
        <v>80</v>
      </c>
      <c r="D355" t="s">
        <v>186</v>
      </c>
      <c r="E355">
        <v>0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0</v>
      </c>
    </row>
    <row r="356" spans="1:11" x14ac:dyDescent="0.4">
      <c r="A356" t="s">
        <v>122</v>
      </c>
      <c r="B356" t="s">
        <v>422</v>
      </c>
      <c r="C356" t="s">
        <v>80</v>
      </c>
      <c r="D356" t="s">
        <v>507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-1</v>
      </c>
    </row>
    <row r="357" spans="1:11" x14ac:dyDescent="0.4">
      <c r="A357" t="s">
        <v>122</v>
      </c>
      <c r="B357" t="s">
        <v>422</v>
      </c>
      <c r="C357" t="s">
        <v>80</v>
      </c>
      <c r="D357" t="s">
        <v>186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1</v>
      </c>
      <c r="K357">
        <v>-1</v>
      </c>
    </row>
    <row r="358" spans="1:11" x14ac:dyDescent="0.4">
      <c r="A358" t="s">
        <v>142</v>
      </c>
      <c r="B358" t="s">
        <v>423</v>
      </c>
      <c r="C358" t="s">
        <v>80</v>
      </c>
      <c r="D358" t="s">
        <v>507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</row>
    <row r="359" spans="1:11" x14ac:dyDescent="0.4">
      <c r="A359" t="s">
        <v>142</v>
      </c>
      <c r="B359" t="s">
        <v>423</v>
      </c>
      <c r="C359" t="s">
        <v>80</v>
      </c>
      <c r="D359" t="s">
        <v>186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</row>
    <row r="360" spans="1:11" x14ac:dyDescent="0.4">
      <c r="A360" t="s">
        <v>143</v>
      </c>
      <c r="B360" t="s">
        <v>424</v>
      </c>
      <c r="C360" t="s">
        <v>80</v>
      </c>
      <c r="D360" t="s">
        <v>507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</row>
    <row r="361" spans="1:11" x14ac:dyDescent="0.4">
      <c r="A361" t="s">
        <v>143</v>
      </c>
      <c r="B361" t="s">
        <v>424</v>
      </c>
      <c r="C361" t="s">
        <v>80</v>
      </c>
      <c r="D361" t="s">
        <v>186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</row>
    <row r="362" spans="1:11" x14ac:dyDescent="0.4">
      <c r="A362" t="s">
        <v>144</v>
      </c>
      <c r="B362" t="s">
        <v>425</v>
      </c>
      <c r="C362" t="s">
        <v>80</v>
      </c>
      <c r="D362" t="s">
        <v>507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</row>
    <row r="363" spans="1:11" x14ac:dyDescent="0.4">
      <c r="A363" t="s">
        <v>144</v>
      </c>
      <c r="B363" t="s">
        <v>425</v>
      </c>
      <c r="C363" t="s">
        <v>80</v>
      </c>
      <c r="D363" t="s">
        <v>186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</row>
    <row r="364" spans="1:11" x14ac:dyDescent="0.4">
      <c r="A364" t="s">
        <v>145</v>
      </c>
      <c r="B364" t="s">
        <v>426</v>
      </c>
      <c r="C364" t="s">
        <v>80</v>
      </c>
      <c r="D364" t="s">
        <v>507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1</v>
      </c>
    </row>
    <row r="365" spans="1:11" x14ac:dyDescent="0.4">
      <c r="A365" t="s">
        <v>145</v>
      </c>
      <c r="B365" t="s">
        <v>426</v>
      </c>
      <c r="C365" t="s">
        <v>80</v>
      </c>
      <c r="D365" t="s">
        <v>186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1</v>
      </c>
    </row>
    <row r="366" spans="1:11" x14ac:dyDescent="0.4">
      <c r="A366" t="s">
        <v>427</v>
      </c>
      <c r="B366" t="s">
        <v>428</v>
      </c>
      <c r="C366" t="s">
        <v>80</v>
      </c>
      <c r="D366" t="s">
        <v>507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 t="s">
        <v>427</v>
      </c>
      <c r="B367" t="s">
        <v>428</v>
      </c>
      <c r="C367" t="s">
        <v>80</v>
      </c>
      <c r="D367" t="s">
        <v>186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 t="s">
        <v>429</v>
      </c>
      <c r="B368" t="s">
        <v>430</v>
      </c>
      <c r="C368" t="s">
        <v>80</v>
      </c>
      <c r="D368" t="s">
        <v>507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 t="s">
        <v>429</v>
      </c>
      <c r="B369" t="s">
        <v>430</v>
      </c>
      <c r="C369" t="s">
        <v>80</v>
      </c>
      <c r="D369" t="s">
        <v>186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 t="s">
        <v>157</v>
      </c>
      <c r="B370" t="s">
        <v>431</v>
      </c>
      <c r="C370" t="s">
        <v>80</v>
      </c>
      <c r="D370" t="s">
        <v>507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</row>
    <row r="371" spans="1:11" x14ac:dyDescent="0.4">
      <c r="A371" t="s">
        <v>157</v>
      </c>
      <c r="B371" t="s">
        <v>431</v>
      </c>
      <c r="C371" t="s">
        <v>80</v>
      </c>
      <c r="D371" t="s">
        <v>186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</row>
    <row r="372" spans="1:11" x14ac:dyDescent="0.4">
      <c r="A372" t="s">
        <v>158</v>
      </c>
      <c r="B372" t="s">
        <v>432</v>
      </c>
      <c r="C372" t="s">
        <v>80</v>
      </c>
      <c r="D372" t="s">
        <v>507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</row>
    <row r="373" spans="1:11" x14ac:dyDescent="0.4">
      <c r="A373" t="s">
        <v>158</v>
      </c>
      <c r="B373" t="s">
        <v>432</v>
      </c>
      <c r="C373" t="s">
        <v>80</v>
      </c>
      <c r="D373" t="s">
        <v>186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</row>
    <row r="374" spans="1:11" x14ac:dyDescent="0.4">
      <c r="A374" t="s">
        <v>433</v>
      </c>
      <c r="B374" t="s">
        <v>434</v>
      </c>
      <c r="C374" t="s">
        <v>175</v>
      </c>
      <c r="D374" t="s">
        <v>507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 t="s">
        <v>433</v>
      </c>
      <c r="B375" t="s">
        <v>434</v>
      </c>
      <c r="C375" t="s">
        <v>175</v>
      </c>
      <c r="D375" t="s">
        <v>186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 t="s">
        <v>168</v>
      </c>
      <c r="B376" t="s">
        <v>435</v>
      </c>
      <c r="C376" t="s">
        <v>80</v>
      </c>
      <c r="D376" t="s">
        <v>507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</row>
    <row r="377" spans="1:11" x14ac:dyDescent="0.4">
      <c r="A377" t="s">
        <v>168</v>
      </c>
      <c r="B377" t="s">
        <v>435</v>
      </c>
      <c r="C377" t="s">
        <v>80</v>
      </c>
      <c r="D377" t="s">
        <v>186</v>
      </c>
      <c r="E377">
        <v>2</v>
      </c>
      <c r="F377">
        <v>0</v>
      </c>
      <c r="G377">
        <v>0</v>
      </c>
      <c r="H377">
        <v>0</v>
      </c>
      <c r="I377">
        <v>1</v>
      </c>
      <c r="J377">
        <v>3</v>
      </c>
      <c r="K377">
        <v>0</v>
      </c>
    </row>
    <row r="378" spans="1:11" x14ac:dyDescent="0.4">
      <c r="A378" t="s">
        <v>99</v>
      </c>
      <c r="B378" t="s">
        <v>436</v>
      </c>
      <c r="C378" t="s">
        <v>201</v>
      </c>
      <c r="D378" t="s">
        <v>507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 t="s">
        <v>99</v>
      </c>
      <c r="B379" t="s">
        <v>436</v>
      </c>
      <c r="C379" t="s">
        <v>201</v>
      </c>
      <c r="D379" t="s">
        <v>186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</row>
    <row r="380" spans="1:11" x14ac:dyDescent="0.4">
      <c r="A380" t="s">
        <v>437</v>
      </c>
      <c r="B380" t="s">
        <v>438</v>
      </c>
      <c r="C380" t="s">
        <v>173</v>
      </c>
      <c r="D380" t="s">
        <v>507</v>
      </c>
      <c r="E380">
        <v>5</v>
      </c>
      <c r="F380">
        <v>5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 t="s">
        <v>437</v>
      </c>
      <c r="B381" t="s">
        <v>438</v>
      </c>
      <c r="C381" t="s">
        <v>173</v>
      </c>
      <c r="D381" t="s">
        <v>186</v>
      </c>
      <c r="E381">
        <v>5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 t="s">
        <v>439</v>
      </c>
      <c r="B382" t="s">
        <v>440</v>
      </c>
      <c r="C382" t="s">
        <v>195</v>
      </c>
      <c r="D382" t="s">
        <v>507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 t="s">
        <v>439</v>
      </c>
      <c r="B383" t="s">
        <v>440</v>
      </c>
      <c r="C383" t="s">
        <v>195</v>
      </c>
      <c r="D383" t="s">
        <v>186</v>
      </c>
      <c r="E383">
        <v>4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 t="s">
        <v>441</v>
      </c>
      <c r="B384" t="s">
        <v>442</v>
      </c>
      <c r="C384" t="s">
        <v>173</v>
      </c>
      <c r="D384" t="s">
        <v>507</v>
      </c>
      <c r="E384">
        <v>5</v>
      </c>
      <c r="F384">
        <v>5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 t="s">
        <v>441</v>
      </c>
      <c r="B385" t="s">
        <v>442</v>
      </c>
      <c r="C385" t="s">
        <v>173</v>
      </c>
      <c r="D385" t="s">
        <v>186</v>
      </c>
      <c r="E385">
        <v>5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 t="s">
        <v>95</v>
      </c>
      <c r="B386" t="s">
        <v>443</v>
      </c>
      <c r="C386" t="s">
        <v>195</v>
      </c>
      <c r="D386" t="s">
        <v>507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</row>
    <row r="387" spans="1:11" x14ac:dyDescent="0.4">
      <c r="A387" t="s">
        <v>95</v>
      </c>
      <c r="B387" t="s">
        <v>443</v>
      </c>
      <c r="C387" t="s">
        <v>195</v>
      </c>
      <c r="D387" t="s">
        <v>186</v>
      </c>
      <c r="E387">
        <v>4</v>
      </c>
      <c r="F387">
        <v>6</v>
      </c>
      <c r="G387">
        <v>0</v>
      </c>
      <c r="H387">
        <v>0</v>
      </c>
      <c r="I387">
        <v>4</v>
      </c>
      <c r="J387">
        <v>0</v>
      </c>
      <c r="K387">
        <v>2</v>
      </c>
    </row>
    <row r="388" spans="1:11" x14ac:dyDescent="0.4">
      <c r="A388" t="s">
        <v>125</v>
      </c>
      <c r="B388" t="s">
        <v>444</v>
      </c>
      <c r="C388" t="s">
        <v>195</v>
      </c>
      <c r="D388" t="s">
        <v>507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</row>
    <row r="389" spans="1:11" x14ac:dyDescent="0.4">
      <c r="A389" t="s">
        <v>125</v>
      </c>
      <c r="B389" t="s">
        <v>444</v>
      </c>
      <c r="C389" t="s">
        <v>195</v>
      </c>
      <c r="D389" t="s">
        <v>186</v>
      </c>
      <c r="E389">
        <v>1</v>
      </c>
      <c r="F389">
        <v>2</v>
      </c>
      <c r="G389">
        <v>1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 t="s">
        <v>124</v>
      </c>
      <c r="B390" t="s">
        <v>445</v>
      </c>
      <c r="C390" t="s">
        <v>195</v>
      </c>
      <c r="D390" t="s">
        <v>507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</row>
    <row r="391" spans="1:11" x14ac:dyDescent="0.4">
      <c r="A391" t="s">
        <v>124</v>
      </c>
      <c r="B391" t="s">
        <v>445</v>
      </c>
      <c r="C391" t="s">
        <v>195</v>
      </c>
      <c r="D391" t="s">
        <v>186</v>
      </c>
      <c r="E391">
        <v>1</v>
      </c>
      <c r="F391">
        <v>2</v>
      </c>
      <c r="G391">
        <v>3</v>
      </c>
      <c r="H391">
        <v>0</v>
      </c>
      <c r="I391">
        <v>0</v>
      </c>
      <c r="J391">
        <v>2</v>
      </c>
      <c r="K391">
        <v>0</v>
      </c>
    </row>
    <row r="392" spans="1:11" x14ac:dyDescent="0.4">
      <c r="A392" t="s">
        <v>114</v>
      </c>
      <c r="B392" t="s">
        <v>446</v>
      </c>
      <c r="C392" t="s">
        <v>80</v>
      </c>
      <c r="D392" t="s">
        <v>507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</row>
    <row r="393" spans="1:11" x14ac:dyDescent="0.4">
      <c r="A393" t="s">
        <v>114</v>
      </c>
      <c r="B393" t="s">
        <v>446</v>
      </c>
      <c r="C393" t="s">
        <v>80</v>
      </c>
      <c r="D393" t="s">
        <v>186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</row>
    <row r="394" spans="1:11" x14ac:dyDescent="0.4">
      <c r="A394" t="s">
        <v>115</v>
      </c>
      <c r="B394" t="s">
        <v>447</v>
      </c>
      <c r="C394" t="s">
        <v>80</v>
      </c>
      <c r="D394" t="s">
        <v>507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</row>
    <row r="395" spans="1:11" x14ac:dyDescent="0.4">
      <c r="A395" t="s">
        <v>115</v>
      </c>
      <c r="B395" t="s">
        <v>447</v>
      </c>
      <c r="C395" t="s">
        <v>80</v>
      </c>
      <c r="D395" t="s">
        <v>186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</row>
    <row r="396" spans="1:11" x14ac:dyDescent="0.4">
      <c r="A396" t="s">
        <v>116</v>
      </c>
      <c r="B396" t="s">
        <v>448</v>
      </c>
      <c r="C396" t="s">
        <v>80</v>
      </c>
      <c r="D396" t="s">
        <v>507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</row>
    <row r="397" spans="1:11" x14ac:dyDescent="0.4">
      <c r="A397" t="s">
        <v>116</v>
      </c>
      <c r="B397" t="s">
        <v>448</v>
      </c>
      <c r="C397" t="s">
        <v>80</v>
      </c>
      <c r="D397" t="s">
        <v>186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</row>
    <row r="398" spans="1:11" x14ac:dyDescent="0.4">
      <c r="A398" t="s">
        <v>117</v>
      </c>
      <c r="B398" t="s">
        <v>449</v>
      </c>
      <c r="C398" t="s">
        <v>80</v>
      </c>
      <c r="D398" t="s">
        <v>507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</row>
    <row r="399" spans="1:11" x14ac:dyDescent="0.4">
      <c r="A399" t="s">
        <v>117</v>
      </c>
      <c r="B399" t="s">
        <v>449</v>
      </c>
      <c r="C399" t="s">
        <v>80</v>
      </c>
      <c r="D399" t="s">
        <v>186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</row>
    <row r="400" spans="1:11" x14ac:dyDescent="0.4">
      <c r="A400" t="s">
        <v>118</v>
      </c>
      <c r="B400" t="s">
        <v>450</v>
      </c>
      <c r="C400" t="s">
        <v>80</v>
      </c>
      <c r="D400" t="s">
        <v>507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</row>
    <row r="401" spans="1:11" x14ac:dyDescent="0.4">
      <c r="A401" t="s">
        <v>118</v>
      </c>
      <c r="B401" t="s">
        <v>450</v>
      </c>
      <c r="C401" t="s">
        <v>80</v>
      </c>
      <c r="D401" t="s">
        <v>186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</row>
    <row r="402" spans="1:11" x14ac:dyDescent="0.4">
      <c r="A402" t="s">
        <v>119</v>
      </c>
      <c r="B402" t="s">
        <v>451</v>
      </c>
      <c r="C402" t="s">
        <v>80</v>
      </c>
      <c r="D402" t="s">
        <v>507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</row>
    <row r="403" spans="1:11" x14ac:dyDescent="0.4">
      <c r="A403" t="s">
        <v>119</v>
      </c>
      <c r="B403" t="s">
        <v>451</v>
      </c>
      <c r="C403" t="s">
        <v>80</v>
      </c>
      <c r="D403" t="s">
        <v>186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</row>
    <row r="404" spans="1:11" x14ac:dyDescent="0.4">
      <c r="A404" t="s">
        <v>120</v>
      </c>
      <c r="B404" t="s">
        <v>452</v>
      </c>
      <c r="C404" t="s">
        <v>80</v>
      </c>
      <c r="D404" t="s">
        <v>507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</row>
    <row r="405" spans="1:11" x14ac:dyDescent="0.4">
      <c r="A405" t="s">
        <v>120</v>
      </c>
      <c r="B405" t="s">
        <v>452</v>
      </c>
      <c r="C405" t="s">
        <v>80</v>
      </c>
      <c r="D405" t="s">
        <v>186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</row>
    <row r="406" spans="1:11" x14ac:dyDescent="0.4">
      <c r="A406" t="s">
        <v>103</v>
      </c>
      <c r="B406" t="s">
        <v>453</v>
      </c>
      <c r="C406" t="s">
        <v>201</v>
      </c>
      <c r="D406" t="s">
        <v>507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</row>
    <row r="407" spans="1:11" x14ac:dyDescent="0.4">
      <c r="A407" t="s">
        <v>103</v>
      </c>
      <c r="B407" t="s">
        <v>453</v>
      </c>
      <c r="C407" t="s">
        <v>201</v>
      </c>
      <c r="D407" t="s">
        <v>186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</row>
    <row r="408" spans="1:11" x14ac:dyDescent="0.4">
      <c r="A408" t="s">
        <v>27</v>
      </c>
      <c r="B408" t="s">
        <v>454</v>
      </c>
      <c r="C408" t="s">
        <v>195</v>
      </c>
      <c r="D408" t="s">
        <v>507</v>
      </c>
      <c r="E408">
        <v>1</v>
      </c>
      <c r="F408">
        <v>0</v>
      </c>
      <c r="G408">
        <v>0</v>
      </c>
      <c r="H408">
        <v>0</v>
      </c>
      <c r="I408">
        <v>5</v>
      </c>
      <c r="J408">
        <v>6</v>
      </c>
      <c r="K408">
        <v>0</v>
      </c>
    </row>
    <row r="409" spans="1:11" x14ac:dyDescent="0.4">
      <c r="A409" t="s">
        <v>27</v>
      </c>
      <c r="B409" t="s">
        <v>454</v>
      </c>
      <c r="C409" t="s">
        <v>195</v>
      </c>
      <c r="D409" t="s">
        <v>186</v>
      </c>
      <c r="E409">
        <v>2</v>
      </c>
      <c r="F409">
        <v>1</v>
      </c>
      <c r="G409">
        <v>0</v>
      </c>
      <c r="H409">
        <v>0</v>
      </c>
      <c r="I409">
        <v>15</v>
      </c>
      <c r="J409">
        <v>16</v>
      </c>
      <c r="K409">
        <v>0</v>
      </c>
    </row>
    <row r="410" spans="1:11" x14ac:dyDescent="0.4">
      <c r="A410" t="s">
        <v>44</v>
      </c>
      <c r="B410" t="s">
        <v>455</v>
      </c>
      <c r="C410" t="s">
        <v>195</v>
      </c>
      <c r="D410" t="s">
        <v>507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 t="s">
        <v>44</v>
      </c>
      <c r="B411" t="s">
        <v>455</v>
      </c>
      <c r="C411" t="s">
        <v>195</v>
      </c>
      <c r="D411" t="s">
        <v>186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1</v>
      </c>
    </row>
    <row r="412" spans="1:11" x14ac:dyDescent="0.4">
      <c r="A412" t="s">
        <v>456</v>
      </c>
      <c r="B412" t="s">
        <v>457</v>
      </c>
      <c r="C412" t="s">
        <v>173</v>
      </c>
      <c r="D412" t="s">
        <v>507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 t="s">
        <v>456</v>
      </c>
      <c r="B413" t="s">
        <v>457</v>
      </c>
      <c r="C413" t="s">
        <v>173</v>
      </c>
      <c r="D413" t="s">
        <v>186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 t="s">
        <v>458</v>
      </c>
      <c r="B414" t="s">
        <v>459</v>
      </c>
      <c r="C414" t="s">
        <v>173</v>
      </c>
      <c r="D414" t="s">
        <v>507</v>
      </c>
      <c r="E414">
        <v>500</v>
      </c>
      <c r="F414">
        <v>500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 t="s">
        <v>458</v>
      </c>
      <c r="B415" t="s">
        <v>459</v>
      </c>
      <c r="C415" t="s">
        <v>173</v>
      </c>
      <c r="D415" t="s">
        <v>186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 t="s">
        <v>460</v>
      </c>
      <c r="B416" t="s">
        <v>461</v>
      </c>
      <c r="C416" t="s">
        <v>173</v>
      </c>
      <c r="D416" t="s">
        <v>507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 t="s">
        <v>460</v>
      </c>
      <c r="B417" t="s">
        <v>461</v>
      </c>
      <c r="C417" t="s">
        <v>173</v>
      </c>
      <c r="D417" t="s">
        <v>186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 t="s">
        <v>462</v>
      </c>
      <c r="B418" t="s">
        <v>463</v>
      </c>
      <c r="C418" t="s">
        <v>173</v>
      </c>
      <c r="D418" t="s">
        <v>507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 t="s">
        <v>462</v>
      </c>
      <c r="B419" t="s">
        <v>463</v>
      </c>
      <c r="C419" t="s">
        <v>173</v>
      </c>
      <c r="D419" t="s">
        <v>186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 t="s">
        <v>464</v>
      </c>
      <c r="B420" t="s">
        <v>465</v>
      </c>
      <c r="C420" t="s">
        <v>201</v>
      </c>
      <c r="D420" t="s">
        <v>507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 t="s">
        <v>464</v>
      </c>
      <c r="B421" t="s">
        <v>465</v>
      </c>
      <c r="C421" t="s">
        <v>201</v>
      </c>
      <c r="D421" t="s">
        <v>186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 t="s">
        <v>172</v>
      </c>
      <c r="B422" t="s">
        <v>466</v>
      </c>
      <c r="C422" t="s">
        <v>201</v>
      </c>
      <c r="D422" t="s">
        <v>507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2</v>
      </c>
      <c r="K422">
        <v>0</v>
      </c>
    </row>
    <row r="423" spans="1:11" x14ac:dyDescent="0.4">
      <c r="A423" t="s">
        <v>172</v>
      </c>
      <c r="B423" t="s">
        <v>466</v>
      </c>
      <c r="C423" t="s">
        <v>201</v>
      </c>
      <c r="D423" t="s">
        <v>186</v>
      </c>
      <c r="E423">
        <v>2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0</v>
      </c>
    </row>
    <row r="424" spans="1:11" x14ac:dyDescent="0.4">
      <c r="A424" t="s">
        <v>21</v>
      </c>
      <c r="B424" t="s">
        <v>467</v>
      </c>
      <c r="C424" t="s">
        <v>173</v>
      </c>
      <c r="D424" t="s">
        <v>507</v>
      </c>
      <c r="E424">
        <v>10</v>
      </c>
      <c r="F424">
        <v>30</v>
      </c>
      <c r="G424">
        <v>0</v>
      </c>
      <c r="H424">
        <v>0</v>
      </c>
      <c r="I424">
        <v>2</v>
      </c>
      <c r="J424">
        <v>0</v>
      </c>
      <c r="K424">
        <v>-18</v>
      </c>
    </row>
    <row r="425" spans="1:11" x14ac:dyDescent="0.4">
      <c r="A425" t="s">
        <v>21</v>
      </c>
      <c r="B425" t="s">
        <v>467</v>
      </c>
      <c r="C425" t="s">
        <v>173</v>
      </c>
      <c r="D425" t="s">
        <v>186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 t="s">
        <v>136</v>
      </c>
      <c r="B426" t="s">
        <v>468</v>
      </c>
      <c r="C426" t="s">
        <v>173</v>
      </c>
      <c r="D426" t="s">
        <v>507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0</v>
      </c>
    </row>
    <row r="427" spans="1:11" x14ac:dyDescent="0.4">
      <c r="A427" t="s">
        <v>136</v>
      </c>
      <c r="B427" t="s">
        <v>468</v>
      </c>
      <c r="C427" t="s">
        <v>173</v>
      </c>
      <c r="D427" t="s">
        <v>186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2</v>
      </c>
      <c r="K427">
        <v>0</v>
      </c>
    </row>
    <row r="428" spans="1:11" x14ac:dyDescent="0.4">
      <c r="A428" t="s">
        <v>137</v>
      </c>
      <c r="B428" t="s">
        <v>469</v>
      </c>
      <c r="C428" t="s">
        <v>173</v>
      </c>
      <c r="D428" t="s">
        <v>507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 t="s">
        <v>137</v>
      </c>
      <c r="B429" t="s">
        <v>469</v>
      </c>
      <c r="C429" t="s">
        <v>173</v>
      </c>
      <c r="D429" t="s">
        <v>186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2</v>
      </c>
      <c r="K429">
        <v>0</v>
      </c>
    </row>
    <row r="430" spans="1:11" x14ac:dyDescent="0.4">
      <c r="A430" t="s">
        <v>171</v>
      </c>
      <c r="B430" t="s">
        <v>470</v>
      </c>
      <c r="C430" t="s">
        <v>201</v>
      </c>
      <c r="D430" t="s">
        <v>507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 t="s">
        <v>171</v>
      </c>
      <c r="B431" t="s">
        <v>470</v>
      </c>
      <c r="C431" t="s">
        <v>201</v>
      </c>
      <c r="D431" t="s">
        <v>186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</v>
      </c>
      <c r="K431">
        <v>0</v>
      </c>
    </row>
    <row r="432" spans="1:11" x14ac:dyDescent="0.4">
      <c r="A432" t="s">
        <v>471</v>
      </c>
      <c r="B432" t="s">
        <v>472</v>
      </c>
      <c r="C432" t="s">
        <v>201</v>
      </c>
      <c r="D432" t="s">
        <v>507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 t="s">
        <v>471</v>
      </c>
      <c r="B433" t="s">
        <v>472</v>
      </c>
      <c r="C433" t="s">
        <v>201</v>
      </c>
      <c r="D433" t="s">
        <v>186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 t="s">
        <v>473</v>
      </c>
      <c r="B434" t="s">
        <v>474</v>
      </c>
      <c r="C434" t="s">
        <v>201</v>
      </c>
      <c r="D434" t="s">
        <v>507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 t="s">
        <v>473</v>
      </c>
      <c r="B435" t="s">
        <v>474</v>
      </c>
      <c r="C435" t="s">
        <v>201</v>
      </c>
      <c r="D435" t="s">
        <v>186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 t="s">
        <v>56</v>
      </c>
      <c r="B436" t="s">
        <v>475</v>
      </c>
      <c r="C436" t="s">
        <v>173</v>
      </c>
      <c r="D436" t="s">
        <v>507</v>
      </c>
      <c r="E436">
        <v>544</v>
      </c>
      <c r="F436">
        <v>256</v>
      </c>
      <c r="G436">
        <v>0</v>
      </c>
      <c r="H436">
        <v>0</v>
      </c>
      <c r="I436">
        <v>209</v>
      </c>
      <c r="J436">
        <v>640</v>
      </c>
      <c r="K436">
        <v>-143</v>
      </c>
    </row>
    <row r="437" spans="1:11" x14ac:dyDescent="0.4">
      <c r="A437" t="s">
        <v>56</v>
      </c>
      <c r="B437" t="s">
        <v>475</v>
      </c>
      <c r="C437" t="s">
        <v>173</v>
      </c>
      <c r="D437" t="s">
        <v>186</v>
      </c>
      <c r="E437">
        <v>0</v>
      </c>
      <c r="F437">
        <v>16</v>
      </c>
      <c r="G437">
        <v>0</v>
      </c>
      <c r="H437">
        <v>0</v>
      </c>
      <c r="I437">
        <v>18</v>
      </c>
      <c r="J437">
        <v>0</v>
      </c>
      <c r="K437">
        <v>2</v>
      </c>
    </row>
    <row r="438" spans="1:11" x14ac:dyDescent="0.4">
      <c r="A438" t="s">
        <v>152</v>
      </c>
      <c r="B438" t="s">
        <v>476</v>
      </c>
      <c r="C438" t="s">
        <v>173</v>
      </c>
      <c r="D438" t="s">
        <v>507</v>
      </c>
      <c r="E438">
        <v>516</v>
      </c>
      <c r="F438">
        <v>0</v>
      </c>
      <c r="G438">
        <v>0</v>
      </c>
      <c r="H438">
        <v>0</v>
      </c>
      <c r="I438">
        <v>497</v>
      </c>
      <c r="J438">
        <v>1010</v>
      </c>
      <c r="K438">
        <v>3</v>
      </c>
    </row>
    <row r="439" spans="1:11" x14ac:dyDescent="0.4">
      <c r="A439" t="s">
        <v>152</v>
      </c>
      <c r="B439" t="s">
        <v>476</v>
      </c>
      <c r="C439" t="s">
        <v>173</v>
      </c>
      <c r="D439" t="s">
        <v>186</v>
      </c>
      <c r="E439">
        <v>557</v>
      </c>
      <c r="F439">
        <v>0</v>
      </c>
      <c r="G439">
        <v>0</v>
      </c>
      <c r="H439">
        <v>0</v>
      </c>
      <c r="I439">
        <v>449</v>
      </c>
      <c r="J439">
        <v>1012</v>
      </c>
      <c r="K439">
        <v>-6</v>
      </c>
    </row>
    <row r="440" spans="1:11" x14ac:dyDescent="0.4">
      <c r="A440" t="s">
        <v>75</v>
      </c>
      <c r="B440" t="s">
        <v>477</v>
      </c>
      <c r="C440" t="s">
        <v>175</v>
      </c>
      <c r="D440" t="s">
        <v>507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-1</v>
      </c>
    </row>
    <row r="441" spans="1:11" x14ac:dyDescent="0.4">
      <c r="A441" t="s">
        <v>75</v>
      </c>
      <c r="B441" t="s">
        <v>477</v>
      </c>
      <c r="C441" t="s">
        <v>175</v>
      </c>
      <c r="D441" t="s">
        <v>186</v>
      </c>
      <c r="E441">
        <v>33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32</v>
      </c>
    </row>
    <row r="442" spans="1:11" x14ac:dyDescent="0.4">
      <c r="A442" t="s">
        <v>126</v>
      </c>
      <c r="B442" t="s">
        <v>478</v>
      </c>
      <c r="C442" t="s">
        <v>175</v>
      </c>
      <c r="D442" t="s">
        <v>507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 t="s">
        <v>126</v>
      </c>
      <c r="B443" t="s">
        <v>478</v>
      </c>
      <c r="C443" t="s">
        <v>175</v>
      </c>
      <c r="D443" t="s">
        <v>186</v>
      </c>
      <c r="E443">
        <v>19</v>
      </c>
      <c r="F443">
        <v>0</v>
      </c>
      <c r="G443">
        <v>0</v>
      </c>
      <c r="H443">
        <v>0</v>
      </c>
      <c r="I443">
        <v>13</v>
      </c>
      <c r="J443">
        <v>2</v>
      </c>
      <c r="K443">
        <v>30</v>
      </c>
    </row>
    <row r="444" spans="1:11" x14ac:dyDescent="0.4">
      <c r="A444" t="s">
        <v>127</v>
      </c>
      <c r="B444" t="s">
        <v>479</v>
      </c>
      <c r="C444" t="s">
        <v>175</v>
      </c>
      <c r="D444" t="s">
        <v>507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 t="s">
        <v>127</v>
      </c>
      <c r="B445" t="s">
        <v>479</v>
      </c>
      <c r="C445" t="s">
        <v>175</v>
      </c>
      <c r="D445" t="s">
        <v>186</v>
      </c>
      <c r="E445">
        <v>122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122</v>
      </c>
    </row>
    <row r="446" spans="1:11" x14ac:dyDescent="0.4">
      <c r="A446" t="s">
        <v>62</v>
      </c>
      <c r="B446" t="s">
        <v>480</v>
      </c>
      <c r="C446" t="s">
        <v>175</v>
      </c>
      <c r="D446" t="s">
        <v>507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1</v>
      </c>
      <c r="K446">
        <v>1</v>
      </c>
    </row>
    <row r="447" spans="1:11" x14ac:dyDescent="0.4">
      <c r="A447" t="s">
        <v>62</v>
      </c>
      <c r="B447" t="s">
        <v>480</v>
      </c>
      <c r="C447" t="s">
        <v>175</v>
      </c>
      <c r="D447" t="s">
        <v>186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 t="s">
        <v>147</v>
      </c>
      <c r="B448" t="s">
        <v>481</v>
      </c>
      <c r="C448" t="s">
        <v>175</v>
      </c>
      <c r="D448" t="s">
        <v>507</v>
      </c>
      <c r="E448">
        <v>1</v>
      </c>
      <c r="F448">
        <v>0</v>
      </c>
      <c r="G448">
        <v>0</v>
      </c>
      <c r="H448">
        <v>0</v>
      </c>
      <c r="I448">
        <v>2</v>
      </c>
      <c r="J448">
        <v>2</v>
      </c>
      <c r="K448">
        <v>1</v>
      </c>
    </row>
    <row r="449" spans="1:11" x14ac:dyDescent="0.4">
      <c r="A449" t="s">
        <v>147</v>
      </c>
      <c r="B449" t="s">
        <v>481</v>
      </c>
      <c r="C449" t="s">
        <v>175</v>
      </c>
      <c r="D449" t="s">
        <v>186</v>
      </c>
      <c r="E449">
        <v>0</v>
      </c>
      <c r="F449">
        <v>0</v>
      </c>
      <c r="G449">
        <v>0</v>
      </c>
      <c r="I449">
        <v>0</v>
      </c>
      <c r="J449">
        <v>0</v>
      </c>
      <c r="K449">
        <v>0</v>
      </c>
    </row>
    <row r="450" spans="1:11" x14ac:dyDescent="0.4">
      <c r="A450" t="s">
        <v>54</v>
      </c>
      <c r="B450" t="s">
        <v>482</v>
      </c>
      <c r="C450" t="s">
        <v>175</v>
      </c>
      <c r="D450" t="s">
        <v>507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1</v>
      </c>
    </row>
    <row r="451" spans="1:11" x14ac:dyDescent="0.4">
      <c r="A451" t="s">
        <v>54</v>
      </c>
      <c r="B451" t="s">
        <v>482</v>
      </c>
      <c r="C451" t="s">
        <v>175</v>
      </c>
      <c r="D451" t="s">
        <v>186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 t="s">
        <v>61</v>
      </c>
      <c r="B452" t="s">
        <v>483</v>
      </c>
      <c r="C452" t="s">
        <v>175</v>
      </c>
      <c r="D452" t="s">
        <v>507</v>
      </c>
      <c r="E452">
        <v>1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4</v>
      </c>
    </row>
    <row r="453" spans="1:11" x14ac:dyDescent="0.4">
      <c r="A453" t="s">
        <v>61</v>
      </c>
      <c r="B453" t="s">
        <v>483</v>
      </c>
      <c r="C453" t="s">
        <v>175</v>
      </c>
      <c r="D453" t="s">
        <v>186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 t="s">
        <v>96</v>
      </c>
      <c r="B454" t="s">
        <v>484</v>
      </c>
      <c r="C454" t="s">
        <v>175</v>
      </c>
      <c r="D454" t="s">
        <v>507</v>
      </c>
      <c r="E454">
        <v>0</v>
      </c>
      <c r="F454">
        <v>0</v>
      </c>
      <c r="G454">
        <v>0</v>
      </c>
      <c r="H454">
        <v>0</v>
      </c>
      <c r="I454">
        <v>34</v>
      </c>
      <c r="J454">
        <v>31</v>
      </c>
      <c r="K454">
        <v>3</v>
      </c>
    </row>
    <row r="455" spans="1:11" x14ac:dyDescent="0.4">
      <c r="A455" t="s">
        <v>96</v>
      </c>
      <c r="B455" t="s">
        <v>484</v>
      </c>
      <c r="C455" t="s">
        <v>175</v>
      </c>
      <c r="D455" t="s">
        <v>186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</row>
    <row r="456" spans="1:11" x14ac:dyDescent="0.4">
      <c r="A456" t="s">
        <v>135</v>
      </c>
      <c r="B456" t="s">
        <v>485</v>
      </c>
      <c r="C456" t="s">
        <v>80</v>
      </c>
      <c r="D456" t="s">
        <v>507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 t="s">
        <v>135</v>
      </c>
      <c r="B457" t="s">
        <v>485</v>
      </c>
      <c r="C457" t="s">
        <v>80</v>
      </c>
      <c r="D457" t="s">
        <v>186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2</v>
      </c>
      <c r="K457">
        <v>0</v>
      </c>
    </row>
    <row r="458" spans="1:11" x14ac:dyDescent="0.4">
      <c r="A458" t="s">
        <v>486</v>
      </c>
      <c r="B458" t="s">
        <v>487</v>
      </c>
      <c r="C458" t="s">
        <v>173</v>
      </c>
      <c r="D458" t="s">
        <v>507</v>
      </c>
      <c r="E458">
        <v>5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 t="s">
        <v>486</v>
      </c>
      <c r="B459" t="s">
        <v>487</v>
      </c>
      <c r="C459" t="s">
        <v>173</v>
      </c>
      <c r="D459" t="s">
        <v>186</v>
      </c>
      <c r="E459">
        <v>2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 t="s">
        <v>15</v>
      </c>
      <c r="B460" t="s">
        <v>488</v>
      </c>
      <c r="C460" t="s">
        <v>173</v>
      </c>
      <c r="D460" t="s">
        <v>507</v>
      </c>
      <c r="E460">
        <v>60</v>
      </c>
      <c r="F460">
        <v>107</v>
      </c>
      <c r="G460">
        <v>0</v>
      </c>
      <c r="H460">
        <v>0</v>
      </c>
      <c r="I460">
        <v>298</v>
      </c>
      <c r="J460">
        <v>289</v>
      </c>
      <c r="K460">
        <v>-38</v>
      </c>
    </row>
    <row r="461" spans="1:11" x14ac:dyDescent="0.4">
      <c r="A461" t="s">
        <v>15</v>
      </c>
      <c r="B461" t="s">
        <v>488</v>
      </c>
      <c r="C461" t="s">
        <v>173</v>
      </c>
      <c r="D461" t="s">
        <v>186</v>
      </c>
      <c r="E461">
        <v>60</v>
      </c>
      <c r="F461">
        <v>29</v>
      </c>
      <c r="G461">
        <v>0</v>
      </c>
      <c r="H461">
        <v>0</v>
      </c>
      <c r="I461">
        <v>353</v>
      </c>
      <c r="J461">
        <v>288</v>
      </c>
      <c r="K461">
        <v>96</v>
      </c>
    </row>
    <row r="462" spans="1:11" x14ac:dyDescent="0.4">
      <c r="A462" t="s">
        <v>42</v>
      </c>
      <c r="B462" t="s">
        <v>489</v>
      </c>
      <c r="C462" t="s">
        <v>173</v>
      </c>
      <c r="D462" t="s">
        <v>507</v>
      </c>
      <c r="E462">
        <v>0</v>
      </c>
      <c r="F462">
        <v>0</v>
      </c>
      <c r="G462">
        <v>0</v>
      </c>
      <c r="H462">
        <v>0</v>
      </c>
      <c r="I462">
        <v>25</v>
      </c>
      <c r="J462">
        <v>0</v>
      </c>
      <c r="K462">
        <v>25</v>
      </c>
    </row>
    <row r="463" spans="1:11" x14ac:dyDescent="0.4">
      <c r="A463" t="s">
        <v>42</v>
      </c>
      <c r="B463" t="s">
        <v>489</v>
      </c>
      <c r="C463" t="s">
        <v>173</v>
      </c>
      <c r="D463" t="s">
        <v>186</v>
      </c>
      <c r="E463">
        <v>0</v>
      </c>
      <c r="F463">
        <v>0</v>
      </c>
      <c r="G463">
        <v>0</v>
      </c>
      <c r="H463">
        <v>0</v>
      </c>
      <c r="I463">
        <v>47</v>
      </c>
      <c r="J463">
        <v>72</v>
      </c>
      <c r="K463">
        <v>-25</v>
      </c>
    </row>
    <row r="464" spans="1:11" x14ac:dyDescent="0.4">
      <c r="A464" t="s">
        <v>41</v>
      </c>
      <c r="B464" t="s">
        <v>490</v>
      </c>
      <c r="C464" t="s">
        <v>173</v>
      </c>
      <c r="D464" t="s">
        <v>507</v>
      </c>
      <c r="E464">
        <v>0</v>
      </c>
      <c r="F464">
        <v>0</v>
      </c>
      <c r="G464">
        <v>0</v>
      </c>
      <c r="H464">
        <v>0</v>
      </c>
      <c r="I464">
        <v>24</v>
      </c>
      <c r="J464">
        <v>0</v>
      </c>
      <c r="K464">
        <v>24</v>
      </c>
    </row>
    <row r="465" spans="1:11" x14ac:dyDescent="0.4">
      <c r="A465" t="s">
        <v>41</v>
      </c>
      <c r="B465" t="s">
        <v>490</v>
      </c>
      <c r="C465" t="s">
        <v>173</v>
      </c>
      <c r="D465" t="s">
        <v>186</v>
      </c>
      <c r="E465">
        <v>0</v>
      </c>
      <c r="F465">
        <v>0</v>
      </c>
      <c r="G465">
        <v>0</v>
      </c>
      <c r="H465">
        <v>0</v>
      </c>
      <c r="I465">
        <v>48</v>
      </c>
      <c r="J465">
        <v>72</v>
      </c>
      <c r="K465">
        <v>-24</v>
      </c>
    </row>
    <row r="466" spans="1:11" x14ac:dyDescent="0.4">
      <c r="A466" t="s">
        <v>33</v>
      </c>
      <c r="B466" t="s">
        <v>491</v>
      </c>
      <c r="C466" t="s">
        <v>173</v>
      </c>
      <c r="D466" t="s">
        <v>507</v>
      </c>
      <c r="E466">
        <v>21</v>
      </c>
      <c r="F466">
        <v>60</v>
      </c>
      <c r="G466">
        <v>0</v>
      </c>
      <c r="H466">
        <v>0</v>
      </c>
      <c r="I466">
        <v>15</v>
      </c>
      <c r="J466">
        <v>0</v>
      </c>
      <c r="K466">
        <v>-24</v>
      </c>
    </row>
    <row r="467" spans="1:11" x14ac:dyDescent="0.4">
      <c r="A467" t="s">
        <v>33</v>
      </c>
      <c r="B467" t="s">
        <v>491</v>
      </c>
      <c r="C467" t="s">
        <v>173</v>
      </c>
      <c r="D467" t="s">
        <v>186</v>
      </c>
      <c r="E467">
        <v>25</v>
      </c>
      <c r="F467">
        <v>30</v>
      </c>
      <c r="G467">
        <v>0</v>
      </c>
      <c r="H467">
        <v>0</v>
      </c>
      <c r="I467">
        <v>16</v>
      </c>
      <c r="J467">
        <v>0</v>
      </c>
      <c r="K467">
        <v>11</v>
      </c>
    </row>
    <row r="468" spans="1:11" x14ac:dyDescent="0.4">
      <c r="A468" t="s">
        <v>492</v>
      </c>
      <c r="B468" t="s">
        <v>493</v>
      </c>
      <c r="C468" t="s">
        <v>195</v>
      </c>
      <c r="D468" t="s">
        <v>507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 t="s">
        <v>492</v>
      </c>
      <c r="B469" t="s">
        <v>493</v>
      </c>
      <c r="C469" t="s">
        <v>195</v>
      </c>
      <c r="D469" t="s">
        <v>186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 t="s">
        <v>494</v>
      </c>
      <c r="B470" t="s">
        <v>495</v>
      </c>
      <c r="C470" t="s">
        <v>195</v>
      </c>
      <c r="D470" t="s">
        <v>507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 t="s">
        <v>494</v>
      </c>
      <c r="B471" t="s">
        <v>495</v>
      </c>
      <c r="C471" t="s">
        <v>195</v>
      </c>
      <c r="D471" t="s">
        <v>186</v>
      </c>
      <c r="E471">
        <v>2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 t="s">
        <v>496</v>
      </c>
      <c r="B472" t="s">
        <v>497</v>
      </c>
      <c r="C472" t="s">
        <v>195</v>
      </c>
      <c r="D472" t="s">
        <v>507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 t="s">
        <v>496</v>
      </c>
      <c r="B473" t="s">
        <v>497</v>
      </c>
      <c r="C473" t="s">
        <v>195</v>
      </c>
      <c r="D473" t="s">
        <v>186</v>
      </c>
      <c r="E473">
        <v>2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 t="s">
        <v>37</v>
      </c>
      <c r="B474" t="s">
        <v>498</v>
      </c>
      <c r="C474" t="s">
        <v>195</v>
      </c>
      <c r="D474" t="s">
        <v>507</v>
      </c>
      <c r="E474">
        <v>1</v>
      </c>
      <c r="F474">
        <v>0</v>
      </c>
      <c r="G474">
        <v>0</v>
      </c>
      <c r="H474">
        <v>0</v>
      </c>
      <c r="I474">
        <v>5</v>
      </c>
      <c r="J474">
        <v>6</v>
      </c>
      <c r="K474">
        <v>0</v>
      </c>
    </row>
    <row r="475" spans="1:11" x14ac:dyDescent="0.4">
      <c r="A475" t="s">
        <v>37</v>
      </c>
      <c r="B475" t="s">
        <v>498</v>
      </c>
      <c r="C475" t="s">
        <v>195</v>
      </c>
      <c r="D475" t="s">
        <v>186</v>
      </c>
      <c r="E475">
        <v>1</v>
      </c>
      <c r="F475">
        <v>2</v>
      </c>
      <c r="G475">
        <v>0</v>
      </c>
      <c r="H475">
        <v>0</v>
      </c>
      <c r="I475">
        <v>21</v>
      </c>
      <c r="J475">
        <v>19</v>
      </c>
      <c r="K475">
        <v>1</v>
      </c>
    </row>
    <row r="476" spans="1:11" x14ac:dyDescent="0.4">
      <c r="A476" t="s">
        <v>38</v>
      </c>
      <c r="B476" t="s">
        <v>499</v>
      </c>
      <c r="C476" t="s">
        <v>195</v>
      </c>
      <c r="D476" t="s">
        <v>507</v>
      </c>
      <c r="E476">
        <v>1</v>
      </c>
      <c r="F476">
        <v>0</v>
      </c>
      <c r="G476">
        <v>0</v>
      </c>
      <c r="H476">
        <v>0</v>
      </c>
      <c r="I476">
        <v>5</v>
      </c>
      <c r="J476">
        <v>6</v>
      </c>
      <c r="K476">
        <v>0</v>
      </c>
    </row>
    <row r="477" spans="1:11" x14ac:dyDescent="0.4">
      <c r="A477" t="s">
        <v>38</v>
      </c>
      <c r="B477" t="s">
        <v>499</v>
      </c>
      <c r="C477" t="s">
        <v>195</v>
      </c>
      <c r="D477" t="s">
        <v>186</v>
      </c>
      <c r="E477">
        <v>1</v>
      </c>
      <c r="F477">
        <v>2</v>
      </c>
      <c r="G477">
        <v>0</v>
      </c>
      <c r="H477">
        <v>0</v>
      </c>
      <c r="I477">
        <v>21</v>
      </c>
      <c r="J477">
        <v>19</v>
      </c>
      <c r="K477">
        <v>1</v>
      </c>
    </row>
    <row r="478" spans="1:11" x14ac:dyDescent="0.4">
      <c r="A478" t="s">
        <v>500</v>
      </c>
      <c r="B478" t="s">
        <v>501</v>
      </c>
      <c r="C478" t="s">
        <v>195</v>
      </c>
      <c r="D478" t="s">
        <v>507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 t="s">
        <v>500</v>
      </c>
      <c r="B479" t="s">
        <v>501</v>
      </c>
      <c r="C479" t="s">
        <v>195</v>
      </c>
      <c r="D479" t="s">
        <v>186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 t="s">
        <v>29</v>
      </c>
      <c r="B480" t="s">
        <v>502</v>
      </c>
      <c r="C480" t="s">
        <v>195</v>
      </c>
      <c r="D480" t="s">
        <v>507</v>
      </c>
      <c r="E480">
        <v>1</v>
      </c>
      <c r="F480">
        <v>0</v>
      </c>
      <c r="G480">
        <v>0</v>
      </c>
      <c r="H480">
        <v>0</v>
      </c>
      <c r="I480">
        <v>9</v>
      </c>
      <c r="J480">
        <v>7</v>
      </c>
      <c r="K480">
        <v>3</v>
      </c>
    </row>
    <row r="481" spans="1:11" x14ac:dyDescent="0.4">
      <c r="A481" t="s">
        <v>29</v>
      </c>
      <c r="B481" t="s">
        <v>502</v>
      </c>
      <c r="C481" t="s">
        <v>195</v>
      </c>
      <c r="D481" t="s">
        <v>186</v>
      </c>
      <c r="E481">
        <v>2</v>
      </c>
      <c r="F481">
        <v>4</v>
      </c>
      <c r="G481">
        <v>0</v>
      </c>
      <c r="H481">
        <v>0</v>
      </c>
      <c r="I481">
        <v>43</v>
      </c>
      <c r="J481">
        <v>34</v>
      </c>
      <c r="K481">
        <v>7</v>
      </c>
    </row>
    <row r="482" spans="1:11" x14ac:dyDescent="0.4">
      <c r="A482" t="s">
        <v>43</v>
      </c>
      <c r="B482" t="s">
        <v>503</v>
      </c>
      <c r="C482" t="s">
        <v>173</v>
      </c>
      <c r="D482" t="s">
        <v>507</v>
      </c>
      <c r="E482">
        <v>0</v>
      </c>
      <c r="F482">
        <v>0</v>
      </c>
      <c r="G482">
        <v>0</v>
      </c>
      <c r="H482">
        <v>0</v>
      </c>
      <c r="I482">
        <v>25</v>
      </c>
      <c r="J482">
        <v>0</v>
      </c>
      <c r="K482">
        <v>25</v>
      </c>
    </row>
    <row r="483" spans="1:11" x14ac:dyDescent="0.4">
      <c r="A483" t="s">
        <v>43</v>
      </c>
      <c r="B483" t="s">
        <v>503</v>
      </c>
      <c r="C483" t="s">
        <v>173</v>
      </c>
      <c r="D483" t="s">
        <v>186</v>
      </c>
      <c r="E483">
        <v>0</v>
      </c>
      <c r="F483">
        <v>0</v>
      </c>
      <c r="G483">
        <v>0</v>
      </c>
      <c r="H483">
        <v>0</v>
      </c>
      <c r="I483">
        <v>47</v>
      </c>
      <c r="J483">
        <v>72</v>
      </c>
      <c r="K483">
        <v>-25</v>
      </c>
    </row>
    <row r="484" spans="1:11" x14ac:dyDescent="0.4">
      <c r="A484" t="s">
        <v>76</v>
      </c>
      <c r="B484" t="s">
        <v>504</v>
      </c>
      <c r="C484" t="s">
        <v>201</v>
      </c>
      <c r="D484" t="s">
        <v>507</v>
      </c>
      <c r="E484">
        <v>4</v>
      </c>
      <c r="F484">
        <v>0</v>
      </c>
      <c r="G484">
        <v>0</v>
      </c>
      <c r="H484">
        <v>0</v>
      </c>
      <c r="I484">
        <v>7</v>
      </c>
      <c r="J484">
        <v>9</v>
      </c>
      <c r="K484">
        <v>2</v>
      </c>
    </row>
    <row r="485" spans="1:11" x14ac:dyDescent="0.4">
      <c r="A485" t="s">
        <v>76</v>
      </c>
      <c r="B485" t="s">
        <v>504</v>
      </c>
      <c r="C485" t="s">
        <v>201</v>
      </c>
      <c r="D485" t="s">
        <v>186</v>
      </c>
      <c r="E485">
        <v>10</v>
      </c>
      <c r="F485">
        <v>0</v>
      </c>
      <c r="G485">
        <v>0</v>
      </c>
      <c r="H485">
        <v>0</v>
      </c>
      <c r="I485">
        <v>34</v>
      </c>
      <c r="J485">
        <v>44</v>
      </c>
      <c r="K485">
        <v>0</v>
      </c>
    </row>
    <row r="486" spans="1:11" x14ac:dyDescent="0.4">
      <c r="A486" t="s">
        <v>139</v>
      </c>
      <c r="B486" t="s">
        <v>505</v>
      </c>
      <c r="C486" t="s">
        <v>173</v>
      </c>
      <c r="D486" t="s">
        <v>507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 t="s">
        <v>139</v>
      </c>
      <c r="B487" t="s">
        <v>505</v>
      </c>
      <c r="C487" t="s">
        <v>173</v>
      </c>
      <c r="D487" t="s">
        <v>186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</row>
    <row r="488" spans="1:11" x14ac:dyDescent="0.4">
      <c r="A488" t="s">
        <v>140</v>
      </c>
      <c r="B488" t="s">
        <v>506</v>
      </c>
      <c r="C488" t="s">
        <v>173</v>
      </c>
      <c r="D488" t="s">
        <v>507</v>
      </c>
      <c r="E488">
        <v>7</v>
      </c>
      <c r="F488">
        <v>0</v>
      </c>
      <c r="G488">
        <v>0</v>
      </c>
      <c r="H488">
        <v>0</v>
      </c>
      <c r="I488">
        <v>7</v>
      </c>
      <c r="J488">
        <v>14</v>
      </c>
      <c r="K488">
        <v>0</v>
      </c>
    </row>
    <row r="489" spans="1:11" x14ac:dyDescent="0.4">
      <c r="A489" t="s">
        <v>140</v>
      </c>
      <c r="B489" t="s">
        <v>506</v>
      </c>
      <c r="C489" t="s">
        <v>173</v>
      </c>
      <c r="D489" t="s">
        <v>186</v>
      </c>
      <c r="E489">
        <v>2</v>
      </c>
      <c r="F489">
        <v>0</v>
      </c>
      <c r="G489">
        <v>0</v>
      </c>
      <c r="H489">
        <v>0</v>
      </c>
      <c r="I489">
        <v>15</v>
      </c>
      <c r="J489">
        <v>18</v>
      </c>
      <c r="K489">
        <v>-1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2002"/>
  <sheetViews>
    <sheetView workbookViewId="0"/>
  </sheetViews>
  <sheetFormatPr defaultColWidth="12.64453125" defaultRowHeight="15.75" customHeight="1" x14ac:dyDescent="0.4"/>
  <cols>
    <col min="1" max="1" width="19.1171875" customWidth="1"/>
  </cols>
  <sheetData>
    <row r="1" spans="1:9" ht="15.75" customHeight="1" x14ac:dyDescent="0.4">
      <c r="A1" s="3" t="str">
        <f ca="1">IFERROR(__xludf.DUMMYFUNCTION("IMPORTRANGE(""https://docs.google.com/spreadsheets/d/1j8BHnZioQtCC-utHIoRZ0J9jl15BpshsQcqDn5zavfs/edit#gid=1187515968"",""表單回應 3!A:I"")"),"時間戳記")</f>
        <v>時間戳記</v>
      </c>
      <c r="B1" s="1" t="str">
        <f ca="1">IFERROR(__xludf.DUMMYFUNCTION("""COMPUTED_VALUE"""),"執行項目")</f>
        <v>執行項目</v>
      </c>
      <c r="C1" s="1" t="str">
        <f ca="1">IFERROR(__xludf.DUMMYFUNCTION("""COMPUTED_VALUE"""),"料號")</f>
        <v>料號</v>
      </c>
      <c r="D1" s="1" t="str">
        <f ca="1">IFERROR(__xludf.DUMMYFUNCTION("""COMPUTED_VALUE"""),"產品類別")</f>
        <v>產品類別</v>
      </c>
      <c r="E1" s="1" t="str">
        <f ca="1">IFERROR(__xludf.DUMMYFUNCTION("""COMPUTED_VALUE"""),"產品位置")</f>
        <v>產品位置</v>
      </c>
      <c r="F1" s="1" t="str">
        <f ca="1">IFERROR(__xludf.DUMMYFUNCTION("""COMPUTED_VALUE"""),"數量")</f>
        <v>數量</v>
      </c>
      <c r="G1" s="1" t="str">
        <f ca="1">IFERROR(__xludf.DUMMYFUNCTION("""COMPUTED_VALUE"""),"產品序號")</f>
        <v>產品序號</v>
      </c>
      <c r="H1" s="1" t="str">
        <f ca="1">IFERROR(__xludf.DUMMYFUNCTION("""COMPUTED_VALUE"""),"Location")</f>
        <v>Location</v>
      </c>
      <c r="I1" s="1" t="str">
        <f ca="1">IFERROR(__xludf.DUMMYFUNCTION("""COMPUTED_VALUE"""),"人員")</f>
        <v>人員</v>
      </c>
    </row>
    <row r="2" spans="1:9" ht="15.75" customHeight="1" x14ac:dyDescent="0.4">
      <c r="A2" s="2">
        <f ca="1">IFERROR(__xludf.DUMMYFUNCTION("""COMPUTED_VALUE"""),44815.804375)</f>
        <v>44815.804375</v>
      </c>
      <c r="B2" s="1" t="str">
        <f ca="1">IFERROR(__xludf.DUMMYFUNCTION("""COMPUTED_VALUE"""),"料件上線時間")</f>
        <v>料件上線時間</v>
      </c>
      <c r="C2" s="1" t="str">
        <f ca="1">IFERROR(__xludf.DUMMYFUNCTION("""COMPUTED_VALUE"""),"ZZ999")</f>
        <v>ZZ999</v>
      </c>
      <c r="D2" s="1" t="str">
        <f ca="1">IFERROR(__xludf.DUMMYFUNCTION("""COMPUTED_VALUE"""),"All/BA")</f>
        <v>All/BA</v>
      </c>
      <c r="E2" s="1" t="str">
        <f ca="1">IFERROR(__xludf.DUMMYFUNCTION("""COMPUTED_VALUE"""),"p1/庫存")</f>
        <v>p1/庫存</v>
      </c>
      <c r="F2" s="1">
        <f ca="1">IFERROR(__xludf.DUMMYFUNCTION("""COMPUTED_VALUE"""),0)</f>
        <v>0</v>
      </c>
      <c r="G2" s="1" t="str">
        <f ca="1">IFERROR(__xludf.DUMMYFUNCTION("""COMPUTED_VALUE"""),"Y1")</f>
        <v>Y1</v>
      </c>
      <c r="H2" s="1" t="str">
        <f ca="1">IFERROR(__xludf.DUMMYFUNCTION("""COMPUTED_VALUE"""),"ZZ999")</f>
        <v>ZZ999</v>
      </c>
      <c r="I2" s="1" t="str">
        <f ca="1">IFERROR(__xludf.DUMMYFUNCTION("""COMPUTED_VALUE"""),"simon")</f>
        <v>simon</v>
      </c>
    </row>
    <row r="3" spans="1:9" ht="15.75" customHeight="1" x14ac:dyDescent="0.4">
      <c r="A3" s="2">
        <f ca="1">IFERROR(__xludf.DUMMYFUNCTION("""COMPUTED_VALUE"""),44938.4557407407)</f>
        <v>44938.455740740697</v>
      </c>
      <c r="B3" s="1" t="str">
        <f ca="1">IFERROR(__xludf.DUMMYFUNCTION("""COMPUTED_VALUE"""),"送修")</f>
        <v>送修</v>
      </c>
      <c r="C3" s="1" t="str">
        <f ca="1">IFERROR(__xludf.DUMMYFUNCTION("""COMPUTED_VALUE"""),"ZZ999")</f>
        <v>ZZ999</v>
      </c>
      <c r="D3" s="1" t="str">
        <f ca="1">IFERROR(__xludf.DUMMYFUNCTION("""COMPUTED_VALUE"""),"All/BA")</f>
        <v>All/BA</v>
      </c>
      <c r="E3" s="1" t="str">
        <f ca="1">IFERROR(__xludf.DUMMYFUNCTION("""COMPUTED_VALUE"""),"p1/庫存")</f>
        <v>p1/庫存</v>
      </c>
      <c r="F3" s="1">
        <f ca="1">IFERROR(__xludf.DUMMYFUNCTION("""COMPUTED_VALUE"""),0)</f>
        <v>0</v>
      </c>
      <c r="G3" s="1" t="str">
        <f ca="1">IFERROR(__xludf.DUMMYFUNCTION("""COMPUTED_VALUE"""),"Y1")</f>
        <v>Y1</v>
      </c>
      <c r="H3" s="1" t="str">
        <f ca="1">IFERROR(__xludf.DUMMYFUNCTION("""COMPUTED_VALUE"""),"ZZ999")</f>
        <v>ZZ999</v>
      </c>
      <c r="I3" s="1" t="str">
        <f ca="1">IFERROR(__xludf.DUMMYFUNCTION("""COMPUTED_VALUE"""),"喬治")</f>
        <v>喬治</v>
      </c>
    </row>
    <row r="4" spans="1:9" ht="15.75" customHeight="1" x14ac:dyDescent="0.4">
      <c r="A4" s="2">
        <f ca="1">IFERROR(__xludf.DUMMYFUNCTION("""COMPUTED_VALUE"""),44969.4584722222)</f>
        <v>44969.458472222199</v>
      </c>
      <c r="B4" s="1" t="str">
        <f ca="1">IFERROR(__xludf.DUMMYFUNCTION("""COMPUTED_VALUE"""),"料件上線時間")</f>
        <v>料件上線時間</v>
      </c>
      <c r="C4" s="1" t="str">
        <f ca="1">IFERROR(__xludf.DUMMYFUNCTION("""COMPUTED_VALUE"""),"ZZ999")</f>
        <v>ZZ999</v>
      </c>
      <c r="D4" s="1" t="str">
        <f ca="1">IFERROR(__xludf.DUMMYFUNCTION("""COMPUTED_VALUE"""),"All/RL")</f>
        <v>All/RL</v>
      </c>
      <c r="E4" s="1" t="str">
        <f ca="1">IFERROR(__xludf.DUMMYFUNCTION("""COMPUTED_VALUE"""),"p2/庫存")</f>
        <v>p2/庫存</v>
      </c>
      <c r="F4" s="1">
        <f ca="1">IFERROR(__xludf.DUMMYFUNCTION("""COMPUTED_VALUE"""),0)</f>
        <v>0</v>
      </c>
      <c r="G4" s="1" t="str">
        <f ca="1">IFERROR(__xludf.DUMMYFUNCTION("""COMPUTED_VALUE"""),"Y1")</f>
        <v>Y1</v>
      </c>
      <c r="H4" s="1" t="str">
        <f ca="1">IFERROR(__xludf.DUMMYFUNCTION("""COMPUTED_VALUE"""),"ZZ999")</f>
        <v>ZZ999</v>
      </c>
      <c r="I4" s="1" t="str">
        <f ca="1">IFERROR(__xludf.DUMMYFUNCTION("""COMPUTED_VALUE"""),"uri")</f>
        <v>uri</v>
      </c>
    </row>
    <row r="5" spans="1:9" ht="15.75" customHeight="1" x14ac:dyDescent="0.4">
      <c r="A5" s="2">
        <f ca="1">IFERROR(__xludf.DUMMYFUNCTION("""COMPUTED_VALUE"""),45181.4626512268)</f>
        <v>45181.462651226801</v>
      </c>
      <c r="B5" s="1" t="str">
        <f ca="1">IFERROR(__xludf.DUMMYFUNCTION("""COMPUTED_VALUE"""),"送修")</f>
        <v>送修</v>
      </c>
      <c r="C5" s="1" t="str">
        <f ca="1">IFERROR(__xludf.DUMMYFUNCTION("""COMPUTED_VALUE"""),"ZZ999")</f>
        <v>ZZ999</v>
      </c>
      <c r="D5" s="1" t="str">
        <f ca="1">IFERROR(__xludf.DUMMYFUNCTION("""COMPUTED_VALUE"""),"All/BA")</f>
        <v>All/BA</v>
      </c>
      <c r="E5" s="1" t="str">
        <f ca="1">IFERROR(__xludf.DUMMYFUNCTION("""COMPUTED_VALUE"""),"p1/庫存")</f>
        <v>p1/庫存</v>
      </c>
      <c r="F5" s="1">
        <f ca="1">IFERROR(__xludf.DUMMYFUNCTION("""COMPUTED_VALUE"""),0)</f>
        <v>0</v>
      </c>
      <c r="G5" s="1" t="str">
        <f ca="1">IFERROR(__xludf.DUMMYFUNCTION("""COMPUTED_VALUE"""),"Y1")</f>
        <v>Y1</v>
      </c>
      <c r="H5" s="1" t="str">
        <f ca="1">IFERROR(__xludf.DUMMYFUNCTION("""COMPUTED_VALUE"""),"ZZ999")</f>
        <v>ZZ999</v>
      </c>
      <c r="I5" s="1" t="str">
        <f ca="1">IFERROR(__xludf.DUMMYFUNCTION("""COMPUTED_VALUE"""),"simon")</f>
        <v>simon</v>
      </c>
    </row>
    <row r="6" spans="1:9" ht="15.75" customHeight="1" x14ac:dyDescent="0.4">
      <c r="A6" s="2">
        <f ca="1">IFERROR(__xludf.DUMMYFUNCTION("""COMPUTED_VALUE"""),45181.4922909606)</f>
        <v>45181.492290960603</v>
      </c>
      <c r="B6" s="1" t="str">
        <f ca="1">IFERROR(__xludf.DUMMYFUNCTION("""COMPUTED_VALUE"""),"返修")</f>
        <v>返修</v>
      </c>
      <c r="C6" s="1" t="str">
        <f ca="1">IFERROR(__xludf.DUMMYFUNCTION("""COMPUTED_VALUE"""),"ZZ999")</f>
        <v>ZZ999</v>
      </c>
      <c r="D6" s="1" t="str">
        <f ca="1">IFERROR(__xludf.DUMMYFUNCTION("""COMPUTED_VALUE"""),"All/RL")</f>
        <v>All/RL</v>
      </c>
      <c r="E6" s="1" t="str">
        <f ca="1">IFERROR(__xludf.DUMMYFUNCTION("""COMPUTED_VALUE"""),"p2/庫存")</f>
        <v>p2/庫存</v>
      </c>
      <c r="F6" s="1">
        <f ca="1">IFERROR(__xludf.DUMMYFUNCTION("""COMPUTED_VALUE"""),0)</f>
        <v>0</v>
      </c>
      <c r="G6" s="1" t="str">
        <f ca="1">IFERROR(__xludf.DUMMYFUNCTION("""COMPUTED_VALUE"""),"ZZ999")</f>
        <v>ZZ999</v>
      </c>
      <c r="H6" s="1" t="str">
        <f ca="1">IFERROR(__xludf.DUMMYFUNCTION("""COMPUTED_VALUE"""),"ZZ999")</f>
        <v>ZZ999</v>
      </c>
      <c r="I6" s="1" t="str">
        <f ca="1">IFERROR(__xludf.DUMMYFUNCTION("""COMPUTED_VALUE"""),"喬治")</f>
        <v>喬治</v>
      </c>
    </row>
    <row r="7" spans="1:9" ht="15.75" customHeight="1" x14ac:dyDescent="0.4">
      <c r="A7" s="2">
        <f ca="1">IFERROR(__xludf.DUMMYFUNCTION("""COMPUTED_VALUE"""),45181.5007439467)</f>
        <v>45181.500743946701</v>
      </c>
      <c r="B7" s="1" t="str">
        <f ca="1">IFERROR(__xludf.DUMMYFUNCTION("""COMPUTED_VALUE"""),"送修")</f>
        <v>送修</v>
      </c>
      <c r="C7" s="1" t="str">
        <f ca="1">IFERROR(__xludf.DUMMYFUNCTION("""COMPUTED_VALUE"""),"ZZ999")</f>
        <v>ZZ999</v>
      </c>
      <c r="D7" s="1" t="str">
        <f ca="1">IFERROR(__xludf.DUMMYFUNCTION("""COMPUTED_VALUE"""),"All")</f>
        <v>All</v>
      </c>
      <c r="E7" s="1" t="str">
        <f ca="1">IFERROR(__xludf.DUMMYFUNCTION("""COMPUTED_VALUE"""),"p1/庫存")</f>
        <v>p1/庫存</v>
      </c>
      <c r="F7" s="1">
        <f ca="1">IFERROR(__xludf.DUMMYFUNCTION("""COMPUTED_VALUE"""),0)</f>
        <v>0</v>
      </c>
      <c r="G7" s="1" t="str">
        <f ca="1">IFERROR(__xludf.DUMMYFUNCTION("""COMPUTED_VALUE"""),"ZZ999")</f>
        <v>ZZ999</v>
      </c>
      <c r="H7" s="1" t="str">
        <f ca="1">IFERROR(__xludf.DUMMYFUNCTION("""COMPUTED_VALUE"""),"ZZ999")</f>
        <v>ZZ999</v>
      </c>
      <c r="I7" s="1" t="str">
        <f ca="1">IFERROR(__xludf.DUMMYFUNCTION("""COMPUTED_VALUE"""),"uri")</f>
        <v>uri</v>
      </c>
    </row>
    <row r="8" spans="1:9" ht="15.75" customHeight="1" x14ac:dyDescent="0.4">
      <c r="A8" s="2">
        <f ca="1">IFERROR(__xludf.DUMMYFUNCTION("""COMPUTED_VALUE"""),45181.5025225694)</f>
        <v>45181.502522569397</v>
      </c>
      <c r="B8" s="1" t="str">
        <f ca="1">IFERROR(__xludf.DUMMYFUNCTION("""COMPUTED_VALUE"""),"領料")</f>
        <v>領料</v>
      </c>
      <c r="C8" s="1" t="str">
        <f ca="1">IFERROR(__xludf.DUMMYFUNCTION("""COMPUTED_VALUE"""),"ZZ999")</f>
        <v>ZZ999</v>
      </c>
      <c r="D8" s="1" t="str">
        <f ca="1">IFERROR(__xludf.DUMMYFUNCTION("""COMPUTED_VALUE"""),"All/BA")</f>
        <v>All/BA</v>
      </c>
      <c r="E8" s="1" t="str">
        <f ca="1">IFERROR(__xludf.DUMMYFUNCTION("""COMPUTED_VALUE"""),"p2/庫存")</f>
        <v>p2/庫存</v>
      </c>
      <c r="F8" s="1">
        <f ca="1">IFERROR(__xludf.DUMMYFUNCTION("""COMPUTED_VALUE"""),0)</f>
        <v>0</v>
      </c>
      <c r="G8" s="1" t="str">
        <f ca="1">IFERROR(__xludf.DUMMYFUNCTION("""COMPUTED_VALUE"""),"ZZ999")</f>
        <v>ZZ999</v>
      </c>
      <c r="H8" s="1" t="str">
        <f ca="1">IFERROR(__xludf.DUMMYFUNCTION("""COMPUTED_VALUE"""),"ZZ999")</f>
        <v>ZZ999</v>
      </c>
      <c r="I8" s="1" t="str">
        <f ca="1">IFERROR(__xludf.DUMMYFUNCTION("""COMPUTED_VALUE"""),"Barry")</f>
        <v>Barry</v>
      </c>
    </row>
    <row r="9" spans="1:9" ht="15.75" customHeight="1" x14ac:dyDescent="0.4">
      <c r="A9" s="2">
        <f ca="1">IFERROR(__xludf.DUMMYFUNCTION("""COMPUTED_VALUE"""),45181.5204482638)</f>
        <v>45181.5204482638</v>
      </c>
      <c r="B9" s="1" t="str">
        <f ca="1">IFERROR(__xludf.DUMMYFUNCTION("""COMPUTED_VALUE"""),"送修")</f>
        <v>送修</v>
      </c>
      <c r="C9" s="1" t="str">
        <f ca="1">IFERROR(__xludf.DUMMYFUNCTION("""COMPUTED_VALUE"""),"ZZ999")</f>
        <v>ZZ999</v>
      </c>
      <c r="D9" s="1" t="str">
        <f ca="1">IFERROR(__xludf.DUMMYFUNCTION("""COMPUTED_VALUE"""),"All/BA")</f>
        <v>All/BA</v>
      </c>
      <c r="E9" s="1" t="str">
        <f ca="1">IFERROR(__xludf.DUMMYFUNCTION("""COMPUTED_VALUE"""),"p1/庫存")</f>
        <v>p1/庫存</v>
      </c>
      <c r="F9" s="1">
        <f ca="1">IFERROR(__xludf.DUMMYFUNCTION("""COMPUTED_VALUE"""),0)</f>
        <v>0</v>
      </c>
      <c r="G9" s="1" t="str">
        <f ca="1">IFERROR(__xludf.DUMMYFUNCTION("""COMPUTED_VALUE"""),"ZZ999")</f>
        <v>ZZ999</v>
      </c>
      <c r="H9" s="1" t="str">
        <f ca="1">IFERROR(__xludf.DUMMYFUNCTION("""COMPUTED_VALUE"""),"ZZ999")</f>
        <v>ZZ999</v>
      </c>
      <c r="I9" s="1" t="str">
        <f ca="1">IFERROR(__xludf.DUMMYFUNCTION("""COMPUTED_VALUE"""),"uri")</f>
        <v>uri</v>
      </c>
    </row>
    <row r="10" spans="1:9" ht="15.75" customHeight="1" x14ac:dyDescent="0.4">
      <c r="A10" s="2">
        <f ca="1">IFERROR(__xludf.DUMMYFUNCTION("""COMPUTED_VALUE"""),45181.5265584606)</f>
        <v>45181.526558460602</v>
      </c>
      <c r="B10" s="1" t="str">
        <f ca="1">IFERROR(__xludf.DUMMYFUNCTION("""COMPUTED_VALUE"""),"進貨")</f>
        <v>進貨</v>
      </c>
      <c r="C10" s="1" t="str">
        <f ca="1">IFERROR(__xludf.DUMMYFUNCTION("""COMPUTED_VALUE"""),"ZZ999")</f>
        <v>ZZ999</v>
      </c>
      <c r="D10" s="1" t="str">
        <f ca="1">IFERROR(__xludf.DUMMYFUNCTION("""COMPUTED_VALUE"""),"All/BA")</f>
        <v>All/BA</v>
      </c>
      <c r="E10" s="1" t="str">
        <f ca="1">IFERROR(__xludf.DUMMYFUNCTION("""COMPUTED_VALUE"""),"p1/庫存")</f>
        <v>p1/庫存</v>
      </c>
      <c r="F10" s="1">
        <f ca="1">IFERROR(__xludf.DUMMYFUNCTION("""COMPUTED_VALUE"""),0)</f>
        <v>0</v>
      </c>
      <c r="G10" s="1" t="str">
        <f ca="1">IFERROR(__xludf.DUMMYFUNCTION("""COMPUTED_VALUE"""),"ZZ999")</f>
        <v>ZZ999</v>
      </c>
      <c r="H10" s="1" t="str">
        <f ca="1">IFERROR(__xludf.DUMMYFUNCTION("""COMPUTED_VALUE"""),"ZZ999")</f>
        <v>ZZ999</v>
      </c>
      <c r="I10" s="1" t="str">
        <f ca="1">IFERROR(__xludf.DUMMYFUNCTION("""COMPUTED_VALUE"""),"Barry")</f>
        <v>Barry</v>
      </c>
    </row>
    <row r="11" spans="1:9" ht="15.75" customHeight="1" x14ac:dyDescent="0.4">
      <c r="A11" s="2">
        <f ca="1">IFERROR(__xludf.DUMMYFUNCTION("""COMPUTED_VALUE"""),45181.5271868287)</f>
        <v>45181.527186828702</v>
      </c>
      <c r="B11" s="1" t="str">
        <f ca="1">IFERROR(__xludf.DUMMYFUNCTION("""COMPUTED_VALUE"""),"領料")</f>
        <v>領料</v>
      </c>
      <c r="C11" s="1" t="str">
        <f ca="1">IFERROR(__xludf.DUMMYFUNCTION("""COMPUTED_VALUE"""),"ZZ999")</f>
        <v>ZZ999</v>
      </c>
      <c r="D11" s="1" t="str">
        <f ca="1">IFERROR(__xludf.DUMMYFUNCTION("""COMPUTED_VALUE"""),"All/BA")</f>
        <v>All/BA</v>
      </c>
      <c r="E11" s="1" t="str">
        <f ca="1">IFERROR(__xludf.DUMMYFUNCTION("""COMPUTED_VALUE"""),"p1/庫存")</f>
        <v>p1/庫存</v>
      </c>
      <c r="F11" s="1">
        <f ca="1">IFERROR(__xludf.DUMMYFUNCTION("""COMPUTED_VALUE"""),0)</f>
        <v>0</v>
      </c>
      <c r="G11" s="1" t="str">
        <f ca="1">IFERROR(__xludf.DUMMYFUNCTION("""COMPUTED_VALUE"""),"ZZ999")</f>
        <v>ZZ999</v>
      </c>
      <c r="H11" s="1" t="str">
        <f ca="1">IFERROR(__xludf.DUMMYFUNCTION("""COMPUTED_VALUE"""),"ZZ999")</f>
        <v>ZZ999</v>
      </c>
      <c r="I11" s="1" t="str">
        <f ca="1">IFERROR(__xludf.DUMMYFUNCTION("""COMPUTED_VALUE"""),"uri")</f>
        <v>uri</v>
      </c>
    </row>
    <row r="12" spans="1:9" ht="15.75" customHeight="1" x14ac:dyDescent="0.4">
      <c r="A12" s="2">
        <f ca="1">IFERROR(__xludf.DUMMYFUNCTION("""COMPUTED_VALUE"""),45181.5279395601)</f>
        <v>45181.527939560103</v>
      </c>
      <c r="B12" s="1" t="str">
        <f ca="1">IFERROR(__xludf.DUMMYFUNCTION("""COMPUTED_VALUE"""),"返修")</f>
        <v>返修</v>
      </c>
      <c r="C12" s="1" t="str">
        <f ca="1">IFERROR(__xludf.DUMMYFUNCTION("""COMPUTED_VALUE"""),"ZZ999")</f>
        <v>ZZ999</v>
      </c>
      <c r="D12" s="1" t="str">
        <f ca="1">IFERROR(__xludf.DUMMYFUNCTION("""COMPUTED_VALUE"""),"All/BA")</f>
        <v>All/BA</v>
      </c>
      <c r="E12" s="1" t="str">
        <f ca="1">IFERROR(__xludf.DUMMYFUNCTION("""COMPUTED_VALUE"""),"p1/庫存")</f>
        <v>p1/庫存</v>
      </c>
      <c r="F12" s="1">
        <f ca="1">IFERROR(__xludf.DUMMYFUNCTION("""COMPUTED_VALUE"""),0)</f>
        <v>0</v>
      </c>
      <c r="G12" s="1" t="str">
        <f ca="1">IFERROR(__xludf.DUMMYFUNCTION("""COMPUTED_VALUE"""),"ZZ999")</f>
        <v>ZZ999</v>
      </c>
      <c r="H12" s="1" t="str">
        <f ca="1">IFERROR(__xludf.DUMMYFUNCTION("""COMPUTED_VALUE"""),"ZZ999")</f>
        <v>ZZ999</v>
      </c>
      <c r="I12" s="1" t="str">
        <f ca="1">IFERROR(__xludf.DUMMYFUNCTION("""COMPUTED_VALUE"""),"喬治")</f>
        <v>喬治</v>
      </c>
    </row>
    <row r="13" spans="1:9" ht="15.75" customHeight="1" x14ac:dyDescent="0.4">
      <c r="A13" s="2">
        <f ca="1">IFERROR(__xludf.DUMMYFUNCTION("""COMPUTED_VALUE"""),45181.5324869444)</f>
        <v>45181.532486944401</v>
      </c>
      <c r="B13" s="1" t="str">
        <f ca="1">IFERROR(__xludf.DUMMYFUNCTION("""COMPUTED_VALUE"""),"庫存調整")</f>
        <v>庫存調整</v>
      </c>
      <c r="C13" s="1" t="str">
        <f ca="1">IFERROR(__xludf.DUMMYFUNCTION("""COMPUTED_VALUE"""),"ZZ999")</f>
        <v>ZZ999</v>
      </c>
      <c r="D13" s="1" t="str">
        <f ca="1">IFERROR(__xludf.DUMMYFUNCTION("""COMPUTED_VALUE"""),"All/BA")</f>
        <v>All/BA</v>
      </c>
      <c r="E13" s="1" t="str">
        <f ca="1">IFERROR(__xludf.DUMMYFUNCTION("""COMPUTED_VALUE"""),"p1/庫存")</f>
        <v>p1/庫存</v>
      </c>
      <c r="F13" s="1">
        <f ca="1">IFERROR(__xludf.DUMMYFUNCTION("""COMPUTED_VALUE"""),0)</f>
        <v>0</v>
      </c>
      <c r="G13" s="1" t="str">
        <f ca="1">IFERROR(__xludf.DUMMYFUNCTION("""COMPUTED_VALUE"""),"ZZ999")</f>
        <v>ZZ999</v>
      </c>
      <c r="H13" s="1" t="str">
        <f ca="1">IFERROR(__xludf.DUMMYFUNCTION("""COMPUTED_VALUE"""),"ZZ999")</f>
        <v>ZZ999</v>
      </c>
      <c r="I13" s="1" t="str">
        <f ca="1">IFERROR(__xludf.DUMMYFUNCTION("""COMPUTED_VALUE"""),"uri")</f>
        <v>uri</v>
      </c>
    </row>
    <row r="14" spans="1:9" ht="15.75" customHeight="1" x14ac:dyDescent="0.4">
      <c r="A14" s="2">
        <f ca="1">IFERROR(__xludf.DUMMYFUNCTION("""COMPUTED_VALUE"""),45181.5348539699)</f>
        <v>45181.534853969897</v>
      </c>
      <c r="B14" s="1" t="str">
        <f ca="1">IFERROR(__xludf.DUMMYFUNCTION("""COMPUTED_VALUE"""),"庫存調整")</f>
        <v>庫存調整</v>
      </c>
      <c r="C14" s="1" t="str">
        <f ca="1">IFERROR(__xludf.DUMMYFUNCTION("""COMPUTED_VALUE"""),"ZZ999")</f>
        <v>ZZ999</v>
      </c>
      <c r="D14" s="1" t="str">
        <f ca="1">IFERROR(__xludf.DUMMYFUNCTION("""COMPUTED_VALUE"""),"All/BA")</f>
        <v>All/BA</v>
      </c>
      <c r="E14" s="1" t="str">
        <f ca="1">IFERROR(__xludf.DUMMYFUNCTION("""COMPUTED_VALUE"""),"p1/庫存")</f>
        <v>p1/庫存</v>
      </c>
      <c r="F14" s="1">
        <f ca="1">IFERROR(__xludf.DUMMYFUNCTION("""COMPUTED_VALUE"""),0)</f>
        <v>0</v>
      </c>
      <c r="G14" s="1" t="str">
        <f ca="1">IFERROR(__xludf.DUMMYFUNCTION("""COMPUTED_VALUE"""),"ZZ999")</f>
        <v>ZZ999</v>
      </c>
      <c r="H14" s="1" t="str">
        <f ca="1">IFERROR(__xludf.DUMMYFUNCTION("""COMPUTED_VALUE"""),"ZZ999")</f>
        <v>ZZ999</v>
      </c>
      <c r="I14" s="1" t="str">
        <f ca="1">IFERROR(__xludf.DUMMYFUNCTION("""COMPUTED_VALUE"""),"simon")</f>
        <v>simon</v>
      </c>
    </row>
    <row r="15" spans="1:9" ht="15.75" customHeight="1" x14ac:dyDescent="0.4">
      <c r="A15" s="2">
        <f ca="1">IFERROR(__xludf.DUMMYFUNCTION("""COMPUTED_VALUE"""),45181.5412348495)</f>
        <v>45181.541234849501</v>
      </c>
      <c r="B15" s="1" t="str">
        <f ca="1">IFERROR(__xludf.DUMMYFUNCTION("""COMPUTED_VALUE"""),"庫存調整")</f>
        <v>庫存調整</v>
      </c>
      <c r="C15" s="1" t="str">
        <f ca="1">IFERROR(__xludf.DUMMYFUNCTION("""COMPUTED_VALUE"""),"ZZ999")</f>
        <v>ZZ999</v>
      </c>
      <c r="D15" s="1" t="str">
        <f ca="1">IFERROR(__xludf.DUMMYFUNCTION("""COMPUTED_VALUE"""),"All/BA")</f>
        <v>All/BA</v>
      </c>
      <c r="E15" s="1" t="str">
        <f ca="1">IFERROR(__xludf.DUMMYFUNCTION("""COMPUTED_VALUE"""),"p2/庫存")</f>
        <v>p2/庫存</v>
      </c>
      <c r="F15" s="1">
        <f ca="1">IFERROR(__xludf.DUMMYFUNCTION("""COMPUTED_VALUE"""),0)</f>
        <v>0</v>
      </c>
      <c r="G15" s="1" t="str">
        <f ca="1">IFERROR(__xludf.DUMMYFUNCTION("""COMPUTED_VALUE"""),"ZZ999")</f>
        <v>ZZ999</v>
      </c>
      <c r="H15" s="1" t="str">
        <f ca="1">IFERROR(__xludf.DUMMYFUNCTION("""COMPUTED_VALUE"""),"ZZ999")</f>
        <v>ZZ999</v>
      </c>
      <c r="I15" s="1" t="str">
        <f ca="1">IFERROR(__xludf.DUMMYFUNCTION("""COMPUTED_VALUE"""),"Barry")</f>
        <v>Barry</v>
      </c>
    </row>
    <row r="16" spans="1:9" ht="15.75" customHeight="1" x14ac:dyDescent="0.4">
      <c r="A16" s="2">
        <f ca="1">IFERROR(__xludf.DUMMYFUNCTION("""COMPUTED_VALUE"""),45181.7188513541)</f>
        <v>45181.718851354097</v>
      </c>
      <c r="B16" s="1" t="str">
        <f ca="1">IFERROR(__xludf.DUMMYFUNCTION("""COMPUTED_VALUE"""),"返修")</f>
        <v>返修</v>
      </c>
      <c r="C16" s="1" t="str">
        <f ca="1">IFERROR(__xludf.DUMMYFUNCTION("""COMPUTED_VALUE"""),"ZZ999")</f>
        <v>ZZ999</v>
      </c>
      <c r="D16" s="1" t="str">
        <f ca="1">IFERROR(__xludf.DUMMYFUNCTION("""COMPUTED_VALUE"""),"All/BA")</f>
        <v>All/BA</v>
      </c>
      <c r="E16" s="1" t="str">
        <f ca="1">IFERROR(__xludf.DUMMYFUNCTION("""COMPUTED_VALUE"""),"p2/庫存")</f>
        <v>p2/庫存</v>
      </c>
      <c r="F16" s="1">
        <f ca="1">IFERROR(__xludf.DUMMYFUNCTION("""COMPUTED_VALUE"""),0)</f>
        <v>0</v>
      </c>
      <c r="G16" s="1" t="str">
        <f ca="1">IFERROR(__xludf.DUMMYFUNCTION("""COMPUTED_VALUE"""),"ZZ999")</f>
        <v>ZZ999</v>
      </c>
      <c r="H16" s="1" t="str">
        <f ca="1">IFERROR(__xludf.DUMMYFUNCTION("""COMPUTED_VALUE"""),"ZZ999")</f>
        <v>ZZ999</v>
      </c>
      <c r="I16" s="1" t="str">
        <f ca="1">IFERROR(__xludf.DUMMYFUNCTION("""COMPUTED_VALUE"""),"喬治")</f>
        <v>喬治</v>
      </c>
    </row>
    <row r="17" spans="1:9" ht="15.75" customHeight="1" x14ac:dyDescent="0.4">
      <c r="A17" s="2">
        <f ca="1">IFERROR(__xludf.DUMMYFUNCTION("""COMPUTED_VALUE"""),45181.7516307638)</f>
        <v>45181.7516307638</v>
      </c>
      <c r="B17" s="1" t="str">
        <f ca="1">IFERROR(__xludf.DUMMYFUNCTION("""COMPUTED_VALUE"""),"進貨")</f>
        <v>進貨</v>
      </c>
      <c r="C17" s="1" t="str">
        <f ca="1">IFERROR(__xludf.DUMMYFUNCTION("""COMPUTED_VALUE"""),"ZZ999")</f>
        <v>ZZ999</v>
      </c>
      <c r="D17" s="1" t="str">
        <f ca="1">IFERROR(__xludf.DUMMYFUNCTION("""COMPUTED_VALUE"""),"All/BA")</f>
        <v>All/BA</v>
      </c>
      <c r="E17" s="1" t="str">
        <f ca="1">IFERROR(__xludf.DUMMYFUNCTION("""COMPUTED_VALUE"""),"p2/庫存")</f>
        <v>p2/庫存</v>
      </c>
      <c r="F17" s="1">
        <f ca="1">IFERROR(__xludf.DUMMYFUNCTION("""COMPUTED_VALUE"""),0)</f>
        <v>0</v>
      </c>
      <c r="G17" s="1" t="str">
        <f ca="1">IFERROR(__xludf.DUMMYFUNCTION("""COMPUTED_VALUE"""),"ZZ999")</f>
        <v>ZZ999</v>
      </c>
      <c r="H17" s="1" t="str">
        <f ca="1">IFERROR(__xludf.DUMMYFUNCTION("""COMPUTED_VALUE"""),"ZZ999")</f>
        <v>ZZ999</v>
      </c>
      <c r="I17" s="1" t="str">
        <f ca="1">IFERROR(__xludf.DUMMYFUNCTION("""COMPUTED_VALUE"""),"Barry")</f>
        <v>Barry</v>
      </c>
    </row>
    <row r="18" spans="1:9" ht="15.75" customHeight="1" x14ac:dyDescent="0.4">
      <c r="A18" s="2">
        <f ca="1">IFERROR(__xludf.DUMMYFUNCTION("""COMPUTED_VALUE"""),45181.7541390972)</f>
        <v>45181.754139097196</v>
      </c>
      <c r="B18" s="1" t="str">
        <f ca="1">IFERROR(__xludf.DUMMYFUNCTION("""COMPUTED_VALUE"""),"進貨")</f>
        <v>進貨</v>
      </c>
      <c r="C18" s="1" t="str">
        <f ca="1">IFERROR(__xludf.DUMMYFUNCTION("""COMPUTED_VALUE"""),"ZZ999")</f>
        <v>ZZ999</v>
      </c>
      <c r="D18" s="1" t="str">
        <f ca="1">IFERROR(__xludf.DUMMYFUNCTION("""COMPUTED_VALUE"""),"All/BA")</f>
        <v>All/BA</v>
      </c>
      <c r="E18" s="1" t="str">
        <f ca="1">IFERROR(__xludf.DUMMYFUNCTION("""COMPUTED_VALUE"""),"p2/庫存")</f>
        <v>p2/庫存</v>
      </c>
      <c r="F18" s="1">
        <f ca="1">IFERROR(__xludf.DUMMYFUNCTION("""COMPUTED_VALUE"""),0)</f>
        <v>0</v>
      </c>
      <c r="G18" s="1" t="str">
        <f ca="1">IFERROR(__xludf.DUMMYFUNCTION("""COMPUTED_VALUE"""),"ZZ999")</f>
        <v>ZZ999</v>
      </c>
      <c r="H18" s="1" t="str">
        <f ca="1">IFERROR(__xludf.DUMMYFUNCTION("""COMPUTED_VALUE"""),"ZZ999")</f>
        <v>ZZ999</v>
      </c>
      <c r="I18" s="1" t="str">
        <f ca="1">IFERROR(__xludf.DUMMYFUNCTION("""COMPUTED_VALUE"""),"喬治")</f>
        <v>喬治</v>
      </c>
    </row>
    <row r="19" spans="1:9" ht="15.75" customHeight="1" x14ac:dyDescent="0.4">
      <c r="A19" s="2">
        <f ca="1">IFERROR(__xludf.DUMMYFUNCTION("""COMPUTED_VALUE"""),45181.7706766203)</f>
        <v>45181.770676620297</v>
      </c>
      <c r="B19" s="1" t="str">
        <f ca="1">IFERROR(__xludf.DUMMYFUNCTION("""COMPUTED_VALUE"""),"送修")</f>
        <v>送修</v>
      </c>
      <c r="C19" s="1" t="str">
        <f ca="1">IFERROR(__xludf.DUMMYFUNCTION("""COMPUTED_VALUE"""),"ZZ999")</f>
        <v>ZZ999</v>
      </c>
      <c r="D19" s="1" t="str">
        <f ca="1">IFERROR(__xludf.DUMMYFUNCTION("""COMPUTED_VALUE"""),"All/BA")</f>
        <v>All/BA</v>
      </c>
      <c r="E19" s="1" t="str">
        <f ca="1">IFERROR(__xludf.DUMMYFUNCTION("""COMPUTED_VALUE"""),"p1/庫存")</f>
        <v>p1/庫存</v>
      </c>
      <c r="F19" s="1">
        <f ca="1">IFERROR(__xludf.DUMMYFUNCTION("""COMPUTED_VALUE"""),0)</f>
        <v>0</v>
      </c>
      <c r="G19" s="1" t="str">
        <f ca="1">IFERROR(__xludf.DUMMYFUNCTION("""COMPUTED_VALUE"""),"ZZ999")</f>
        <v>ZZ999</v>
      </c>
      <c r="H19" s="1" t="str">
        <f ca="1">IFERROR(__xludf.DUMMYFUNCTION("""COMPUTED_VALUE"""),"ZZ999")</f>
        <v>ZZ999</v>
      </c>
      <c r="I19" s="1" t="str">
        <f ca="1">IFERROR(__xludf.DUMMYFUNCTION("""COMPUTED_VALUE"""),"uri")</f>
        <v>uri</v>
      </c>
    </row>
    <row r="20" spans="1:9" ht="15.75" customHeight="1" x14ac:dyDescent="0.4">
      <c r="A20" s="2">
        <f ca="1">IFERROR(__xludf.DUMMYFUNCTION("""COMPUTED_VALUE"""),45181.7913291666)</f>
        <v>45181.791329166597</v>
      </c>
      <c r="B20" s="1" t="str">
        <f ca="1">IFERROR(__xludf.DUMMYFUNCTION("""COMPUTED_VALUE"""),"送修")</f>
        <v>送修</v>
      </c>
      <c r="C20" s="1" t="str">
        <f ca="1">IFERROR(__xludf.DUMMYFUNCTION("""COMPUTED_VALUE"""),"ZZ999")</f>
        <v>ZZ999</v>
      </c>
      <c r="D20" s="1" t="str">
        <f ca="1">IFERROR(__xludf.DUMMYFUNCTION("""COMPUTED_VALUE"""),"All/BA")</f>
        <v>All/BA</v>
      </c>
      <c r="E20" s="1" t="str">
        <f ca="1">IFERROR(__xludf.DUMMYFUNCTION("""COMPUTED_VALUE"""),"p1/庫存")</f>
        <v>p1/庫存</v>
      </c>
      <c r="F20" s="1">
        <f ca="1">IFERROR(__xludf.DUMMYFUNCTION("""COMPUTED_VALUE"""),0)</f>
        <v>0</v>
      </c>
      <c r="G20" s="1" t="str">
        <f ca="1">IFERROR(__xludf.DUMMYFUNCTION("""COMPUTED_VALUE"""),"ZZ999")</f>
        <v>ZZ999</v>
      </c>
      <c r="H20" s="1" t="str">
        <f ca="1">IFERROR(__xludf.DUMMYFUNCTION("""COMPUTED_VALUE"""),"ZZ999")</f>
        <v>ZZ999</v>
      </c>
      <c r="I20" s="1" t="str">
        <f ca="1">IFERROR(__xludf.DUMMYFUNCTION("""COMPUTED_VALUE"""),"喬治")</f>
        <v>喬治</v>
      </c>
    </row>
    <row r="21" spans="1:9" ht="15.75" customHeight="1" x14ac:dyDescent="0.4">
      <c r="A21" s="2">
        <f ca="1">IFERROR(__xludf.DUMMYFUNCTION("""COMPUTED_VALUE"""),45181.8158609606)</f>
        <v>45181.815860960603</v>
      </c>
      <c r="B21" s="1" t="str">
        <f ca="1">IFERROR(__xludf.DUMMYFUNCTION("""COMPUTED_VALUE"""),"送修")</f>
        <v>送修</v>
      </c>
      <c r="C21" s="1" t="str">
        <f ca="1">IFERROR(__xludf.DUMMYFUNCTION("""COMPUTED_VALUE"""),"ZZ999")</f>
        <v>ZZ999</v>
      </c>
      <c r="D21" s="1" t="str">
        <f ca="1">IFERROR(__xludf.DUMMYFUNCTION("""COMPUTED_VALUE"""),"All/BA")</f>
        <v>All/BA</v>
      </c>
      <c r="E21" s="1" t="str">
        <f ca="1">IFERROR(__xludf.DUMMYFUNCTION("""COMPUTED_VALUE"""),"p1/庫存")</f>
        <v>p1/庫存</v>
      </c>
      <c r="F21" s="1">
        <f ca="1">IFERROR(__xludf.DUMMYFUNCTION("""COMPUTED_VALUE"""),0)</f>
        <v>0</v>
      </c>
      <c r="G21" s="1" t="str">
        <f ca="1">IFERROR(__xludf.DUMMYFUNCTION("""COMPUTED_VALUE"""),"ZZ999")</f>
        <v>ZZ999</v>
      </c>
      <c r="H21" s="1" t="str">
        <f ca="1">IFERROR(__xludf.DUMMYFUNCTION("""COMPUTED_VALUE"""),"ZZ999")</f>
        <v>ZZ999</v>
      </c>
      <c r="I21" s="1" t="str">
        <f ca="1">IFERROR(__xludf.DUMMYFUNCTION("""COMPUTED_VALUE"""),"喬治")</f>
        <v>喬治</v>
      </c>
    </row>
    <row r="22" spans="1:9" ht="15.75" customHeight="1" x14ac:dyDescent="0.4">
      <c r="A22" s="2">
        <f ca="1">IFERROR(__xludf.DUMMYFUNCTION("""COMPUTED_VALUE"""),45181.8259182986)</f>
        <v>45181.8259182986</v>
      </c>
      <c r="B22" s="1" t="str">
        <f ca="1">IFERROR(__xludf.DUMMYFUNCTION("""COMPUTED_VALUE"""),"送修")</f>
        <v>送修</v>
      </c>
      <c r="C22" s="1" t="str">
        <f ca="1">IFERROR(__xludf.DUMMYFUNCTION("""COMPUTED_VALUE"""),"ZZ999")</f>
        <v>ZZ999</v>
      </c>
      <c r="D22" s="1" t="str">
        <f ca="1">IFERROR(__xludf.DUMMYFUNCTION("""COMPUTED_VALUE"""),"All/BA")</f>
        <v>All/BA</v>
      </c>
      <c r="E22" s="1" t="str">
        <f ca="1">IFERROR(__xludf.DUMMYFUNCTION("""COMPUTED_VALUE"""),"p1/庫存")</f>
        <v>p1/庫存</v>
      </c>
      <c r="F22" s="1">
        <f ca="1">IFERROR(__xludf.DUMMYFUNCTION("""COMPUTED_VALUE"""),0)</f>
        <v>0</v>
      </c>
      <c r="G22" s="1" t="str">
        <f ca="1">IFERROR(__xludf.DUMMYFUNCTION("""COMPUTED_VALUE"""),"ZZ999")</f>
        <v>ZZ999</v>
      </c>
      <c r="H22" s="1" t="str">
        <f ca="1">IFERROR(__xludf.DUMMYFUNCTION("""COMPUTED_VALUE"""),"ZZ999")</f>
        <v>ZZ999</v>
      </c>
      <c r="I22" s="1" t="str">
        <f ca="1">IFERROR(__xludf.DUMMYFUNCTION("""COMPUTED_VALUE"""),"simon")</f>
        <v>simon</v>
      </c>
    </row>
    <row r="23" spans="1:9" ht="15.75" customHeight="1" x14ac:dyDescent="0.4">
      <c r="A23" s="2">
        <f ca="1">IFERROR(__xludf.DUMMYFUNCTION("""COMPUTED_VALUE"""),45181.8288326851)</f>
        <v>45181.828832685103</v>
      </c>
      <c r="B23" s="1" t="str">
        <f ca="1">IFERROR(__xludf.DUMMYFUNCTION("""COMPUTED_VALUE"""),"送修")</f>
        <v>送修</v>
      </c>
      <c r="C23" s="1" t="str">
        <f ca="1">IFERROR(__xludf.DUMMYFUNCTION("""COMPUTED_VALUE"""),"ZZ999")</f>
        <v>ZZ999</v>
      </c>
      <c r="D23" s="1" t="str">
        <f ca="1">IFERROR(__xludf.DUMMYFUNCTION("""COMPUTED_VALUE"""),"All/BA")</f>
        <v>All/BA</v>
      </c>
      <c r="E23" s="1" t="str">
        <f ca="1">IFERROR(__xludf.DUMMYFUNCTION("""COMPUTED_VALUE"""),"p2/庫存")</f>
        <v>p2/庫存</v>
      </c>
      <c r="F23" s="1">
        <f ca="1">IFERROR(__xludf.DUMMYFUNCTION("""COMPUTED_VALUE"""),0)</f>
        <v>0</v>
      </c>
      <c r="G23" s="1" t="str">
        <f ca="1">IFERROR(__xludf.DUMMYFUNCTION("""COMPUTED_VALUE"""),"ZZ999")</f>
        <v>ZZ999</v>
      </c>
      <c r="H23" s="1" t="str">
        <f ca="1">IFERROR(__xludf.DUMMYFUNCTION("""COMPUTED_VALUE"""),"ZZ999")</f>
        <v>ZZ999</v>
      </c>
      <c r="I23" s="1" t="str">
        <f ca="1">IFERROR(__xludf.DUMMYFUNCTION("""COMPUTED_VALUE"""),"simon")</f>
        <v>simon</v>
      </c>
    </row>
    <row r="24" spans="1:9" ht="15.75" customHeight="1" x14ac:dyDescent="0.4">
      <c r="A24" s="2">
        <f ca="1">IFERROR(__xludf.DUMMYFUNCTION("""COMPUTED_VALUE"""),45181.8307884143)</f>
        <v>45181.8307884143</v>
      </c>
      <c r="B24" s="1" t="str">
        <f ca="1">IFERROR(__xludf.DUMMYFUNCTION("""COMPUTED_VALUE"""),"送修")</f>
        <v>送修</v>
      </c>
      <c r="C24" s="1" t="str">
        <f ca="1">IFERROR(__xludf.DUMMYFUNCTION("""COMPUTED_VALUE"""),"ZZ999")</f>
        <v>ZZ999</v>
      </c>
      <c r="D24" s="1" t="str">
        <f ca="1">IFERROR(__xludf.DUMMYFUNCTION("""COMPUTED_VALUE"""),"All/BA")</f>
        <v>All/BA</v>
      </c>
      <c r="E24" s="1" t="str">
        <f ca="1">IFERROR(__xludf.DUMMYFUNCTION("""COMPUTED_VALUE"""),"p2/庫存")</f>
        <v>p2/庫存</v>
      </c>
      <c r="F24" s="1">
        <f ca="1">IFERROR(__xludf.DUMMYFUNCTION("""COMPUTED_VALUE"""),0)</f>
        <v>0</v>
      </c>
      <c r="G24" s="1" t="str">
        <f ca="1">IFERROR(__xludf.DUMMYFUNCTION("""COMPUTED_VALUE"""),"ZZ999")</f>
        <v>ZZ999</v>
      </c>
      <c r="H24" s="1" t="str">
        <f ca="1">IFERROR(__xludf.DUMMYFUNCTION("""COMPUTED_VALUE"""),"ZZ999")</f>
        <v>ZZ999</v>
      </c>
      <c r="I24" s="1" t="str">
        <f ca="1">IFERROR(__xludf.DUMMYFUNCTION("""COMPUTED_VALUE"""),"uri")</f>
        <v>uri</v>
      </c>
    </row>
    <row r="25" spans="1:9" ht="15.75" customHeight="1" x14ac:dyDescent="0.4">
      <c r="A25" s="2">
        <f ca="1">IFERROR(__xludf.DUMMYFUNCTION("""COMPUTED_VALUE"""),45181.8328766435)</f>
        <v>45181.832876643501</v>
      </c>
      <c r="B25" s="1" t="str">
        <f ca="1">IFERROR(__xludf.DUMMYFUNCTION("""COMPUTED_VALUE"""),"返修")</f>
        <v>返修</v>
      </c>
      <c r="C25" s="1" t="str">
        <f ca="1">IFERROR(__xludf.DUMMYFUNCTION("""COMPUTED_VALUE"""),"ZZ999")</f>
        <v>ZZ999</v>
      </c>
      <c r="D25" s="1" t="str">
        <f ca="1">IFERROR(__xludf.DUMMYFUNCTION("""COMPUTED_VALUE"""),"All/BA")</f>
        <v>All/BA</v>
      </c>
      <c r="E25" s="1" t="str">
        <f ca="1">IFERROR(__xludf.DUMMYFUNCTION("""COMPUTED_VALUE"""),"p2/庫存")</f>
        <v>p2/庫存</v>
      </c>
      <c r="F25" s="1">
        <f ca="1">IFERROR(__xludf.DUMMYFUNCTION("""COMPUTED_VALUE"""),0)</f>
        <v>0</v>
      </c>
      <c r="G25" s="1" t="str">
        <f ca="1">IFERROR(__xludf.DUMMYFUNCTION("""COMPUTED_VALUE"""),"ZZ999")</f>
        <v>ZZ999</v>
      </c>
      <c r="H25" s="1" t="str">
        <f ca="1">IFERROR(__xludf.DUMMYFUNCTION("""COMPUTED_VALUE"""),"ZZ999")</f>
        <v>ZZ999</v>
      </c>
      <c r="I25" s="1" t="str">
        <f ca="1">IFERROR(__xludf.DUMMYFUNCTION("""COMPUTED_VALUE"""),"uri")</f>
        <v>uri</v>
      </c>
    </row>
    <row r="26" spans="1:9" ht="15.75" customHeight="1" x14ac:dyDescent="0.4">
      <c r="A26" s="2">
        <f ca="1">IFERROR(__xludf.DUMMYFUNCTION("""COMPUTED_VALUE"""),45181.8332961342)</f>
        <v>45181.833296134202</v>
      </c>
      <c r="B26" s="1" t="str">
        <f ca="1">IFERROR(__xludf.DUMMYFUNCTION("""COMPUTED_VALUE"""),"領料")</f>
        <v>領料</v>
      </c>
      <c r="C26" s="1" t="str">
        <f ca="1">IFERROR(__xludf.DUMMYFUNCTION("""COMPUTED_VALUE"""),"ZZ999")</f>
        <v>ZZ999</v>
      </c>
      <c r="D26" s="1" t="str">
        <f ca="1">IFERROR(__xludf.DUMMYFUNCTION("""COMPUTED_VALUE"""),"All/BA")</f>
        <v>All/BA</v>
      </c>
      <c r="E26" s="1" t="str">
        <f ca="1">IFERROR(__xludf.DUMMYFUNCTION("""COMPUTED_VALUE"""),"p2/庫存")</f>
        <v>p2/庫存</v>
      </c>
      <c r="F26" s="1">
        <f ca="1">IFERROR(__xludf.DUMMYFUNCTION("""COMPUTED_VALUE"""),0)</f>
        <v>0</v>
      </c>
      <c r="G26" s="1" t="str">
        <f ca="1">IFERROR(__xludf.DUMMYFUNCTION("""COMPUTED_VALUE"""),"ZZ999")</f>
        <v>ZZ999</v>
      </c>
      <c r="H26" s="1" t="str">
        <f ca="1">IFERROR(__xludf.DUMMYFUNCTION("""COMPUTED_VALUE"""),"ZZ999")</f>
        <v>ZZ999</v>
      </c>
      <c r="I26" s="1" t="str">
        <f ca="1">IFERROR(__xludf.DUMMYFUNCTION("""COMPUTED_VALUE"""),"Barry")</f>
        <v>Barry</v>
      </c>
    </row>
    <row r="27" spans="1:9" ht="15.75" customHeight="1" x14ac:dyDescent="0.4">
      <c r="A27" s="2">
        <f ca="1">IFERROR(__xludf.DUMMYFUNCTION("""COMPUTED_VALUE"""),45181.8340049652)</f>
        <v>45181.834004965203</v>
      </c>
      <c r="B27" s="1" t="str">
        <f ca="1">IFERROR(__xludf.DUMMYFUNCTION("""COMPUTED_VALUE"""),"送修")</f>
        <v>送修</v>
      </c>
      <c r="C27" s="1" t="str">
        <f ca="1">IFERROR(__xludf.DUMMYFUNCTION("""COMPUTED_VALUE"""),"ZZ999")</f>
        <v>ZZ999</v>
      </c>
      <c r="D27" s="1" t="str">
        <f ca="1">IFERROR(__xludf.DUMMYFUNCTION("""COMPUTED_VALUE"""),"All/BA")</f>
        <v>All/BA</v>
      </c>
      <c r="E27" s="1" t="str">
        <f ca="1">IFERROR(__xludf.DUMMYFUNCTION("""COMPUTED_VALUE"""),"p1/庫存")</f>
        <v>p1/庫存</v>
      </c>
      <c r="F27" s="1">
        <f ca="1">IFERROR(__xludf.DUMMYFUNCTION("""COMPUTED_VALUE"""),0)</f>
        <v>0</v>
      </c>
      <c r="G27" s="1" t="str">
        <f ca="1">IFERROR(__xludf.DUMMYFUNCTION("""COMPUTED_VALUE"""),"ZZ999")</f>
        <v>ZZ999</v>
      </c>
      <c r="H27" s="1" t="str">
        <f ca="1">IFERROR(__xludf.DUMMYFUNCTION("""COMPUTED_VALUE"""),"ZZ999")</f>
        <v>ZZ999</v>
      </c>
      <c r="I27" s="1" t="str">
        <f ca="1">IFERROR(__xludf.DUMMYFUNCTION("""COMPUTED_VALUE"""),"uri")</f>
        <v>uri</v>
      </c>
    </row>
    <row r="28" spans="1:9" ht="12.7" x14ac:dyDescent="0.4">
      <c r="A28" s="2">
        <f ca="1">IFERROR(__xludf.DUMMYFUNCTION("""COMPUTED_VALUE"""),45182.4882258564)</f>
        <v>45182.488225856403</v>
      </c>
      <c r="B28" s="1" t="str">
        <f ca="1">IFERROR(__xludf.DUMMYFUNCTION("""COMPUTED_VALUE"""),"送修")</f>
        <v>送修</v>
      </c>
      <c r="C28" s="1" t="str">
        <f ca="1">IFERROR(__xludf.DUMMYFUNCTION("""COMPUTED_VALUE"""),"ZZ999")</f>
        <v>ZZ999</v>
      </c>
      <c r="D28" s="1" t="str">
        <f ca="1">IFERROR(__xludf.DUMMYFUNCTION("""COMPUTED_VALUE"""),"All/RL")</f>
        <v>All/RL</v>
      </c>
      <c r="E28" s="1" t="str">
        <f ca="1">IFERROR(__xludf.DUMMYFUNCTION("""COMPUTED_VALUE"""),"p2/庫存")</f>
        <v>p2/庫存</v>
      </c>
      <c r="F28" s="1">
        <f ca="1">IFERROR(__xludf.DUMMYFUNCTION("""COMPUTED_VALUE"""),0)</f>
        <v>0</v>
      </c>
      <c r="G28" s="1" t="str">
        <f ca="1">IFERROR(__xludf.DUMMYFUNCTION("""COMPUTED_VALUE"""),"ZZ999")</f>
        <v>ZZ999</v>
      </c>
      <c r="H28" s="1" t="str">
        <f ca="1">IFERROR(__xludf.DUMMYFUNCTION("""COMPUTED_VALUE"""),"ZZ999")</f>
        <v>ZZ999</v>
      </c>
      <c r="I28" s="1" t="str">
        <f ca="1">IFERROR(__xludf.DUMMYFUNCTION("""COMPUTED_VALUE"""),"Feng")</f>
        <v>Feng</v>
      </c>
    </row>
    <row r="29" spans="1:9" ht="12.7" x14ac:dyDescent="0.4">
      <c r="A29" s="2">
        <f ca="1">IFERROR(__xludf.DUMMYFUNCTION("""COMPUTED_VALUE"""),45182.4939000462)</f>
        <v>45182.493900046204</v>
      </c>
      <c r="B29" s="1" t="str">
        <f ca="1">IFERROR(__xludf.DUMMYFUNCTION("""COMPUTED_VALUE"""),"送修")</f>
        <v>送修</v>
      </c>
      <c r="C29" s="1" t="str">
        <f ca="1">IFERROR(__xludf.DUMMYFUNCTION("""COMPUTED_VALUE"""),"ZZ999")</f>
        <v>ZZ999</v>
      </c>
      <c r="D29" s="1" t="str">
        <f ca="1">IFERROR(__xludf.DUMMYFUNCTION("""COMPUTED_VALUE"""),"All/RL")</f>
        <v>All/RL</v>
      </c>
      <c r="E29" s="1" t="str">
        <f ca="1">IFERROR(__xludf.DUMMYFUNCTION("""COMPUTED_VALUE"""),"p2/庫存")</f>
        <v>p2/庫存</v>
      </c>
      <c r="F29" s="1">
        <f ca="1">IFERROR(__xludf.DUMMYFUNCTION("""COMPUTED_VALUE"""),0)</f>
        <v>0</v>
      </c>
      <c r="G29" s="1" t="str">
        <f ca="1">IFERROR(__xludf.DUMMYFUNCTION("""COMPUTED_VALUE"""),"ZZ999")</f>
        <v>ZZ999</v>
      </c>
      <c r="H29" s="1" t="str">
        <f ca="1">IFERROR(__xludf.DUMMYFUNCTION("""COMPUTED_VALUE"""),"ZZ999")</f>
        <v>ZZ999</v>
      </c>
      <c r="I29" s="1" t="str">
        <f ca="1">IFERROR(__xludf.DUMMYFUNCTION("""COMPUTED_VALUE"""),"Feng")</f>
        <v>Feng</v>
      </c>
    </row>
    <row r="30" spans="1:9" ht="12.7" x14ac:dyDescent="0.4">
      <c r="A30" s="2">
        <f ca="1">IFERROR(__xludf.DUMMYFUNCTION("""COMPUTED_VALUE"""),45182.4942860995)</f>
        <v>45182.4942860995</v>
      </c>
      <c r="B30" s="1" t="str">
        <f ca="1">IFERROR(__xludf.DUMMYFUNCTION("""COMPUTED_VALUE"""),"返修")</f>
        <v>返修</v>
      </c>
      <c r="C30" s="1" t="str">
        <f ca="1">IFERROR(__xludf.DUMMYFUNCTION("""COMPUTED_VALUE"""),"ZZ999")</f>
        <v>ZZ999</v>
      </c>
      <c r="D30" s="1" t="str">
        <f ca="1">IFERROR(__xludf.DUMMYFUNCTION("""COMPUTED_VALUE"""),"All/RL")</f>
        <v>All/RL</v>
      </c>
      <c r="E30" s="1" t="str">
        <f ca="1">IFERROR(__xludf.DUMMYFUNCTION("""COMPUTED_VALUE"""),"p2/庫存")</f>
        <v>p2/庫存</v>
      </c>
      <c r="F30" s="1">
        <f ca="1">IFERROR(__xludf.DUMMYFUNCTION("""COMPUTED_VALUE"""),0)</f>
        <v>0</v>
      </c>
      <c r="G30" s="1" t="str">
        <f ca="1">IFERROR(__xludf.DUMMYFUNCTION("""COMPUTED_VALUE"""),"ZZ999")</f>
        <v>ZZ999</v>
      </c>
      <c r="H30" s="1" t="str">
        <f ca="1">IFERROR(__xludf.DUMMYFUNCTION("""COMPUTED_VALUE"""),"ZZ999")</f>
        <v>ZZ999</v>
      </c>
      <c r="I30" s="1" t="str">
        <f ca="1">IFERROR(__xludf.DUMMYFUNCTION("""COMPUTED_VALUE"""),"Feng")</f>
        <v>Feng</v>
      </c>
    </row>
    <row r="31" spans="1:9" ht="12.7" x14ac:dyDescent="0.4">
      <c r="A31" s="2">
        <f ca="1">IFERROR(__xludf.DUMMYFUNCTION("""COMPUTED_VALUE"""),45182.4946724074)</f>
        <v>45182.494672407403</v>
      </c>
      <c r="B31" s="1" t="str">
        <f ca="1">IFERROR(__xludf.DUMMYFUNCTION("""COMPUTED_VALUE"""),"領料")</f>
        <v>領料</v>
      </c>
      <c r="C31" s="1" t="str">
        <f ca="1">IFERROR(__xludf.DUMMYFUNCTION("""COMPUTED_VALUE"""),"ZZ999")</f>
        <v>ZZ999</v>
      </c>
      <c r="D31" s="1" t="str">
        <f ca="1">IFERROR(__xludf.DUMMYFUNCTION("""COMPUTED_VALUE"""),"All/RL")</f>
        <v>All/RL</v>
      </c>
      <c r="E31" s="1" t="str">
        <f ca="1">IFERROR(__xludf.DUMMYFUNCTION("""COMPUTED_VALUE"""),"p2/庫存")</f>
        <v>p2/庫存</v>
      </c>
      <c r="F31" s="1">
        <f ca="1">IFERROR(__xludf.DUMMYFUNCTION("""COMPUTED_VALUE"""),0)</f>
        <v>0</v>
      </c>
      <c r="G31" s="1" t="str">
        <f ca="1">IFERROR(__xludf.DUMMYFUNCTION("""COMPUTED_VALUE"""),"ZZ999")</f>
        <v>ZZ999</v>
      </c>
      <c r="H31" s="1" t="str">
        <f ca="1">IFERROR(__xludf.DUMMYFUNCTION("""COMPUTED_VALUE"""),"ZZ999")</f>
        <v>ZZ999</v>
      </c>
      <c r="I31" s="1" t="str">
        <f ca="1">IFERROR(__xludf.DUMMYFUNCTION("""COMPUTED_VALUE"""),"Feng")</f>
        <v>Feng</v>
      </c>
    </row>
    <row r="32" spans="1:9" ht="12.7" x14ac:dyDescent="0.4">
      <c r="A32" s="2">
        <f ca="1">IFERROR(__xludf.DUMMYFUNCTION("""COMPUTED_VALUE"""),45182.494998287)</f>
        <v>45182.494998287002</v>
      </c>
      <c r="B32" s="1" t="str">
        <f ca="1">IFERROR(__xludf.DUMMYFUNCTION("""COMPUTED_VALUE"""),"進貨")</f>
        <v>進貨</v>
      </c>
      <c r="C32" s="1" t="str">
        <f ca="1">IFERROR(__xludf.DUMMYFUNCTION("""COMPUTED_VALUE"""),"ZZ999")</f>
        <v>ZZ999</v>
      </c>
      <c r="D32" s="1" t="str">
        <f ca="1">IFERROR(__xludf.DUMMYFUNCTION("""COMPUTED_VALUE"""),"All/RL")</f>
        <v>All/RL</v>
      </c>
      <c r="E32" s="1" t="str">
        <f ca="1">IFERROR(__xludf.DUMMYFUNCTION("""COMPUTED_VALUE"""),"p2/庫存")</f>
        <v>p2/庫存</v>
      </c>
      <c r="F32" s="1">
        <f ca="1">IFERROR(__xludf.DUMMYFUNCTION("""COMPUTED_VALUE"""),0)</f>
        <v>0</v>
      </c>
      <c r="G32" s="1" t="str">
        <f ca="1">IFERROR(__xludf.DUMMYFUNCTION("""COMPUTED_VALUE"""),"ZZ999")</f>
        <v>ZZ999</v>
      </c>
      <c r="H32" s="1" t="str">
        <f ca="1">IFERROR(__xludf.DUMMYFUNCTION("""COMPUTED_VALUE"""),"ZZ999")</f>
        <v>ZZ999</v>
      </c>
      <c r="I32" s="1" t="str">
        <f ca="1">IFERROR(__xludf.DUMMYFUNCTION("""COMPUTED_VALUE"""),"Feng")</f>
        <v>Feng</v>
      </c>
    </row>
    <row r="33" spans="1:9" ht="12.7" x14ac:dyDescent="0.4">
      <c r="A33" s="2">
        <f ca="1">IFERROR(__xludf.DUMMYFUNCTION("""COMPUTED_VALUE"""),45182.4954139814)</f>
        <v>45182.4954139814</v>
      </c>
      <c r="B33" s="1" t="str">
        <f ca="1">IFERROR(__xludf.DUMMYFUNCTION("""COMPUTED_VALUE"""),"庫存調整")</f>
        <v>庫存調整</v>
      </c>
      <c r="C33" s="1" t="str">
        <f ca="1">IFERROR(__xludf.DUMMYFUNCTION("""COMPUTED_VALUE"""),"ZZ999")</f>
        <v>ZZ999</v>
      </c>
      <c r="D33" s="1" t="str">
        <f ca="1">IFERROR(__xludf.DUMMYFUNCTION("""COMPUTED_VALUE"""),"All/RL")</f>
        <v>All/RL</v>
      </c>
      <c r="E33" s="1" t="str">
        <f ca="1">IFERROR(__xludf.DUMMYFUNCTION("""COMPUTED_VALUE"""),"p2/庫存")</f>
        <v>p2/庫存</v>
      </c>
      <c r="F33" s="1">
        <f ca="1">IFERROR(__xludf.DUMMYFUNCTION("""COMPUTED_VALUE"""),0)</f>
        <v>0</v>
      </c>
      <c r="G33" s="1" t="str">
        <f ca="1">IFERROR(__xludf.DUMMYFUNCTION("""COMPUTED_VALUE"""),"ZZ999")</f>
        <v>ZZ999</v>
      </c>
      <c r="H33" s="1" t="str">
        <f ca="1">IFERROR(__xludf.DUMMYFUNCTION("""COMPUTED_VALUE"""),"ZZ999")</f>
        <v>ZZ999</v>
      </c>
      <c r="I33" s="1" t="str">
        <f ca="1">IFERROR(__xludf.DUMMYFUNCTION("""COMPUTED_VALUE"""),"Feng")</f>
        <v>Feng</v>
      </c>
    </row>
    <row r="34" spans="1:9" ht="12.7" x14ac:dyDescent="0.4">
      <c r="A34" s="2">
        <f ca="1">IFERROR(__xludf.DUMMYFUNCTION("""COMPUTED_VALUE"""),45182.5059612384)</f>
        <v>45182.505961238399</v>
      </c>
      <c r="B34" s="1" t="str">
        <f ca="1">IFERROR(__xludf.DUMMYFUNCTION("""COMPUTED_VALUE"""),"送修")</f>
        <v>送修</v>
      </c>
      <c r="C34" s="1" t="str">
        <f ca="1">IFERROR(__xludf.DUMMYFUNCTION("""COMPUTED_VALUE"""),"ZZ999")</f>
        <v>ZZ999</v>
      </c>
      <c r="D34" s="1" t="str">
        <f ca="1">IFERROR(__xludf.DUMMYFUNCTION("""COMPUTED_VALUE"""),"All/BA")</f>
        <v>All/BA</v>
      </c>
      <c r="E34" s="1" t="str">
        <f ca="1">IFERROR(__xludf.DUMMYFUNCTION("""COMPUTED_VALUE"""),"p1/庫存")</f>
        <v>p1/庫存</v>
      </c>
      <c r="F34" s="1">
        <f ca="1">IFERROR(__xludf.DUMMYFUNCTION("""COMPUTED_VALUE"""),0)</f>
        <v>0</v>
      </c>
      <c r="G34" s="1" t="str">
        <f ca="1">IFERROR(__xludf.DUMMYFUNCTION("""COMPUTED_VALUE"""),"ZZ999")</f>
        <v>ZZ999</v>
      </c>
      <c r="H34" s="1" t="str">
        <f ca="1">IFERROR(__xludf.DUMMYFUNCTION("""COMPUTED_VALUE"""),"ZZ999")</f>
        <v>ZZ999</v>
      </c>
      <c r="I34" s="1" t="str">
        <f ca="1">IFERROR(__xludf.DUMMYFUNCTION("""COMPUTED_VALUE"""),"Feng")</f>
        <v>Feng</v>
      </c>
    </row>
    <row r="35" spans="1:9" ht="12.7" x14ac:dyDescent="0.4">
      <c r="A35" s="2">
        <f ca="1">IFERROR(__xludf.DUMMYFUNCTION("""COMPUTED_VALUE"""),45182.5331496875)</f>
        <v>45182.533149687501</v>
      </c>
      <c r="B35" s="1" t="str">
        <f ca="1">IFERROR(__xludf.DUMMYFUNCTION("""COMPUTED_VALUE"""),"返修")</f>
        <v>返修</v>
      </c>
      <c r="C35" s="1" t="str">
        <f ca="1">IFERROR(__xludf.DUMMYFUNCTION("""COMPUTED_VALUE"""),"ZZ999")</f>
        <v>ZZ999</v>
      </c>
      <c r="D35" s="1" t="str">
        <f ca="1">IFERROR(__xludf.DUMMYFUNCTION("""COMPUTED_VALUE"""),"All/BA")</f>
        <v>All/BA</v>
      </c>
      <c r="E35" s="1" t="str">
        <f ca="1">IFERROR(__xludf.DUMMYFUNCTION("""COMPUTED_VALUE"""),"p1/庫存")</f>
        <v>p1/庫存</v>
      </c>
      <c r="F35" s="1">
        <f ca="1">IFERROR(__xludf.DUMMYFUNCTION("""COMPUTED_VALUE"""),0)</f>
        <v>0</v>
      </c>
      <c r="G35" s="1" t="str">
        <f ca="1">IFERROR(__xludf.DUMMYFUNCTION("""COMPUTED_VALUE"""),"ZZ999")</f>
        <v>ZZ999</v>
      </c>
      <c r="H35" s="1" t="str">
        <f ca="1">IFERROR(__xludf.DUMMYFUNCTION("""COMPUTED_VALUE"""),"ZZ999")</f>
        <v>ZZ999</v>
      </c>
      <c r="I35" s="1" t="str">
        <f ca="1">IFERROR(__xludf.DUMMYFUNCTION("""COMPUTED_VALUE"""),"Feng")</f>
        <v>Feng</v>
      </c>
    </row>
    <row r="36" spans="1:9" ht="12.7" x14ac:dyDescent="0.4">
      <c r="A36" s="2">
        <f ca="1">IFERROR(__xludf.DUMMYFUNCTION("""COMPUTED_VALUE"""),45182.535618993)</f>
        <v>45182.535618993003</v>
      </c>
      <c r="B36" s="1" t="str">
        <f ca="1">IFERROR(__xludf.DUMMYFUNCTION("""COMPUTED_VALUE"""),"領料")</f>
        <v>領料</v>
      </c>
      <c r="C36" s="1" t="str">
        <f ca="1">IFERROR(__xludf.DUMMYFUNCTION("""COMPUTED_VALUE"""),"ZZ999")</f>
        <v>ZZ999</v>
      </c>
      <c r="D36" s="1" t="str">
        <f ca="1">IFERROR(__xludf.DUMMYFUNCTION("""COMPUTED_VALUE"""),"All/BA")</f>
        <v>All/BA</v>
      </c>
      <c r="E36" s="1" t="str">
        <f ca="1">IFERROR(__xludf.DUMMYFUNCTION("""COMPUTED_VALUE"""),"p1/庫存")</f>
        <v>p1/庫存</v>
      </c>
      <c r="F36" s="1">
        <f ca="1">IFERROR(__xludf.DUMMYFUNCTION("""COMPUTED_VALUE"""),0)</f>
        <v>0</v>
      </c>
      <c r="G36" s="1" t="str">
        <f ca="1">IFERROR(__xludf.DUMMYFUNCTION("""COMPUTED_VALUE"""),"ZZ999")</f>
        <v>ZZ999</v>
      </c>
      <c r="H36" s="1" t="str">
        <f ca="1">IFERROR(__xludf.DUMMYFUNCTION("""COMPUTED_VALUE"""),"ZZ999")</f>
        <v>ZZ999</v>
      </c>
      <c r="I36" s="1" t="str">
        <f ca="1">IFERROR(__xludf.DUMMYFUNCTION("""COMPUTED_VALUE"""),"Feng")</f>
        <v>Feng</v>
      </c>
    </row>
    <row r="37" spans="1:9" ht="12.7" x14ac:dyDescent="0.4">
      <c r="A37" s="2">
        <f ca="1">IFERROR(__xludf.DUMMYFUNCTION("""COMPUTED_VALUE"""),45182.8631322338)</f>
        <v>45182.863132233797</v>
      </c>
      <c r="B37" s="1" t="str">
        <f ca="1">IFERROR(__xludf.DUMMYFUNCTION("""COMPUTED_VALUE"""),"送修")</f>
        <v>送修</v>
      </c>
      <c r="C37" s="1" t="str">
        <f ca="1">IFERROR(__xludf.DUMMYFUNCTION("""COMPUTED_VALUE"""),"ZZ999")</f>
        <v>ZZ999</v>
      </c>
      <c r="D37" s="1" t="str">
        <f ca="1">IFERROR(__xludf.DUMMYFUNCTION("""COMPUTED_VALUE"""),"All/BA")</f>
        <v>All/BA</v>
      </c>
      <c r="E37" s="1" t="str">
        <f ca="1">IFERROR(__xludf.DUMMYFUNCTION("""COMPUTED_VALUE"""),"p1/庫存")</f>
        <v>p1/庫存</v>
      </c>
      <c r="F37" s="1">
        <f ca="1">IFERROR(__xludf.DUMMYFUNCTION("""COMPUTED_VALUE"""),0)</f>
        <v>0</v>
      </c>
      <c r="G37" s="1" t="str">
        <f ca="1">IFERROR(__xludf.DUMMYFUNCTION("""COMPUTED_VALUE"""),"ZZ999")</f>
        <v>ZZ999</v>
      </c>
      <c r="H37" s="1" t="str">
        <f ca="1">IFERROR(__xludf.DUMMYFUNCTION("""COMPUTED_VALUE"""),"ZZ999")</f>
        <v>ZZ999</v>
      </c>
      <c r="I37" s="1" t="str">
        <f ca="1">IFERROR(__xludf.DUMMYFUNCTION("""COMPUTED_VALUE"""),"Simon")</f>
        <v>Simon</v>
      </c>
    </row>
    <row r="38" spans="1:9" ht="12.7" x14ac:dyDescent="0.4">
      <c r="A38" s="2">
        <f ca="1">IFERROR(__xludf.DUMMYFUNCTION("""COMPUTED_VALUE"""),45182.8648205787)</f>
        <v>45182.864820578703</v>
      </c>
      <c r="B38" s="1" t="str">
        <f ca="1">IFERROR(__xludf.DUMMYFUNCTION("""COMPUTED_VALUE"""),"返修")</f>
        <v>返修</v>
      </c>
      <c r="C38" s="1" t="str">
        <f ca="1">IFERROR(__xludf.DUMMYFUNCTION("""COMPUTED_VALUE"""),"ZZ999")</f>
        <v>ZZ999</v>
      </c>
      <c r="D38" s="1" t="str">
        <f ca="1">IFERROR(__xludf.DUMMYFUNCTION("""COMPUTED_VALUE"""),"All/BA")</f>
        <v>All/BA</v>
      </c>
      <c r="E38" s="1" t="str">
        <f ca="1">IFERROR(__xludf.DUMMYFUNCTION("""COMPUTED_VALUE"""),"p1/庫存")</f>
        <v>p1/庫存</v>
      </c>
      <c r="F38" s="1">
        <f ca="1">IFERROR(__xludf.DUMMYFUNCTION("""COMPUTED_VALUE"""),0)</f>
        <v>0</v>
      </c>
      <c r="G38" s="1" t="str">
        <f ca="1">IFERROR(__xludf.DUMMYFUNCTION("""COMPUTED_VALUE"""),"ZZ999")</f>
        <v>ZZ999</v>
      </c>
      <c r="H38" s="1" t="str">
        <f ca="1">IFERROR(__xludf.DUMMYFUNCTION("""COMPUTED_VALUE"""),"ZZ999")</f>
        <v>ZZ999</v>
      </c>
      <c r="I38" s="1" t="str">
        <f ca="1">IFERROR(__xludf.DUMMYFUNCTION("""COMPUTED_VALUE"""),"Barry")</f>
        <v>Barry</v>
      </c>
    </row>
    <row r="39" spans="1:9" ht="12.7" x14ac:dyDescent="0.4">
      <c r="A39" s="2">
        <f ca="1">IFERROR(__xludf.DUMMYFUNCTION("""COMPUTED_VALUE"""),45183.3556920486)</f>
        <v>45183.355692048601</v>
      </c>
      <c r="B39" s="1" t="str">
        <f ca="1">IFERROR(__xludf.DUMMYFUNCTION("""COMPUTED_VALUE"""),"領料")</f>
        <v>領料</v>
      </c>
      <c r="C39" s="1" t="str">
        <f ca="1">IFERROR(__xludf.DUMMYFUNCTION("""COMPUTED_VALUE"""),"ZZ999")</f>
        <v>ZZ999</v>
      </c>
      <c r="D39" s="1" t="str">
        <f ca="1">IFERROR(__xludf.DUMMYFUNCTION("""COMPUTED_VALUE"""),"All/BA")</f>
        <v>All/BA</v>
      </c>
      <c r="E39" s="1" t="str">
        <f ca="1">IFERROR(__xludf.DUMMYFUNCTION("""COMPUTED_VALUE"""),"p2/庫存")</f>
        <v>p2/庫存</v>
      </c>
      <c r="F39" s="1">
        <f ca="1">IFERROR(__xludf.DUMMYFUNCTION("""COMPUTED_VALUE"""),0)</f>
        <v>0</v>
      </c>
      <c r="G39" s="1" t="str">
        <f ca="1">IFERROR(__xludf.DUMMYFUNCTION("""COMPUTED_VALUE"""),"ZZ999")</f>
        <v>ZZ999</v>
      </c>
      <c r="H39" s="1" t="str">
        <f ca="1">IFERROR(__xludf.DUMMYFUNCTION("""COMPUTED_VALUE"""),"ZZ999")</f>
        <v>ZZ999</v>
      </c>
      <c r="I39" s="1" t="str">
        <f ca="1">IFERROR(__xludf.DUMMYFUNCTION("""COMPUTED_VALUE"""),"Simon")</f>
        <v>Simon</v>
      </c>
    </row>
    <row r="40" spans="1:9" ht="12.7" x14ac:dyDescent="0.4">
      <c r="A40" s="2">
        <f ca="1">IFERROR(__xludf.DUMMYFUNCTION("""COMPUTED_VALUE"""),44818.7296643518)</f>
        <v>44818.729664351798</v>
      </c>
      <c r="B40" s="1" t="str">
        <f ca="1">IFERROR(__xludf.DUMMYFUNCTION("""COMPUTED_VALUE"""),"料件上線時間")</f>
        <v>料件上線時間</v>
      </c>
      <c r="C40" s="1" t="str">
        <f ca="1">IFERROR(__xludf.DUMMYFUNCTION("""COMPUTED_VALUE"""),"ZZ999")</f>
        <v>ZZ999</v>
      </c>
      <c r="D40" s="1" t="str">
        <f ca="1">IFERROR(__xludf.DUMMYFUNCTION("""COMPUTED_VALUE"""),"All/BA")</f>
        <v>All/BA</v>
      </c>
      <c r="E40" s="1" t="str">
        <f ca="1">IFERROR(__xludf.DUMMYFUNCTION("""COMPUTED_VALUE"""),"p1/庫存")</f>
        <v>p1/庫存</v>
      </c>
      <c r="F40" s="1">
        <f ca="1">IFERROR(__xludf.DUMMYFUNCTION("""COMPUTED_VALUE"""),0)</f>
        <v>0</v>
      </c>
      <c r="G40" s="1" t="str">
        <f ca="1">IFERROR(__xludf.DUMMYFUNCTION("""COMPUTED_VALUE"""),"K1")</f>
        <v>K1</v>
      </c>
      <c r="H40" s="1" t="str">
        <f ca="1">IFERROR(__xludf.DUMMYFUNCTION("""COMPUTED_VALUE"""),"ZZ999")</f>
        <v>ZZ999</v>
      </c>
      <c r="I40" s="1" t="str">
        <f ca="1">IFERROR(__xludf.DUMMYFUNCTION("""COMPUTED_VALUE"""),"Feng")</f>
        <v>Feng</v>
      </c>
    </row>
    <row r="41" spans="1:9" ht="12.7" x14ac:dyDescent="0.4">
      <c r="A41" s="2">
        <f ca="1">IFERROR(__xludf.DUMMYFUNCTION("""COMPUTED_VALUE"""),44940.7355208333)</f>
        <v>44940.735520833303</v>
      </c>
      <c r="B41" s="1" t="str">
        <f ca="1">IFERROR(__xludf.DUMMYFUNCTION("""COMPUTED_VALUE"""),"料件上線時間")</f>
        <v>料件上線時間</v>
      </c>
      <c r="C41" s="1" t="str">
        <f ca="1">IFERROR(__xludf.DUMMYFUNCTION("""COMPUTED_VALUE"""),"ZZ999")</f>
        <v>ZZ999</v>
      </c>
      <c r="D41" s="1" t="str">
        <f ca="1">IFERROR(__xludf.DUMMYFUNCTION("""COMPUTED_VALUE"""),"All/BA")</f>
        <v>All/BA</v>
      </c>
      <c r="E41" s="1" t="str">
        <f ca="1">IFERROR(__xludf.DUMMYFUNCTION("""COMPUTED_VALUE"""),"p1/庫存")</f>
        <v>p1/庫存</v>
      </c>
      <c r="F41" s="1">
        <f ca="1">IFERROR(__xludf.DUMMYFUNCTION("""COMPUTED_VALUE"""),0)</f>
        <v>0</v>
      </c>
      <c r="G41" s="1" t="str">
        <f ca="1">IFERROR(__xludf.DUMMYFUNCTION("""COMPUTED_VALUE"""),"K1")</f>
        <v>K1</v>
      </c>
      <c r="H41" s="1" t="str">
        <f ca="1">IFERROR(__xludf.DUMMYFUNCTION("""COMPUTED_VALUE"""),"ZZ999")</f>
        <v>ZZ999</v>
      </c>
      <c r="I41" s="1" t="str">
        <f ca="1">IFERROR(__xludf.DUMMYFUNCTION("""COMPUTED_VALUE"""),"Feng")</f>
        <v>Feng</v>
      </c>
    </row>
    <row r="42" spans="1:9" ht="12.7" x14ac:dyDescent="0.4">
      <c r="A42" s="2">
        <f ca="1">IFERROR(__xludf.DUMMYFUNCTION("""COMPUTED_VALUE"""),45183.7384880671)</f>
        <v>45183.738488067102</v>
      </c>
      <c r="B42" s="1" t="str">
        <f ca="1">IFERROR(__xludf.DUMMYFUNCTION("""COMPUTED_VALUE"""),"料件上線時間")</f>
        <v>料件上線時間</v>
      </c>
      <c r="C42" s="1" t="str">
        <f ca="1">IFERROR(__xludf.DUMMYFUNCTION("""COMPUTED_VALUE"""),"ZZ999")</f>
        <v>ZZ999</v>
      </c>
      <c r="D42" s="1" t="str">
        <f ca="1">IFERROR(__xludf.DUMMYFUNCTION("""COMPUTED_VALUE"""),"All/BA")</f>
        <v>All/BA</v>
      </c>
      <c r="E42" s="1" t="str">
        <f ca="1">IFERROR(__xludf.DUMMYFUNCTION("""COMPUTED_VALUE"""),"p1/庫存")</f>
        <v>p1/庫存</v>
      </c>
      <c r="F42" s="1">
        <f ca="1">IFERROR(__xludf.DUMMYFUNCTION("""COMPUTED_VALUE"""),0)</f>
        <v>0</v>
      </c>
      <c r="G42" s="1" t="str">
        <f ca="1">IFERROR(__xludf.DUMMYFUNCTION("""COMPUTED_VALUE"""),"ZZ999")</f>
        <v>ZZ999</v>
      </c>
      <c r="H42" s="1" t="str">
        <f ca="1">IFERROR(__xludf.DUMMYFUNCTION("""COMPUTED_VALUE"""),"ZZ999")</f>
        <v>ZZ999</v>
      </c>
      <c r="I42" s="1" t="str">
        <f ca="1">IFERROR(__xludf.DUMMYFUNCTION("""COMPUTED_VALUE"""),"Feng")</f>
        <v>Feng</v>
      </c>
    </row>
    <row r="43" spans="1:9" ht="12.7" x14ac:dyDescent="0.4">
      <c r="A43" s="2">
        <f ca="1">IFERROR(__xludf.DUMMYFUNCTION("""COMPUTED_VALUE"""),45184.5017403356)</f>
        <v>45184.501740335603</v>
      </c>
      <c r="B43" s="1" t="str">
        <f ca="1">IFERROR(__xludf.DUMMYFUNCTION("""COMPUTED_VALUE"""),"送修")</f>
        <v>送修</v>
      </c>
      <c r="C43" s="1" t="str">
        <f ca="1">IFERROR(__xludf.DUMMYFUNCTION("""COMPUTED_VALUE"""),"ZZ999")</f>
        <v>ZZ999</v>
      </c>
      <c r="D43" s="1" t="str">
        <f ca="1">IFERROR(__xludf.DUMMYFUNCTION("""COMPUTED_VALUE"""),"All/BA")</f>
        <v>All/BA</v>
      </c>
      <c r="E43" s="1" t="str">
        <f ca="1">IFERROR(__xludf.DUMMYFUNCTION("""COMPUTED_VALUE"""),"p1/庫存")</f>
        <v>p1/庫存</v>
      </c>
      <c r="F43" s="1">
        <f ca="1">IFERROR(__xludf.DUMMYFUNCTION("""COMPUTED_VALUE"""),0)</f>
        <v>0</v>
      </c>
      <c r="G43" s="1" t="str">
        <f ca="1">IFERROR(__xludf.DUMMYFUNCTION("""COMPUTED_VALUE"""),"K1")</f>
        <v>K1</v>
      </c>
      <c r="H43" s="1" t="str">
        <f ca="1">IFERROR(__xludf.DUMMYFUNCTION("""COMPUTED_VALUE"""),"ZZ999")</f>
        <v>ZZ999</v>
      </c>
      <c r="I43" s="1" t="str">
        <f ca="1">IFERROR(__xludf.DUMMYFUNCTION("""COMPUTED_VALUE"""),"Simon")</f>
        <v>Simon</v>
      </c>
    </row>
    <row r="44" spans="1:9" ht="12.7" x14ac:dyDescent="0.4">
      <c r="A44" s="2">
        <f ca="1">IFERROR(__xludf.DUMMYFUNCTION("""COMPUTED_VALUE"""),44910.5025810185)</f>
        <v>44910.502581018503</v>
      </c>
      <c r="B44" s="1" t="str">
        <f ca="1">IFERROR(__xludf.DUMMYFUNCTION("""COMPUTED_VALUE"""),"送修")</f>
        <v>送修</v>
      </c>
      <c r="C44" s="1" t="str">
        <f ca="1">IFERROR(__xludf.DUMMYFUNCTION("""COMPUTED_VALUE"""),"ZZ999")</f>
        <v>ZZ999</v>
      </c>
      <c r="D44" s="1" t="str">
        <f ca="1">IFERROR(__xludf.DUMMYFUNCTION("""COMPUTED_VALUE"""),"All/BA")</f>
        <v>All/BA</v>
      </c>
      <c r="E44" s="1" t="str">
        <f ca="1">IFERROR(__xludf.DUMMYFUNCTION("""COMPUTED_VALUE"""),"p1/庫存")</f>
        <v>p1/庫存</v>
      </c>
      <c r="F44" s="1">
        <f ca="1">IFERROR(__xludf.DUMMYFUNCTION("""COMPUTED_VALUE"""),0)</f>
        <v>0</v>
      </c>
      <c r="G44" s="1" t="str">
        <f ca="1">IFERROR(__xludf.DUMMYFUNCTION("""COMPUTED_VALUE"""),"K1")</f>
        <v>K1</v>
      </c>
      <c r="H44" s="1" t="str">
        <f ca="1">IFERROR(__xludf.DUMMYFUNCTION("""COMPUTED_VALUE"""),"ZZ999")</f>
        <v>ZZ999</v>
      </c>
      <c r="I44" s="1" t="str">
        <f ca="1">IFERROR(__xludf.DUMMYFUNCTION("""COMPUTED_VALUE"""),"Chiao Yu")</f>
        <v>Chiao Yu</v>
      </c>
    </row>
    <row r="45" spans="1:9" ht="12.7" x14ac:dyDescent="0.4">
      <c r="A45" s="2">
        <f ca="1">IFERROR(__xludf.DUMMYFUNCTION("""COMPUTED_VALUE"""),45184.5036110879)</f>
        <v>45184.503611087901</v>
      </c>
      <c r="B45" s="1" t="str">
        <f ca="1">IFERROR(__xludf.DUMMYFUNCTION("""COMPUTED_VALUE"""),"送修")</f>
        <v>送修</v>
      </c>
      <c r="C45" s="1" t="str">
        <f ca="1">IFERROR(__xludf.DUMMYFUNCTION("""COMPUTED_VALUE"""),"ZZ999")</f>
        <v>ZZ999</v>
      </c>
      <c r="D45" s="1" t="str">
        <f ca="1">IFERROR(__xludf.DUMMYFUNCTION("""COMPUTED_VALUE"""),"All/BA")</f>
        <v>All/BA</v>
      </c>
      <c r="E45" s="1" t="str">
        <f ca="1">IFERROR(__xludf.DUMMYFUNCTION("""COMPUTED_VALUE"""),"p1/庫存")</f>
        <v>p1/庫存</v>
      </c>
      <c r="F45" s="1">
        <f ca="1">IFERROR(__xludf.DUMMYFUNCTION("""COMPUTED_VALUE"""),0)</f>
        <v>0</v>
      </c>
      <c r="G45" s="1" t="str">
        <f ca="1">IFERROR(__xludf.DUMMYFUNCTION("""COMPUTED_VALUE"""),"ZZ999")</f>
        <v>ZZ999</v>
      </c>
      <c r="H45" s="1" t="str">
        <f ca="1">IFERROR(__xludf.DUMMYFUNCTION("""COMPUTED_VALUE"""),"ZZ999")</f>
        <v>ZZ999</v>
      </c>
      <c r="I45" s="1" t="str">
        <f ca="1">IFERROR(__xludf.DUMMYFUNCTION("""COMPUTED_VALUE"""),"Barry")</f>
        <v>Barry</v>
      </c>
    </row>
    <row r="46" spans="1:9" ht="12.7" x14ac:dyDescent="0.4">
      <c r="A46" s="2">
        <f ca="1">IFERROR(__xludf.DUMMYFUNCTION("""COMPUTED_VALUE"""),45184.5045570949)</f>
        <v>45184.504557094901</v>
      </c>
      <c r="B46" s="1" t="str">
        <f ca="1">IFERROR(__xludf.DUMMYFUNCTION("""COMPUTED_VALUE"""),"送修")</f>
        <v>送修</v>
      </c>
      <c r="C46" s="1" t="str">
        <f ca="1">IFERROR(__xludf.DUMMYFUNCTION("""COMPUTED_VALUE"""),"ZZ999")</f>
        <v>ZZ999</v>
      </c>
      <c r="D46" s="1" t="str">
        <f ca="1">IFERROR(__xludf.DUMMYFUNCTION("""COMPUTED_VALUE"""),"All/BA")</f>
        <v>All/BA</v>
      </c>
      <c r="E46" s="1" t="str">
        <f ca="1">IFERROR(__xludf.DUMMYFUNCTION("""COMPUTED_VALUE"""),"p1/庫存")</f>
        <v>p1/庫存</v>
      </c>
      <c r="F46" s="1">
        <f ca="1">IFERROR(__xludf.DUMMYFUNCTION("""COMPUTED_VALUE"""),0)</f>
        <v>0</v>
      </c>
      <c r="G46" s="1" t="str">
        <f ca="1">IFERROR(__xludf.DUMMYFUNCTION("""COMPUTED_VALUE"""),"ZZ999")</f>
        <v>ZZ999</v>
      </c>
      <c r="H46" s="1" t="str">
        <f ca="1">IFERROR(__xludf.DUMMYFUNCTION("""COMPUTED_VALUE"""),"ZZ999")</f>
        <v>ZZ999</v>
      </c>
      <c r="I46" s="1" t="str">
        <f ca="1">IFERROR(__xludf.DUMMYFUNCTION("""COMPUTED_VALUE"""),"Barry")</f>
        <v>Barry</v>
      </c>
    </row>
    <row r="47" spans="1:9" ht="12.7" x14ac:dyDescent="0.4">
      <c r="A47" s="2">
        <f ca="1">IFERROR(__xludf.DUMMYFUNCTION("""COMPUTED_VALUE"""),45184.6920585648)</f>
        <v>45184.692058564797</v>
      </c>
      <c r="B47" s="1" t="str">
        <f ca="1">IFERROR(__xludf.DUMMYFUNCTION("""COMPUTED_VALUE"""),"自行維修")</f>
        <v>自行維修</v>
      </c>
      <c r="C47" s="1" t="str">
        <f ca="1">IFERROR(__xludf.DUMMYFUNCTION("""COMPUTED_VALUE"""),"ZZ999")</f>
        <v>ZZ999</v>
      </c>
      <c r="D47" s="1" t="str">
        <f ca="1">IFERROR(__xludf.DUMMYFUNCTION("""COMPUTED_VALUE"""),"All/BA")</f>
        <v>All/BA</v>
      </c>
      <c r="E47" s="1" t="str">
        <f ca="1">IFERROR(__xludf.DUMMYFUNCTION("""COMPUTED_VALUE"""),"p1/庫存")</f>
        <v>p1/庫存</v>
      </c>
      <c r="F47" s="1">
        <f ca="1">IFERROR(__xludf.DUMMYFUNCTION("""COMPUTED_VALUE"""),0)</f>
        <v>0</v>
      </c>
      <c r="G47" s="1" t="str">
        <f ca="1">IFERROR(__xludf.DUMMYFUNCTION("""COMPUTED_VALUE"""),"ZZ999")</f>
        <v>ZZ999</v>
      </c>
      <c r="H47" s="1" t="str">
        <f ca="1">IFERROR(__xludf.DUMMYFUNCTION("""COMPUTED_VALUE"""),"ZZ999")</f>
        <v>ZZ999</v>
      </c>
      <c r="I47" s="1" t="str">
        <f ca="1">IFERROR(__xludf.DUMMYFUNCTION("""COMPUTED_VALUE"""),"Feng")</f>
        <v>Feng</v>
      </c>
    </row>
    <row r="48" spans="1:9" ht="12.7" x14ac:dyDescent="0.4">
      <c r="A48" s="2">
        <f ca="1">IFERROR(__xludf.DUMMYFUNCTION("""COMPUTED_VALUE"""),45189.1940159606)</f>
        <v>45189.194015960602</v>
      </c>
      <c r="B48" s="1" t="str">
        <f ca="1">IFERROR(__xludf.DUMMYFUNCTION("""COMPUTED_VALUE"""),"庫存調整")</f>
        <v>庫存調整</v>
      </c>
      <c r="C48" s="1" t="str">
        <f ca="1">IFERROR(__xludf.DUMMYFUNCTION("""COMPUTED_VALUE"""),"ME0030000058")</f>
        <v>ME0030000058</v>
      </c>
      <c r="D48" s="1" t="str">
        <f ca="1">IFERROR(__xludf.DUMMYFUNCTION("""COMPUTED_VALUE"""),"All/共用")</f>
        <v>All/共用</v>
      </c>
      <c r="E48" s="1" t="str">
        <f ca="1">IFERROR(__xludf.DUMMYFUNCTION("""COMPUTED_VALUE"""),"p1/庫存")</f>
        <v>p1/庫存</v>
      </c>
      <c r="F48" s="1">
        <f ca="1">IFERROR(__xludf.DUMMYFUNCTION("""COMPUTED_VALUE"""),-1)</f>
        <v>-1</v>
      </c>
      <c r="G48" s="1" t="str">
        <f ca="1">IFERROR(__xludf.DUMMYFUNCTION("""COMPUTED_VALUE"""),"N5IG1V600261DNB")</f>
        <v>N5IG1V600261DNB</v>
      </c>
      <c r="H48" s="1" t="str">
        <f ca="1">IFERROR(__xludf.DUMMYFUNCTION("""COMPUTED_VALUE"""),"P1_貨架")</f>
        <v>P1_貨架</v>
      </c>
      <c r="I48" s="1" t="str">
        <f ca="1">IFERROR(__xludf.DUMMYFUNCTION("""COMPUTED_VALUE"""),"Simon")</f>
        <v>Simon</v>
      </c>
    </row>
    <row r="49" spans="1:9" ht="12.7" x14ac:dyDescent="0.4">
      <c r="A49" s="2">
        <f ca="1">IFERROR(__xludf.DUMMYFUNCTION("""COMPUTED_VALUE"""),45189.1960655902)</f>
        <v>45189.1960655902</v>
      </c>
      <c r="B49" s="1" t="str">
        <f ca="1">IFERROR(__xludf.DUMMYFUNCTION("""COMPUTED_VALUE"""),"庫存調整")</f>
        <v>庫存調整</v>
      </c>
      <c r="C49" s="1" t="str">
        <f ca="1">IFERROR(__xludf.DUMMYFUNCTION("""COMPUTED_VALUE"""),"ME0030000058")</f>
        <v>ME0030000058</v>
      </c>
      <c r="D49" s="1" t="str">
        <f ca="1">IFERROR(__xludf.DUMMYFUNCTION("""COMPUTED_VALUE"""),"All/共用")</f>
        <v>All/共用</v>
      </c>
      <c r="E49" s="1" t="str">
        <f ca="1">IFERROR(__xludf.DUMMYFUNCTION("""COMPUTED_VALUE"""),"p2/庫存")</f>
        <v>p2/庫存</v>
      </c>
      <c r="F49" s="1">
        <f ca="1">IFERROR(__xludf.DUMMYFUNCTION("""COMPUTED_VALUE"""),1)</f>
        <v>1</v>
      </c>
      <c r="G49" s="1" t="str">
        <f ca="1">IFERROR(__xludf.DUMMYFUNCTION("""COMPUTED_VALUE"""),"N5IG1V600261DNB")</f>
        <v>N5IG1V600261DNB</v>
      </c>
      <c r="H49" s="1" t="str">
        <f ca="1">IFERROR(__xludf.DUMMYFUNCTION("""COMPUTED_VALUE"""),"P2_貨架")</f>
        <v>P2_貨架</v>
      </c>
      <c r="I49" s="1" t="str">
        <f ca="1">IFERROR(__xludf.DUMMYFUNCTION("""COMPUTED_VALUE"""),"Simon")</f>
        <v>Simon</v>
      </c>
    </row>
    <row r="50" spans="1:9" ht="12.7" x14ac:dyDescent="0.4">
      <c r="A50" s="2">
        <f ca="1">IFERROR(__xludf.DUMMYFUNCTION("""COMPUTED_VALUE"""),45189.3174101736)</f>
        <v>45189.3174101736</v>
      </c>
      <c r="B50" s="1" t="str">
        <f ca="1">IFERROR(__xludf.DUMMYFUNCTION("""COMPUTED_VALUE"""),"庫存調整")</f>
        <v>庫存調整</v>
      </c>
      <c r="C50" s="1" t="str">
        <f ca="1">IFERROR(__xludf.DUMMYFUNCTION("""COMPUTED_VALUE"""),"ME0020000544")</f>
        <v>ME0020000544</v>
      </c>
      <c r="D50" s="1" t="str">
        <f ca="1">IFERROR(__xludf.DUMMYFUNCTION("""COMPUTED_VALUE"""),"All/共用")</f>
        <v>All/共用</v>
      </c>
      <c r="E50" s="1" t="str">
        <f ca="1">IFERROR(__xludf.DUMMYFUNCTION("""COMPUTED_VALUE"""),"p1/庫存")</f>
        <v>p1/庫存</v>
      </c>
      <c r="F50" s="1">
        <f ca="1">IFERROR(__xludf.DUMMYFUNCTION("""COMPUTED_VALUE"""),-1)</f>
        <v>-1</v>
      </c>
      <c r="G50" s="1"/>
      <c r="H50" s="1" t="str">
        <f ca="1">IFERROR(__xludf.DUMMYFUNCTION("""COMPUTED_VALUE"""),"P1_貨架")</f>
        <v>P1_貨架</v>
      </c>
      <c r="I50" s="1" t="str">
        <f ca="1">IFERROR(__xludf.DUMMYFUNCTION("""COMPUTED_VALUE"""),"Simon")</f>
        <v>Simon</v>
      </c>
    </row>
    <row r="51" spans="1:9" ht="12.7" x14ac:dyDescent="0.4">
      <c r="A51" s="2">
        <f ca="1">IFERROR(__xludf.DUMMYFUNCTION("""COMPUTED_VALUE"""),45189.3193282754)</f>
        <v>45189.3193282754</v>
      </c>
      <c r="B51" s="1" t="str">
        <f ca="1">IFERROR(__xludf.DUMMYFUNCTION("""COMPUTED_VALUE"""),"庫存調整")</f>
        <v>庫存調整</v>
      </c>
      <c r="C51" s="1" t="str">
        <f ca="1">IFERROR(__xludf.DUMMYFUNCTION("""COMPUTED_VALUE"""),"ME0020000544")</f>
        <v>ME0020000544</v>
      </c>
      <c r="D51" s="1" t="str">
        <f ca="1">IFERROR(__xludf.DUMMYFUNCTION("""COMPUTED_VALUE"""),"All/共用")</f>
        <v>All/共用</v>
      </c>
      <c r="E51" s="1" t="str">
        <f ca="1">IFERROR(__xludf.DUMMYFUNCTION("""COMPUTED_VALUE"""),"p2/庫存")</f>
        <v>p2/庫存</v>
      </c>
      <c r="F51" s="1">
        <f ca="1">IFERROR(__xludf.DUMMYFUNCTION("""COMPUTED_VALUE"""),1)</f>
        <v>1</v>
      </c>
      <c r="G51" s="1"/>
      <c r="H51" s="1" t="str">
        <f ca="1">IFERROR(__xludf.DUMMYFUNCTION("""COMPUTED_VALUE"""),"P2_機櫃")</f>
        <v>P2_機櫃</v>
      </c>
      <c r="I51" s="1" t="str">
        <f ca="1">IFERROR(__xludf.DUMMYFUNCTION("""COMPUTED_VALUE"""),"Simon")</f>
        <v>Simon</v>
      </c>
    </row>
    <row r="52" spans="1:9" ht="12.7" x14ac:dyDescent="0.4">
      <c r="A52" s="2">
        <f ca="1">IFERROR(__xludf.DUMMYFUNCTION("""COMPUTED_VALUE"""),45189.3856701041)</f>
        <v>45189.3856701041</v>
      </c>
      <c r="B52" s="1" t="str">
        <f ca="1">IFERROR(__xludf.DUMMYFUNCTION("""COMPUTED_VALUE"""),"庫存調整")</f>
        <v>庫存調整</v>
      </c>
      <c r="C52" s="1" t="str">
        <f ca="1">IFERROR(__xludf.DUMMYFUNCTION("""COMPUTED_VALUE"""),"ME0030000058")</f>
        <v>ME0030000058</v>
      </c>
      <c r="D52" s="1" t="str">
        <f ca="1">IFERROR(__xludf.DUMMYFUNCTION("""COMPUTED_VALUE"""),"All/共用")</f>
        <v>All/共用</v>
      </c>
      <c r="E52" s="1" t="str">
        <f ca="1">IFERROR(__xludf.DUMMYFUNCTION("""COMPUTED_VALUE"""),"p2/庫存")</f>
        <v>p2/庫存</v>
      </c>
      <c r="F52" s="1">
        <f ca="1">IFERROR(__xludf.DUMMYFUNCTION("""COMPUTED_VALUE"""),1)</f>
        <v>1</v>
      </c>
      <c r="G52" s="1"/>
      <c r="H52" s="1" t="str">
        <f ca="1">IFERROR(__xludf.DUMMYFUNCTION("""COMPUTED_VALUE"""),"N5IG1V600261DNB")</f>
        <v>N5IG1V600261DNB</v>
      </c>
      <c r="I52" s="1" t="str">
        <f ca="1">IFERROR(__xludf.DUMMYFUNCTION("""COMPUTED_VALUE"""),"Simon")</f>
        <v>Simon</v>
      </c>
    </row>
    <row r="53" spans="1:9" ht="12.7" x14ac:dyDescent="0.4">
      <c r="A53" s="2">
        <f ca="1">IFERROR(__xludf.DUMMYFUNCTION("""COMPUTED_VALUE"""),45189.4042486921)</f>
        <v>45189.404248692103</v>
      </c>
      <c r="B53" s="1" t="str">
        <f ca="1">IFERROR(__xludf.DUMMYFUNCTION("""COMPUTED_VALUE"""),"料件上線時間")</f>
        <v>料件上線時間</v>
      </c>
      <c r="C53" s="1" t="str">
        <f ca="1">IFERROR(__xludf.DUMMYFUNCTION("""COMPUTED_VALUE"""),"A00100000731")</f>
        <v>A00100000731</v>
      </c>
      <c r="D53" s="1" t="str">
        <f ca="1">IFERROR(__xludf.DUMMYFUNCTION("""COMPUTED_VALUE"""),"All/BA")</f>
        <v>All/BA</v>
      </c>
      <c r="E53" s="1" t="str">
        <f ca="1">IFERROR(__xludf.DUMMYFUNCTION("""COMPUTED_VALUE"""),"p1/庫存")</f>
        <v>p1/庫存</v>
      </c>
      <c r="F53" s="1">
        <f ca="1">IFERROR(__xludf.DUMMYFUNCTION("""COMPUTED_VALUE"""),1)</f>
        <v>1</v>
      </c>
      <c r="G53" s="1" t="str">
        <f ca="1">IFERROR(__xludf.DUMMYFUNCTION("""COMPUTED_VALUE"""),"05F424")</f>
        <v>05F424</v>
      </c>
      <c r="H53" s="1" t="str">
        <f ca="1">IFERROR(__xludf.DUMMYFUNCTION("""COMPUTED_VALUE"""),"P1_010")</f>
        <v>P1_010</v>
      </c>
      <c r="I53" s="1" t="str">
        <f ca="1">IFERROR(__xludf.DUMMYFUNCTION("""COMPUTED_VALUE"""),"Simon")</f>
        <v>Simon</v>
      </c>
    </row>
    <row r="54" spans="1:9" ht="12.7" x14ac:dyDescent="0.4">
      <c r="A54" s="2">
        <f ca="1">IFERROR(__xludf.DUMMYFUNCTION("""COMPUTED_VALUE"""),45189.409048912)</f>
        <v>45189.409048911999</v>
      </c>
      <c r="B54" s="1" t="str">
        <f ca="1">IFERROR(__xludf.DUMMYFUNCTION("""COMPUTED_VALUE"""),"料件上線時間")</f>
        <v>料件上線時間</v>
      </c>
      <c r="C54" s="1" t="str">
        <f ca="1">IFERROR(__xludf.DUMMYFUNCTION("""COMPUTED_VALUE"""),"ME0160000073")</f>
        <v>ME0160000073</v>
      </c>
      <c r="D54" s="1" t="str">
        <f ca="1">IFERROR(__xludf.DUMMYFUNCTION("""COMPUTED_VALUE"""),"All/BA")</f>
        <v>All/BA</v>
      </c>
      <c r="E54" s="1" t="str">
        <f ca="1">IFERROR(__xludf.DUMMYFUNCTION("""COMPUTED_VALUE"""),"p2/庫存")</f>
        <v>p2/庫存</v>
      </c>
      <c r="F54" s="1">
        <f ca="1">IFERROR(__xludf.DUMMYFUNCTION("""COMPUTED_VALUE"""),1)</f>
        <v>1</v>
      </c>
      <c r="G54" s="1" t="str">
        <f ca="1">IFERROR(__xludf.DUMMYFUNCTION("""COMPUTED_VALUE"""),"B2306423")</f>
        <v>B2306423</v>
      </c>
      <c r="H54" s="1" t="str">
        <f ca="1">IFERROR(__xludf.DUMMYFUNCTION("""COMPUTED_VALUE"""),"P1_054")</f>
        <v>P1_054</v>
      </c>
      <c r="I54" s="1" t="str">
        <f ca="1">IFERROR(__xludf.DUMMYFUNCTION("""COMPUTED_VALUE"""),"Chiao Yu")</f>
        <v>Chiao Yu</v>
      </c>
    </row>
    <row r="55" spans="1:9" ht="12.7" x14ac:dyDescent="0.4">
      <c r="A55" s="2">
        <f ca="1">IFERROR(__xludf.DUMMYFUNCTION("""COMPUTED_VALUE"""),45189.7064235763)</f>
        <v>45189.706423576303</v>
      </c>
      <c r="B55" s="1" t="str">
        <f ca="1">IFERROR(__xludf.DUMMYFUNCTION("""COMPUTED_VALUE"""),"料件上線時間")</f>
        <v>料件上線時間</v>
      </c>
      <c r="C55" s="1" t="str">
        <f ca="1">IFERROR(__xludf.DUMMYFUNCTION("""COMPUTED_VALUE"""),"ZZ999")</f>
        <v>ZZ999</v>
      </c>
      <c r="D55" s="1" t="str">
        <f ca="1">IFERROR(__xludf.DUMMYFUNCTION("""COMPUTED_VALUE"""),"All/BA")</f>
        <v>All/BA</v>
      </c>
      <c r="E55" s="1" t="str">
        <f ca="1">IFERROR(__xludf.DUMMYFUNCTION("""COMPUTED_VALUE"""),"p1/庫存")</f>
        <v>p1/庫存</v>
      </c>
      <c r="F55" s="1">
        <f ca="1">IFERROR(__xludf.DUMMYFUNCTION("""COMPUTED_VALUE"""),1)</f>
        <v>1</v>
      </c>
      <c r="G55" s="1">
        <f ca="1">IFERROR(__xludf.DUMMYFUNCTION("""COMPUTED_VALUE"""),1)</f>
        <v>1</v>
      </c>
      <c r="H55" s="1">
        <f ca="1">IFERROR(__xludf.DUMMYFUNCTION("""COMPUTED_VALUE"""),1)</f>
        <v>1</v>
      </c>
      <c r="I55" s="1" t="str">
        <f ca="1">IFERROR(__xludf.DUMMYFUNCTION("""COMPUTED_VALUE"""),"Feng")</f>
        <v>Feng</v>
      </c>
    </row>
    <row r="56" spans="1:9" ht="12.7" x14ac:dyDescent="0.4">
      <c r="A56" s="2">
        <f ca="1">IFERROR(__xludf.DUMMYFUNCTION("""COMPUTED_VALUE"""),45189.8458739351)</f>
        <v>45189.845873935097</v>
      </c>
      <c r="B56" s="1" t="str">
        <f ca="1">IFERROR(__xludf.DUMMYFUNCTION("""COMPUTED_VALUE"""),"進貨")</f>
        <v>進貨</v>
      </c>
      <c r="C56" s="1" t="str">
        <f ca="1">IFERROR(__xludf.DUMMYFUNCTION("""COMPUTED_VALUE"""),"AGT000000001")</f>
        <v>AGT000000001</v>
      </c>
      <c r="D56" s="1" t="str">
        <f ca="1">IFERROR(__xludf.DUMMYFUNCTION("""COMPUTED_VALUE"""),"All/共用")</f>
        <v>All/共用</v>
      </c>
      <c r="E56" s="1" t="str">
        <f ca="1">IFERROR(__xludf.DUMMYFUNCTION("""COMPUTED_VALUE"""),"p1/庫存")</f>
        <v>p1/庫存</v>
      </c>
      <c r="F56" s="1">
        <f ca="1">IFERROR(__xludf.DUMMYFUNCTION("""COMPUTED_VALUE"""),1)</f>
        <v>1</v>
      </c>
      <c r="G56" s="1"/>
      <c r="H56" s="1" t="str">
        <f ca="1">IFERROR(__xludf.DUMMYFUNCTION("""COMPUTED_VALUE"""),"P1_貨架")</f>
        <v>P1_貨架</v>
      </c>
      <c r="I56" s="1" t="str">
        <f ca="1">IFERROR(__xludf.DUMMYFUNCTION("""COMPUTED_VALUE"""),"Simon")</f>
        <v>Simon</v>
      </c>
    </row>
    <row r="57" spans="1:9" ht="12.7" x14ac:dyDescent="0.4">
      <c r="A57" s="2">
        <f ca="1">IFERROR(__xludf.DUMMYFUNCTION("""COMPUTED_VALUE"""),45189.8477426851)</f>
        <v>45189.847742685102</v>
      </c>
      <c r="B57" s="1" t="str">
        <f ca="1">IFERROR(__xludf.DUMMYFUNCTION("""COMPUTED_VALUE"""),"進貨")</f>
        <v>進貨</v>
      </c>
      <c r="C57" s="1" t="str">
        <f ca="1">IFERROR(__xludf.DUMMYFUNCTION("""COMPUTED_VALUE"""),"AGT000000001")</f>
        <v>AGT000000001</v>
      </c>
      <c r="D57" s="1" t="str">
        <f ca="1">IFERROR(__xludf.DUMMYFUNCTION("""COMPUTED_VALUE"""),"All/共用")</f>
        <v>All/共用</v>
      </c>
      <c r="E57" s="1" t="str">
        <f ca="1">IFERROR(__xludf.DUMMYFUNCTION("""COMPUTED_VALUE"""),"p2/庫存")</f>
        <v>p2/庫存</v>
      </c>
      <c r="F57" s="1">
        <f ca="1">IFERROR(__xludf.DUMMYFUNCTION("""COMPUTED_VALUE"""),1)</f>
        <v>1</v>
      </c>
      <c r="G57" s="1"/>
      <c r="H57" s="1" t="str">
        <f ca="1">IFERROR(__xludf.DUMMYFUNCTION("""COMPUTED_VALUE"""),"P2_貨架")</f>
        <v>P2_貨架</v>
      </c>
      <c r="I57" s="1" t="str">
        <f ca="1">IFERROR(__xludf.DUMMYFUNCTION("""COMPUTED_VALUE"""),"Simon")</f>
        <v>Simon</v>
      </c>
    </row>
    <row r="58" spans="1:9" ht="12.7" x14ac:dyDescent="0.4">
      <c r="A58" s="2">
        <f ca="1">IFERROR(__xludf.DUMMYFUNCTION("""COMPUTED_VALUE"""),45189.8514709722)</f>
        <v>45189.8514709722</v>
      </c>
      <c r="B58" s="1" t="str">
        <f ca="1">IFERROR(__xludf.DUMMYFUNCTION("""COMPUTED_VALUE"""),"領料")</f>
        <v>領料</v>
      </c>
      <c r="C58" s="1" t="str">
        <f ca="1">IFERROR(__xludf.DUMMYFUNCTION("""COMPUTED_VALUE"""),"ME0030000058")</f>
        <v>ME0030000058</v>
      </c>
      <c r="D58" s="1" t="str">
        <f ca="1">IFERROR(__xludf.DUMMYFUNCTION("""COMPUTED_VALUE"""),"All/共用")</f>
        <v>All/共用</v>
      </c>
      <c r="E58" s="1" t="str">
        <f ca="1">IFERROR(__xludf.DUMMYFUNCTION("""COMPUTED_VALUE"""),"p1/庫存")</f>
        <v>p1/庫存</v>
      </c>
      <c r="F58" s="1">
        <f ca="1">IFERROR(__xludf.DUMMYFUNCTION("""COMPUTED_VALUE"""),1)</f>
        <v>1</v>
      </c>
      <c r="G58" s="1" t="str">
        <f ca="1">IFERROR(__xludf.DUMMYFUNCTION("""COMPUTED_VALUE"""),"N31G1V60106625E")</f>
        <v>N31G1V60106625E</v>
      </c>
      <c r="H58" s="1" t="str">
        <f ca="1">IFERROR(__xludf.DUMMYFUNCTION("""COMPUTED_VALUE"""),"宿舍")</f>
        <v>宿舍</v>
      </c>
      <c r="I58" s="1" t="str">
        <f ca="1">IFERROR(__xludf.DUMMYFUNCTION("""COMPUTED_VALUE"""),"Simon")</f>
        <v>Simon</v>
      </c>
    </row>
    <row r="59" spans="1:9" ht="12.7" x14ac:dyDescent="0.4">
      <c r="A59" s="2">
        <f ca="1">IFERROR(__xludf.DUMMYFUNCTION("""COMPUTED_VALUE"""),45189.8580829745)</f>
        <v>45189.858082974497</v>
      </c>
      <c r="B59" s="1" t="str">
        <f ca="1">IFERROR(__xludf.DUMMYFUNCTION("""COMPUTED_VALUE"""),"領料")</f>
        <v>領料</v>
      </c>
      <c r="C59" s="1" t="str">
        <f ca="1">IFERROR(__xludf.DUMMYFUNCTION("""COMPUTED_VALUE"""),"ME0030000058")</f>
        <v>ME0030000058</v>
      </c>
      <c r="D59" s="1" t="str">
        <f ca="1">IFERROR(__xludf.DUMMYFUNCTION("""COMPUTED_VALUE"""),"All/共用")</f>
        <v>All/共用</v>
      </c>
      <c r="E59" s="1" t="str">
        <f ca="1">IFERROR(__xludf.DUMMYFUNCTION("""COMPUTED_VALUE"""),"p2/庫存")</f>
        <v>p2/庫存</v>
      </c>
      <c r="F59" s="1">
        <f ca="1">IFERROR(__xludf.DUMMYFUNCTION("""COMPUTED_VALUE"""),1)</f>
        <v>1</v>
      </c>
      <c r="G59" s="1" t="str">
        <f ca="1">IFERROR(__xludf.DUMMYFUNCTION("""COMPUTED_VALUE"""),"N5IG1V600261DNB")</f>
        <v>N5IG1V600261DNB</v>
      </c>
      <c r="H59" s="1" t="str">
        <f ca="1">IFERROR(__xludf.DUMMYFUNCTION("""COMPUTED_VALUE"""),"P2_RL AREA")</f>
        <v>P2_RL AREA</v>
      </c>
      <c r="I59" s="1" t="str">
        <f ca="1">IFERROR(__xludf.DUMMYFUNCTION("""COMPUTED_VALUE"""),"Simon")</f>
        <v>Simon</v>
      </c>
    </row>
    <row r="60" spans="1:9" ht="12.7" x14ac:dyDescent="0.4">
      <c r="A60" s="2">
        <f ca="1">IFERROR(__xludf.DUMMYFUNCTION("""COMPUTED_VALUE"""),45189.8612085995)</f>
        <v>45189.861208599497</v>
      </c>
      <c r="B60" s="1" t="str">
        <f ca="1">IFERROR(__xludf.DUMMYFUNCTION("""COMPUTED_VALUE"""),"料件上線時間")</f>
        <v>料件上線時間</v>
      </c>
      <c r="C60" s="1" t="str">
        <f ca="1">IFERROR(__xludf.DUMMYFUNCTION("""COMPUTED_VALUE"""),"ME0030000058")</f>
        <v>ME0030000058</v>
      </c>
      <c r="D60" s="1" t="str">
        <f ca="1">IFERROR(__xludf.DUMMYFUNCTION("""COMPUTED_VALUE"""),"All/共用")</f>
        <v>All/共用</v>
      </c>
      <c r="E60" s="1" t="str">
        <f ca="1">IFERROR(__xludf.DUMMYFUNCTION("""COMPUTED_VALUE"""),"p2/庫存")</f>
        <v>p2/庫存</v>
      </c>
      <c r="F60" s="1">
        <f ca="1">IFERROR(__xludf.DUMMYFUNCTION("""COMPUTED_VALUE"""),1)</f>
        <v>1</v>
      </c>
      <c r="G60" s="1" t="str">
        <f ca="1">IFERROR(__xludf.DUMMYFUNCTION("""COMPUTED_VALUE"""),"N5IG1V600261DNB")</f>
        <v>N5IG1V600261DNB</v>
      </c>
      <c r="H60" s="1" t="str">
        <f ca="1">IFERROR(__xludf.DUMMYFUNCTION("""COMPUTED_VALUE"""),"P2_RL  AREA")</f>
        <v>P2_RL  AREA</v>
      </c>
      <c r="I60" s="1" t="str">
        <f ca="1">IFERROR(__xludf.DUMMYFUNCTION("""COMPUTED_VALUE"""),"Simon")</f>
        <v>Simon</v>
      </c>
    </row>
    <row r="61" spans="1:9" ht="12.7" x14ac:dyDescent="0.4">
      <c r="A61" s="2">
        <f ca="1">IFERROR(__xludf.DUMMYFUNCTION("""COMPUTED_VALUE"""),45190.2851424189)</f>
        <v>45190.285142418899</v>
      </c>
      <c r="B61" s="1" t="str">
        <f ca="1">IFERROR(__xludf.DUMMYFUNCTION("""COMPUTED_VALUE"""),"領料")</f>
        <v>領料</v>
      </c>
      <c r="C61" s="1" t="str">
        <f ca="1">IFERROR(__xludf.DUMMYFUNCTION("""COMPUTED_VALUE"""),"ME0020000544")</f>
        <v>ME0020000544</v>
      </c>
      <c r="D61" s="1" t="str">
        <f ca="1">IFERROR(__xludf.DUMMYFUNCTION("""COMPUTED_VALUE"""),"All/共用")</f>
        <v>All/共用</v>
      </c>
      <c r="E61" s="1" t="str">
        <f ca="1">IFERROR(__xludf.DUMMYFUNCTION("""COMPUTED_VALUE"""),"p2/庫存")</f>
        <v>p2/庫存</v>
      </c>
      <c r="F61" s="1">
        <f ca="1">IFERROR(__xludf.DUMMYFUNCTION("""COMPUTED_VALUE"""),1)</f>
        <v>1</v>
      </c>
      <c r="G61" s="1" t="str">
        <f ca="1">IFERROR(__xludf.DUMMYFUNCTION("""COMPUTED_VALUE"""),"E22A6Q5001030011-0A")</f>
        <v>E22A6Q5001030011-0A</v>
      </c>
      <c r="H61" s="1" t="str">
        <f ca="1">IFERROR(__xludf.DUMMYFUNCTION("""COMPUTED_VALUE"""),"P2_機櫃")</f>
        <v>P2_機櫃</v>
      </c>
      <c r="I61" s="1" t="str">
        <f ca="1">IFERROR(__xludf.DUMMYFUNCTION("""COMPUTED_VALUE"""),"Simon")</f>
        <v>Simon</v>
      </c>
    </row>
    <row r="62" spans="1:9" ht="12.7" x14ac:dyDescent="0.4">
      <c r="A62" s="2">
        <f ca="1">IFERROR(__xludf.DUMMYFUNCTION("""COMPUTED_VALUE"""),45190.2861074305)</f>
        <v>45190.286107430496</v>
      </c>
      <c r="B62" s="1" t="str">
        <f ca="1">IFERROR(__xludf.DUMMYFUNCTION("""COMPUTED_VALUE"""),"料件上線時間")</f>
        <v>料件上線時間</v>
      </c>
      <c r="C62" s="1" t="str">
        <f ca="1">IFERROR(__xludf.DUMMYFUNCTION("""COMPUTED_VALUE"""),"ME0020000544")</f>
        <v>ME0020000544</v>
      </c>
      <c r="D62" s="1" t="str">
        <f ca="1">IFERROR(__xludf.DUMMYFUNCTION("""COMPUTED_VALUE"""),"All/共用")</f>
        <v>All/共用</v>
      </c>
      <c r="E62" s="1" t="str">
        <f ca="1">IFERROR(__xludf.DUMMYFUNCTION("""COMPUTED_VALUE"""),"p2/庫存")</f>
        <v>p2/庫存</v>
      </c>
      <c r="F62" s="1">
        <f ca="1">IFERROR(__xludf.DUMMYFUNCTION("""COMPUTED_VALUE"""),1)</f>
        <v>1</v>
      </c>
      <c r="G62" s="1" t="str">
        <f ca="1">IFERROR(__xludf.DUMMYFUNCTION("""COMPUTED_VALUE"""),"E22A6Q5001030011-0A")</f>
        <v>E22A6Q5001030011-0A</v>
      </c>
      <c r="H62" s="1" t="str">
        <f ca="1">IFERROR(__xludf.DUMMYFUNCTION("""COMPUTED_VALUE"""),"P2_機櫃")</f>
        <v>P2_機櫃</v>
      </c>
      <c r="I62" s="1" t="str">
        <f ca="1">IFERROR(__xludf.DUMMYFUNCTION("""COMPUTED_VALUE"""),"Simon")</f>
        <v>Simon</v>
      </c>
    </row>
    <row r="63" spans="1:9" ht="12.7" x14ac:dyDescent="0.4">
      <c r="A63" s="2">
        <f ca="1">IFERROR(__xludf.DUMMYFUNCTION("""COMPUTED_VALUE"""),45190.2918510879)</f>
        <v>45190.291851087903</v>
      </c>
      <c r="B63" s="1" t="str">
        <f ca="1">IFERROR(__xludf.DUMMYFUNCTION("""COMPUTED_VALUE"""),"進貨")</f>
        <v>進貨</v>
      </c>
      <c r="C63" s="1" t="str">
        <f ca="1">IFERROR(__xludf.DUMMYFUNCTION("""COMPUTED_VALUE"""),"ME0020000544")</f>
        <v>ME0020000544</v>
      </c>
      <c r="D63" s="1" t="str">
        <f ca="1">IFERROR(__xludf.DUMMYFUNCTION("""COMPUTED_VALUE"""),"All/共用")</f>
        <v>All/共用</v>
      </c>
      <c r="E63" s="1" t="str">
        <f ca="1">IFERROR(__xludf.DUMMYFUNCTION("""COMPUTED_VALUE"""),"p1/庫存")</f>
        <v>p1/庫存</v>
      </c>
      <c r="F63" s="1">
        <f ca="1">IFERROR(__xludf.DUMMYFUNCTION("""COMPUTED_VALUE"""),1)</f>
        <v>1</v>
      </c>
      <c r="G63" s="1"/>
      <c r="H63" s="1" t="str">
        <f ca="1">IFERROR(__xludf.DUMMYFUNCTION("""COMPUTED_VALUE"""),"P1_貨架")</f>
        <v>P1_貨架</v>
      </c>
      <c r="I63" s="1" t="str">
        <f ca="1">IFERROR(__xludf.DUMMYFUNCTION("""COMPUTED_VALUE"""),"Simon")</f>
        <v>Simon</v>
      </c>
    </row>
    <row r="64" spans="1:9" ht="12.7" x14ac:dyDescent="0.4">
      <c r="A64" s="2">
        <f ca="1">IFERROR(__xludf.DUMMYFUNCTION("""COMPUTED_VALUE"""),45196.6086766898)</f>
        <v>45196.608676689801</v>
      </c>
      <c r="B64" s="1" t="str">
        <f ca="1">IFERROR(__xludf.DUMMYFUNCTION("""COMPUTED_VALUE"""),"領料")</f>
        <v>領料</v>
      </c>
      <c r="C64" s="1" t="str">
        <f ca="1">IFERROR(__xludf.DUMMYFUNCTION("""COMPUTED_VALUE"""),"ME0120000207")</f>
        <v>ME0120000207</v>
      </c>
      <c r="D64" s="1" t="str">
        <f ca="1">IFERROR(__xludf.DUMMYFUNCTION("""COMPUTED_VALUE"""),"All/共用")</f>
        <v>All/共用</v>
      </c>
      <c r="E64" s="1" t="str">
        <f ca="1">IFERROR(__xludf.DUMMYFUNCTION("""COMPUTED_VALUE"""),"p2/庫存")</f>
        <v>p2/庫存</v>
      </c>
      <c r="F64" s="1">
        <f ca="1">IFERROR(__xludf.DUMMYFUNCTION("""COMPUTED_VALUE"""),-1)</f>
        <v>-1</v>
      </c>
      <c r="G64" s="1"/>
      <c r="H64" s="1" t="str">
        <f ca="1">IFERROR(__xludf.DUMMYFUNCTION("""COMPUTED_VALUE"""),"P2_032")</f>
        <v>P2_032</v>
      </c>
      <c r="I64" s="1" t="str">
        <f ca="1">IFERROR(__xludf.DUMMYFUNCTION("""COMPUTED_VALUE"""),"Chiao Yu")</f>
        <v>Chiao Yu</v>
      </c>
    </row>
    <row r="65" spans="1:9" ht="12.7" x14ac:dyDescent="0.4">
      <c r="A65" s="2">
        <f ca="1">IFERROR(__xludf.DUMMYFUNCTION("""COMPUTED_VALUE"""),45196.6111133564)</f>
        <v>45196.611113356397</v>
      </c>
      <c r="B65" s="1" t="str">
        <f ca="1">IFERROR(__xludf.DUMMYFUNCTION("""COMPUTED_VALUE"""),"庫存調整")</f>
        <v>庫存調整</v>
      </c>
      <c r="C65" s="1" t="str">
        <f ca="1">IFERROR(__xludf.DUMMYFUNCTION("""COMPUTED_VALUE"""),"ME0120000207")</f>
        <v>ME0120000207</v>
      </c>
      <c r="D65" s="1" t="str">
        <f ca="1">IFERROR(__xludf.DUMMYFUNCTION("""COMPUTED_VALUE"""),"All/共用")</f>
        <v>All/共用</v>
      </c>
      <c r="E65" s="1" t="str">
        <f ca="1">IFERROR(__xludf.DUMMYFUNCTION("""COMPUTED_VALUE"""),"p2/庫存")</f>
        <v>p2/庫存</v>
      </c>
      <c r="F65" s="1">
        <f ca="1">IFERROR(__xludf.DUMMYFUNCTION("""COMPUTED_VALUE"""),-2)</f>
        <v>-2</v>
      </c>
      <c r="G65" s="1"/>
      <c r="H65" s="1" t="str">
        <f ca="1">IFERROR(__xludf.DUMMYFUNCTION("""COMPUTED_VALUE"""),"P2")</f>
        <v>P2</v>
      </c>
      <c r="I65" s="1" t="str">
        <f ca="1">IFERROR(__xludf.DUMMYFUNCTION("""COMPUTED_VALUE"""),"Chiao Yu")</f>
        <v>Chiao Yu</v>
      </c>
    </row>
    <row r="66" spans="1:9" ht="12.7" x14ac:dyDescent="0.4">
      <c r="A66" s="2">
        <f ca="1">IFERROR(__xludf.DUMMYFUNCTION("""COMPUTED_VALUE"""),45196.6120236805)</f>
        <v>45196.6120236805</v>
      </c>
      <c r="B66" s="1" t="str">
        <f ca="1">IFERROR(__xludf.DUMMYFUNCTION("""COMPUTED_VALUE"""),"領料")</f>
        <v>領料</v>
      </c>
      <c r="C66" s="1" t="str">
        <f ca="1">IFERROR(__xludf.DUMMYFUNCTION("""COMPUTED_VALUE"""),"ME0120000207")</f>
        <v>ME0120000207</v>
      </c>
      <c r="D66" s="1" t="str">
        <f ca="1">IFERROR(__xludf.DUMMYFUNCTION("""COMPUTED_VALUE"""),"All/共用")</f>
        <v>All/共用</v>
      </c>
      <c r="E66" s="1" t="str">
        <f ca="1">IFERROR(__xludf.DUMMYFUNCTION("""COMPUTED_VALUE"""),"p2/庫存")</f>
        <v>p2/庫存</v>
      </c>
      <c r="F66" s="1">
        <f ca="1">IFERROR(__xludf.DUMMYFUNCTION("""COMPUTED_VALUE"""),-1)</f>
        <v>-1</v>
      </c>
      <c r="G66" s="1"/>
      <c r="H66" s="1" t="str">
        <f ca="1">IFERROR(__xludf.DUMMYFUNCTION("""COMPUTED_VALUE"""),"P2")</f>
        <v>P2</v>
      </c>
      <c r="I66" s="1" t="str">
        <f ca="1">IFERROR(__xludf.DUMMYFUNCTION("""COMPUTED_VALUE"""),"Chiao Yu")</f>
        <v>Chiao Yu</v>
      </c>
    </row>
    <row r="67" spans="1:9" ht="12.7" x14ac:dyDescent="0.4">
      <c r="A67" s="2">
        <f ca="1">IFERROR(__xludf.DUMMYFUNCTION("""COMPUTED_VALUE"""),45196.61279853)</f>
        <v>45196.612798529997</v>
      </c>
      <c r="B67" s="1" t="str">
        <f ca="1">IFERROR(__xludf.DUMMYFUNCTION("""COMPUTED_VALUE"""),"庫存調整")</f>
        <v>庫存調整</v>
      </c>
      <c r="C67" s="1" t="str">
        <f ca="1">IFERROR(__xludf.DUMMYFUNCTION("""COMPUTED_VALUE"""),"ME0120000207")</f>
        <v>ME0120000207</v>
      </c>
      <c r="D67" s="1" t="str">
        <f ca="1">IFERROR(__xludf.DUMMYFUNCTION("""COMPUTED_VALUE"""),"All/共用")</f>
        <v>All/共用</v>
      </c>
      <c r="E67" s="1" t="str">
        <f ca="1">IFERROR(__xludf.DUMMYFUNCTION("""COMPUTED_VALUE"""),"p2/庫存")</f>
        <v>p2/庫存</v>
      </c>
      <c r="F67" s="1">
        <f ca="1">IFERROR(__xludf.DUMMYFUNCTION("""COMPUTED_VALUE"""),-1)</f>
        <v>-1</v>
      </c>
      <c r="G67" s="1"/>
      <c r="H67" s="1" t="str">
        <f ca="1">IFERROR(__xludf.DUMMYFUNCTION("""COMPUTED_VALUE"""),"P2")</f>
        <v>P2</v>
      </c>
      <c r="I67" s="1" t="str">
        <f ca="1">IFERROR(__xludf.DUMMYFUNCTION("""COMPUTED_VALUE"""),"Chiao Yu")</f>
        <v>Chiao Yu</v>
      </c>
    </row>
    <row r="68" spans="1:9" ht="12.7" x14ac:dyDescent="0.4">
      <c r="A68" s="2">
        <f ca="1">IFERROR(__xludf.DUMMYFUNCTION("""COMPUTED_VALUE"""),45196.7289379398)</f>
        <v>45196.728937939799</v>
      </c>
      <c r="B68" s="1" t="str">
        <f ca="1">IFERROR(__xludf.DUMMYFUNCTION("""COMPUTED_VALUE"""),"進貨")</f>
        <v>進貨</v>
      </c>
      <c r="C68" s="1" t="str">
        <f ca="1">IFERROR(__xludf.DUMMYFUNCTION("""COMPUTED_VALUE"""),"ME0020000525")</f>
        <v>ME0020000525</v>
      </c>
      <c r="D68" s="1" t="str">
        <f ca="1">IFERROR(__xludf.DUMMYFUNCTION("""COMPUTED_VALUE"""),"All/共用")</f>
        <v>All/共用</v>
      </c>
      <c r="E68" s="1" t="str">
        <f ca="1">IFERROR(__xludf.DUMMYFUNCTION("""COMPUTED_VALUE"""),"p1/庫存")</f>
        <v>p1/庫存</v>
      </c>
      <c r="F68" s="1">
        <f ca="1">IFERROR(__xludf.DUMMYFUNCTION("""COMPUTED_VALUE"""),1)</f>
        <v>1</v>
      </c>
      <c r="G68" s="1"/>
      <c r="H68" s="1" t="str">
        <f ca="1">IFERROR(__xludf.DUMMYFUNCTION("""COMPUTED_VALUE"""),"P1")</f>
        <v>P1</v>
      </c>
      <c r="I68" s="1" t="str">
        <f ca="1">IFERROR(__xludf.DUMMYFUNCTION("""COMPUTED_VALUE"""),"Chiao Yu")</f>
        <v>Chiao Yu</v>
      </c>
    </row>
    <row r="69" spans="1:9" ht="12.7" x14ac:dyDescent="0.4">
      <c r="A69" s="2">
        <f ca="1">IFERROR(__xludf.DUMMYFUNCTION("""COMPUTED_VALUE"""),45196.7304748148)</f>
        <v>45196.730474814802</v>
      </c>
      <c r="B69" s="1" t="str">
        <f ca="1">IFERROR(__xludf.DUMMYFUNCTION("""COMPUTED_VALUE"""),"進貨")</f>
        <v>進貨</v>
      </c>
      <c r="C69" s="1" t="str">
        <f ca="1">IFERROR(__xludf.DUMMYFUNCTION("""COMPUTED_VALUE"""),"ME0140000043")</f>
        <v>ME0140000043</v>
      </c>
      <c r="D69" s="1" t="str">
        <f ca="1">IFERROR(__xludf.DUMMYFUNCTION("""COMPUTED_VALUE"""),"All/BA")</f>
        <v>All/BA</v>
      </c>
      <c r="E69" s="1" t="str">
        <f ca="1">IFERROR(__xludf.DUMMYFUNCTION("""COMPUTED_VALUE"""),"p1/庫存")</f>
        <v>p1/庫存</v>
      </c>
      <c r="F69" s="1">
        <f ca="1">IFERROR(__xludf.DUMMYFUNCTION("""COMPUTED_VALUE"""),1)</f>
        <v>1</v>
      </c>
      <c r="G69" s="1"/>
      <c r="H69" s="1" t="str">
        <f ca="1">IFERROR(__xludf.DUMMYFUNCTION("""COMPUTED_VALUE"""),"P1")</f>
        <v>P1</v>
      </c>
      <c r="I69" s="1" t="str">
        <f ca="1">IFERROR(__xludf.DUMMYFUNCTION("""COMPUTED_VALUE"""),"Chiao Yu")</f>
        <v>Chiao Yu</v>
      </c>
    </row>
    <row r="70" spans="1:9" ht="12.7" x14ac:dyDescent="0.4">
      <c r="A70" s="2">
        <f ca="1">IFERROR(__xludf.DUMMYFUNCTION("""COMPUTED_VALUE"""),45196.7318292013)</f>
        <v>45196.731829201301</v>
      </c>
      <c r="B70" s="1" t="str">
        <f ca="1">IFERROR(__xludf.DUMMYFUNCTION("""COMPUTED_VALUE"""),"進貨")</f>
        <v>進貨</v>
      </c>
      <c r="C70" s="1" t="str">
        <f ca="1">IFERROR(__xludf.DUMMYFUNCTION("""COMPUTED_VALUE"""),"ME0010000382")</f>
        <v>ME0010000382</v>
      </c>
      <c r="D70" s="1" t="str">
        <f ca="1">IFERROR(__xludf.DUMMYFUNCTION("""COMPUTED_VALUE"""),"All/共用")</f>
        <v>All/共用</v>
      </c>
      <c r="E70" s="1" t="str">
        <f ca="1">IFERROR(__xludf.DUMMYFUNCTION("""COMPUTED_VALUE"""),"p1/庫存")</f>
        <v>p1/庫存</v>
      </c>
      <c r="F70" s="1">
        <f ca="1">IFERROR(__xludf.DUMMYFUNCTION("""COMPUTED_VALUE"""),1)</f>
        <v>1</v>
      </c>
      <c r="G70" s="1"/>
      <c r="H70" s="1" t="str">
        <f ca="1">IFERROR(__xludf.DUMMYFUNCTION("""COMPUTED_VALUE"""),"P1")</f>
        <v>P1</v>
      </c>
      <c r="I70" s="1" t="str">
        <f ca="1">IFERROR(__xludf.DUMMYFUNCTION("""COMPUTED_VALUE"""),"Chiao Yu")</f>
        <v>Chiao Yu</v>
      </c>
    </row>
    <row r="71" spans="1:9" ht="12.7" x14ac:dyDescent="0.4">
      <c r="A71" s="2">
        <f ca="1">IFERROR(__xludf.DUMMYFUNCTION("""COMPUTED_VALUE"""),45196.7365587268)</f>
        <v>45196.7365587268</v>
      </c>
      <c r="B71" s="1" t="str">
        <f ca="1">IFERROR(__xludf.DUMMYFUNCTION("""COMPUTED_VALUE"""),"進貨")</f>
        <v>進貨</v>
      </c>
      <c r="C71" s="1" t="str">
        <f ca="1">IFERROR(__xludf.DUMMYFUNCTION("""COMPUTED_VALUE"""),"ME0030000058")</f>
        <v>ME0030000058</v>
      </c>
      <c r="D71" s="1" t="str">
        <f ca="1">IFERROR(__xludf.DUMMYFUNCTION("""COMPUTED_VALUE"""),"All/共用")</f>
        <v>All/共用</v>
      </c>
      <c r="E71" s="1" t="str">
        <f ca="1">IFERROR(__xludf.DUMMYFUNCTION("""COMPUTED_VALUE"""),"p1/庫存")</f>
        <v>p1/庫存</v>
      </c>
      <c r="F71" s="1">
        <f ca="1">IFERROR(__xludf.DUMMYFUNCTION("""COMPUTED_VALUE"""),2)</f>
        <v>2</v>
      </c>
      <c r="G71" s="1"/>
      <c r="H71" s="1" t="str">
        <f ca="1">IFERROR(__xludf.DUMMYFUNCTION("""COMPUTED_VALUE"""),"P1")</f>
        <v>P1</v>
      </c>
      <c r="I71" s="1" t="str">
        <f ca="1">IFERROR(__xludf.DUMMYFUNCTION("""COMPUTED_VALUE"""),"Chiao Yu")</f>
        <v>Chiao Yu</v>
      </c>
    </row>
    <row r="72" spans="1:9" ht="12.7" x14ac:dyDescent="0.4">
      <c r="A72" s="2">
        <f ca="1">IFERROR(__xludf.DUMMYFUNCTION("""COMPUTED_VALUE"""),45196.7370682176)</f>
        <v>45196.737068217597</v>
      </c>
      <c r="B72" s="1" t="str">
        <f ca="1">IFERROR(__xludf.DUMMYFUNCTION("""COMPUTED_VALUE"""),"進貨")</f>
        <v>進貨</v>
      </c>
      <c r="C72" s="1" t="str">
        <f ca="1">IFERROR(__xludf.DUMMYFUNCTION("""COMPUTED_VALUE"""),"ME0030000058")</f>
        <v>ME0030000058</v>
      </c>
      <c r="D72" s="1" t="str">
        <f ca="1">IFERROR(__xludf.DUMMYFUNCTION("""COMPUTED_VALUE"""),"All/共用")</f>
        <v>All/共用</v>
      </c>
      <c r="E72" s="1" t="str">
        <f ca="1">IFERROR(__xludf.DUMMYFUNCTION("""COMPUTED_VALUE"""),"p2/庫存")</f>
        <v>p2/庫存</v>
      </c>
      <c r="F72" s="1">
        <f ca="1">IFERROR(__xludf.DUMMYFUNCTION("""COMPUTED_VALUE"""),1)</f>
        <v>1</v>
      </c>
      <c r="G72" s="1"/>
      <c r="H72" s="1" t="str">
        <f ca="1">IFERROR(__xludf.DUMMYFUNCTION("""COMPUTED_VALUE"""),"P2")</f>
        <v>P2</v>
      </c>
      <c r="I72" s="1" t="str">
        <f ca="1">IFERROR(__xludf.DUMMYFUNCTION("""COMPUTED_VALUE"""),"Chiao Yu")</f>
        <v>Chiao Yu</v>
      </c>
    </row>
    <row r="73" spans="1:9" ht="12.7" x14ac:dyDescent="0.4">
      <c r="A73" s="2">
        <f ca="1">IFERROR(__xludf.DUMMYFUNCTION("""COMPUTED_VALUE"""),45196.7460756481)</f>
        <v>45196.746075648101</v>
      </c>
      <c r="B73" s="1" t="str">
        <f ca="1">IFERROR(__xludf.DUMMYFUNCTION("""COMPUTED_VALUE"""),"領料")</f>
        <v>領料</v>
      </c>
      <c r="C73" s="1" t="str">
        <f ca="1">IFERROR(__xludf.DUMMYFUNCTION("""COMPUTED_VALUE"""),"ME0120000230")</f>
        <v>ME0120000230</v>
      </c>
      <c r="D73" s="1" t="str">
        <f ca="1">IFERROR(__xludf.DUMMYFUNCTION("""COMPUTED_VALUE"""),"All/共用")</f>
        <v>All/共用</v>
      </c>
      <c r="E73" s="1" t="str">
        <f ca="1">IFERROR(__xludf.DUMMYFUNCTION("""COMPUTED_VALUE"""),"p2/庫存")</f>
        <v>p2/庫存</v>
      </c>
      <c r="F73" s="1">
        <f ca="1">IFERROR(__xludf.DUMMYFUNCTION("""COMPUTED_VALUE"""),6)</f>
        <v>6</v>
      </c>
      <c r="G73" s="1"/>
      <c r="H73" s="1" t="str">
        <f ca="1">IFERROR(__xludf.DUMMYFUNCTION("""COMPUTED_VALUE"""),"P2")</f>
        <v>P2</v>
      </c>
      <c r="I73" s="1" t="str">
        <f ca="1">IFERROR(__xludf.DUMMYFUNCTION("""COMPUTED_VALUE"""),"Chiao Yu")</f>
        <v>Chiao Yu</v>
      </c>
    </row>
    <row r="74" spans="1:9" ht="12.7" x14ac:dyDescent="0.4">
      <c r="A74" s="2">
        <f ca="1">IFERROR(__xludf.DUMMYFUNCTION("""COMPUTED_VALUE"""),45203.0431816087)</f>
        <v>45203.0431816087</v>
      </c>
      <c r="B74" s="1" t="str">
        <f ca="1">IFERROR(__xludf.DUMMYFUNCTION("""COMPUTED_VALUE"""),"送修")</f>
        <v>送修</v>
      </c>
      <c r="C74" s="1" t="str">
        <f ca="1">IFERROR(__xludf.DUMMYFUNCTION("""COMPUTED_VALUE"""),"ME0070000140")</f>
        <v>ME0070000140</v>
      </c>
      <c r="D74" s="1" t="str">
        <f ca="1">IFERROR(__xludf.DUMMYFUNCTION("""COMPUTED_VALUE"""),"All/BA")</f>
        <v>All/BA</v>
      </c>
      <c r="E74" s="1" t="str">
        <f ca="1">IFERROR(__xludf.DUMMYFUNCTION("""COMPUTED_VALUE"""),"p2/庫存")</f>
        <v>p2/庫存</v>
      </c>
      <c r="F74" s="1">
        <f ca="1">IFERROR(__xludf.DUMMYFUNCTION("""COMPUTED_VALUE"""),1)</f>
        <v>1</v>
      </c>
      <c r="G74" s="1" t="str">
        <f ca="1">IFERROR(__xludf.DUMMYFUNCTION("""COMPUTED_VALUE"""),"100A-2522C0100-2208")</f>
        <v>100A-2522C0100-2208</v>
      </c>
      <c r="H74" s="1" t="str">
        <f ca="1">IFERROR(__xludf.DUMMYFUNCTION("""COMPUTED_VALUE"""),"P2_053")</f>
        <v>P2_053</v>
      </c>
      <c r="I74" s="1" t="str">
        <f ca="1">IFERROR(__xludf.DUMMYFUNCTION("""COMPUTED_VALUE"""),"Simon")</f>
        <v>Simon</v>
      </c>
    </row>
    <row r="75" spans="1:9" ht="12.7" x14ac:dyDescent="0.4">
      <c r="A75" s="2">
        <f ca="1">IFERROR(__xludf.DUMMYFUNCTION("""COMPUTED_VALUE"""),45203.0453565046)</f>
        <v>45203.045356504597</v>
      </c>
      <c r="B75" s="1" t="str">
        <f ca="1">IFERROR(__xludf.DUMMYFUNCTION("""COMPUTED_VALUE"""),"料件上線時間")</f>
        <v>料件上線時間</v>
      </c>
      <c r="C75" s="1" t="str">
        <f ca="1">IFERROR(__xludf.DUMMYFUNCTION("""COMPUTED_VALUE"""),"ME0070000140")</f>
        <v>ME0070000140</v>
      </c>
      <c r="D75" s="1" t="str">
        <f ca="1">IFERROR(__xludf.DUMMYFUNCTION("""COMPUTED_VALUE"""),"All/BA")</f>
        <v>All/BA</v>
      </c>
      <c r="E75" s="1" t="str">
        <f ca="1">IFERROR(__xludf.DUMMYFUNCTION("""COMPUTED_VALUE"""),"p2/庫存")</f>
        <v>p2/庫存</v>
      </c>
      <c r="F75" s="1">
        <f ca="1">IFERROR(__xludf.DUMMYFUNCTION("""COMPUTED_VALUE"""),1)</f>
        <v>1</v>
      </c>
      <c r="G75" s="1" t="str">
        <f ca="1">IFERROR(__xludf.DUMMYFUNCTION("""COMPUTED_VALUE"""),"100A-2522C0100-2208")</f>
        <v>100A-2522C0100-2208</v>
      </c>
      <c r="H75" s="1" t="str">
        <f ca="1">IFERROR(__xludf.DUMMYFUNCTION("""COMPUTED_VALUE"""),"P2_053")</f>
        <v>P2_053</v>
      </c>
      <c r="I75" s="1" t="str">
        <f ca="1">IFERROR(__xludf.DUMMYFUNCTION("""COMPUTED_VALUE"""),"Simon")</f>
        <v>Simon</v>
      </c>
    </row>
    <row r="76" spans="1:9" ht="12.7" x14ac:dyDescent="0.4">
      <c r="A76" s="2">
        <f ca="1">IFERROR(__xludf.DUMMYFUNCTION("""COMPUTED_VALUE"""),45203.9421911921)</f>
        <v>45203.942191192102</v>
      </c>
      <c r="B76" s="1" t="str">
        <f ca="1">IFERROR(__xludf.DUMMYFUNCTION("""COMPUTED_VALUE"""),"料件上線時間")</f>
        <v>料件上線時間</v>
      </c>
      <c r="C76" s="1" t="str">
        <f ca="1">IFERROR(__xludf.DUMMYFUNCTION("""COMPUTED_VALUE"""),"ME0070000140")</f>
        <v>ME0070000140</v>
      </c>
      <c r="D76" s="1" t="str">
        <f ca="1">IFERROR(__xludf.DUMMYFUNCTION("""COMPUTED_VALUE"""),"All/BA")</f>
        <v>All/BA</v>
      </c>
      <c r="E76" s="1" t="str">
        <f ca="1">IFERROR(__xludf.DUMMYFUNCTION("""COMPUTED_VALUE"""),"p2/庫存")</f>
        <v>p2/庫存</v>
      </c>
      <c r="F76" s="1">
        <f ca="1">IFERROR(__xludf.DUMMYFUNCTION("""COMPUTED_VALUE"""),1)</f>
        <v>1</v>
      </c>
      <c r="G76" s="1" t="str">
        <f ca="1">IFERROR(__xludf.DUMMYFUNCTION("""COMPUTED_VALUE"""),"待補")</f>
        <v>待補</v>
      </c>
      <c r="H76" s="1" t="str">
        <f ca="1">IFERROR(__xludf.DUMMYFUNCTION("""COMPUTED_VALUE"""),"P2_053")</f>
        <v>P2_053</v>
      </c>
      <c r="I76" s="1" t="str">
        <f ca="1">IFERROR(__xludf.DUMMYFUNCTION("""COMPUTED_VALUE"""),"Simon")</f>
        <v>Simon</v>
      </c>
    </row>
    <row r="77" spans="1:9" ht="12.7" x14ac:dyDescent="0.4">
      <c r="A77" s="2">
        <f ca="1">IFERROR(__xludf.DUMMYFUNCTION("""COMPUTED_VALUE"""),45204.3311790277)</f>
        <v>45204.3311790277</v>
      </c>
      <c r="B77" s="1" t="str">
        <f ca="1">IFERROR(__xludf.DUMMYFUNCTION("""COMPUTED_VALUE"""),"料件上線時間")</f>
        <v>料件上線時間</v>
      </c>
      <c r="C77" s="1" t="str">
        <f ca="1">IFERROR(__xludf.DUMMYFUNCTION("""COMPUTED_VALUE"""),"ME0070000140")</f>
        <v>ME0070000140</v>
      </c>
      <c r="D77" s="1" t="str">
        <f ca="1">IFERROR(__xludf.DUMMYFUNCTION("""COMPUTED_VALUE"""),"All/BA")</f>
        <v>All/BA</v>
      </c>
      <c r="E77" s="1" t="str">
        <f ca="1">IFERROR(__xludf.DUMMYFUNCTION("""COMPUTED_VALUE"""),"p2/庫存")</f>
        <v>p2/庫存</v>
      </c>
      <c r="F77" s="1">
        <f ca="1">IFERROR(__xludf.DUMMYFUNCTION("""COMPUTED_VALUE"""),1)</f>
        <v>1</v>
      </c>
      <c r="G77" s="1" t="str">
        <f ca="1">IFERROR(__xludf.DUMMYFUNCTION("""COMPUTED_VALUE"""),"100A-2522C0084-2208")</f>
        <v>100A-2522C0084-2208</v>
      </c>
      <c r="H77" s="1" t="str">
        <f ca="1">IFERROR(__xludf.DUMMYFUNCTION("""COMPUTED_VALUE"""),"P2_057")</f>
        <v>P2_057</v>
      </c>
      <c r="I77" s="1" t="str">
        <f ca="1">IFERROR(__xludf.DUMMYFUNCTION("""COMPUTED_VALUE"""),"Simon")</f>
        <v>Simon</v>
      </c>
    </row>
    <row r="78" spans="1:9" ht="12.7" x14ac:dyDescent="0.4">
      <c r="A78" s="2">
        <f ca="1">IFERROR(__xludf.DUMMYFUNCTION("""COMPUTED_VALUE"""),45205.6753796064)</f>
        <v>45205.6753796064</v>
      </c>
      <c r="B78" s="1" t="str">
        <f ca="1">IFERROR(__xludf.DUMMYFUNCTION("""COMPUTED_VALUE"""),"進貨")</f>
        <v>進貨</v>
      </c>
      <c r="C78" s="1" t="str">
        <f ca="1">IFERROR(__xludf.DUMMYFUNCTION("""COMPUTED_VALUE"""),"ME0160000073")</f>
        <v>ME0160000073</v>
      </c>
      <c r="D78" s="1" t="str">
        <f ca="1">IFERROR(__xludf.DUMMYFUNCTION("""COMPUTED_VALUE"""),"All/BA")</f>
        <v>All/BA</v>
      </c>
      <c r="E78" s="1" t="str">
        <f ca="1">IFERROR(__xludf.DUMMYFUNCTION("""COMPUTED_VALUE"""),"p1/庫存")</f>
        <v>p1/庫存</v>
      </c>
      <c r="F78" s="1">
        <f ca="1">IFERROR(__xludf.DUMMYFUNCTION("""COMPUTED_VALUE"""),1)</f>
        <v>1</v>
      </c>
      <c r="G78" s="1"/>
      <c r="H78" s="1" t="str">
        <f ca="1">IFERROR(__xludf.DUMMYFUNCTION("""COMPUTED_VALUE"""),"P1")</f>
        <v>P1</v>
      </c>
      <c r="I78" s="1" t="str">
        <f ca="1">IFERROR(__xludf.DUMMYFUNCTION("""COMPUTED_VALUE"""),"Chiao Yu")</f>
        <v>Chiao Yu</v>
      </c>
    </row>
    <row r="79" spans="1:9" ht="12.7" x14ac:dyDescent="0.4">
      <c r="A79" s="2">
        <f ca="1">IFERROR(__xludf.DUMMYFUNCTION("""COMPUTED_VALUE"""),45205.6772656018)</f>
        <v>45205.6772656018</v>
      </c>
      <c r="B79" s="1" t="str">
        <f ca="1">IFERROR(__xludf.DUMMYFUNCTION("""COMPUTED_VALUE"""),"返修")</f>
        <v>返修</v>
      </c>
      <c r="C79" s="1" t="str">
        <f ca="1">IFERROR(__xludf.DUMMYFUNCTION("""COMPUTED_VALUE"""),"ME0160000073")</f>
        <v>ME0160000073</v>
      </c>
      <c r="D79" s="1" t="str">
        <f ca="1">IFERROR(__xludf.DUMMYFUNCTION("""COMPUTED_VALUE"""),"All/BA")</f>
        <v>All/BA</v>
      </c>
      <c r="E79" s="1" t="str">
        <f ca="1">IFERROR(__xludf.DUMMYFUNCTION("""COMPUTED_VALUE"""),"p1/庫存")</f>
        <v>p1/庫存</v>
      </c>
      <c r="F79" s="1">
        <f ca="1">IFERROR(__xludf.DUMMYFUNCTION("""COMPUTED_VALUE"""),2)</f>
        <v>2</v>
      </c>
      <c r="G79" s="1" t="str">
        <f ca="1">IFERROR(__xludf.DUMMYFUNCTION("""COMPUTED_VALUE"""),"B2206376 &amp; B1409079")</f>
        <v>B2206376 &amp; B1409079</v>
      </c>
      <c r="H79" s="1" t="str">
        <f ca="1">IFERROR(__xludf.DUMMYFUNCTION("""COMPUTED_VALUE"""),"P1")</f>
        <v>P1</v>
      </c>
      <c r="I79" s="1" t="str">
        <f ca="1">IFERROR(__xludf.DUMMYFUNCTION("""COMPUTED_VALUE"""),"Chiao Yu")</f>
        <v>Chiao Yu</v>
      </c>
    </row>
    <row r="80" spans="1:9" ht="12.7" x14ac:dyDescent="0.4">
      <c r="A80" s="2">
        <f ca="1">IFERROR(__xludf.DUMMYFUNCTION("""COMPUTED_VALUE"""),45211.6276095138)</f>
        <v>45211.627609513802</v>
      </c>
      <c r="B80" s="1" t="str">
        <f ca="1">IFERROR(__xludf.DUMMYFUNCTION("""COMPUTED_VALUE"""),"領料")</f>
        <v>領料</v>
      </c>
      <c r="C80" s="1" t="str">
        <f ca="1">IFERROR(__xludf.DUMMYFUNCTION("""COMPUTED_VALUE"""),"ME0010000296")</f>
        <v>ME0010000296</v>
      </c>
      <c r="D80" s="1" t="str">
        <f ca="1">IFERROR(__xludf.DUMMYFUNCTION("""COMPUTED_VALUE"""),"All/共用")</f>
        <v>All/共用</v>
      </c>
      <c r="E80" s="1" t="str">
        <f ca="1">IFERROR(__xludf.DUMMYFUNCTION("""COMPUTED_VALUE"""),"p2/庫存")</f>
        <v>p2/庫存</v>
      </c>
      <c r="F80" s="1">
        <f ca="1">IFERROR(__xludf.DUMMYFUNCTION("""COMPUTED_VALUE"""),1)</f>
        <v>1</v>
      </c>
      <c r="G80" s="1"/>
      <c r="H80" s="1" t="str">
        <f ca="1">IFERROR(__xludf.DUMMYFUNCTION("""COMPUTED_VALUE"""),"P2_1002")</f>
        <v>P2_1002</v>
      </c>
      <c r="I80" s="1" t="str">
        <f ca="1">IFERROR(__xludf.DUMMYFUNCTION("""COMPUTED_VALUE"""),"Chiao Yu")</f>
        <v>Chiao Yu</v>
      </c>
    </row>
    <row r="81" spans="1:9" ht="12.7" x14ac:dyDescent="0.4">
      <c r="A81" s="2">
        <f ca="1">IFERROR(__xludf.DUMMYFUNCTION("""COMPUTED_VALUE"""),45214.2595841203)</f>
        <v>45214.2595841203</v>
      </c>
      <c r="B81" s="1" t="str">
        <f ca="1">IFERROR(__xludf.DUMMYFUNCTION("""COMPUTED_VALUE"""),"庫存調整")</f>
        <v>庫存調整</v>
      </c>
      <c r="C81" s="1" t="str">
        <f ca="1">IFERROR(__xludf.DUMMYFUNCTION("""COMPUTED_VALUE"""),"MM0260000077")</f>
        <v>MM0260000077</v>
      </c>
      <c r="D81" s="1" t="str">
        <f ca="1">IFERROR(__xludf.DUMMYFUNCTION("""COMPUTED_VALUE"""),"All/BA")</f>
        <v>All/BA</v>
      </c>
      <c r="E81" s="1" t="str">
        <f ca="1">IFERROR(__xludf.DUMMYFUNCTION("""COMPUTED_VALUE"""),"p1/庫存")</f>
        <v>p1/庫存</v>
      </c>
      <c r="F81" s="1">
        <f ca="1">IFERROR(__xludf.DUMMYFUNCTION("""COMPUTED_VALUE"""),-40)</f>
        <v>-40</v>
      </c>
      <c r="G81" s="1"/>
      <c r="H81" s="1" t="str">
        <f ca="1">IFERROR(__xludf.DUMMYFUNCTION("""COMPUTED_VALUE"""),"P1  貨架")</f>
        <v>P1  貨架</v>
      </c>
      <c r="I81" s="1" t="str">
        <f ca="1">IFERROR(__xludf.DUMMYFUNCTION("""COMPUTED_VALUE"""),"Simon")</f>
        <v>Simon</v>
      </c>
    </row>
    <row r="82" spans="1:9" ht="12.7" x14ac:dyDescent="0.4">
      <c r="A82" s="2">
        <f ca="1">IFERROR(__xludf.DUMMYFUNCTION("""COMPUTED_VALUE"""),45214.2607483449)</f>
        <v>45214.260748344903</v>
      </c>
      <c r="B82" s="1" t="str">
        <f ca="1">IFERROR(__xludf.DUMMYFUNCTION("""COMPUTED_VALUE"""),"庫存調整")</f>
        <v>庫存調整</v>
      </c>
      <c r="C82" s="1" t="str">
        <f ca="1">IFERROR(__xludf.DUMMYFUNCTION("""COMPUTED_VALUE"""),"MM0260000077")</f>
        <v>MM0260000077</v>
      </c>
      <c r="D82" s="1" t="str">
        <f ca="1">IFERROR(__xludf.DUMMYFUNCTION("""COMPUTED_VALUE"""),"All/BA")</f>
        <v>All/BA</v>
      </c>
      <c r="E82" s="1" t="str">
        <f ca="1">IFERROR(__xludf.DUMMYFUNCTION("""COMPUTED_VALUE"""),"p2/庫存")</f>
        <v>p2/庫存</v>
      </c>
      <c r="F82" s="1">
        <f ca="1">IFERROR(__xludf.DUMMYFUNCTION("""COMPUTED_VALUE"""),40)</f>
        <v>40</v>
      </c>
      <c r="G82" s="1"/>
      <c r="H82" s="1" t="str">
        <f ca="1">IFERROR(__xludf.DUMMYFUNCTION("""COMPUTED_VALUE"""),"P2  貨架")</f>
        <v>P2  貨架</v>
      </c>
      <c r="I82" s="1" t="str">
        <f ca="1">IFERROR(__xludf.DUMMYFUNCTION("""COMPUTED_VALUE"""),"Simon")</f>
        <v>Simon</v>
      </c>
    </row>
    <row r="83" spans="1:9" ht="12.7" x14ac:dyDescent="0.4">
      <c r="A83" s="2">
        <f ca="1">IFERROR(__xludf.DUMMYFUNCTION("""COMPUTED_VALUE"""),45215.7682810185)</f>
        <v>45215.7682810185</v>
      </c>
      <c r="B83" s="1" t="str">
        <f ca="1">IFERROR(__xludf.DUMMYFUNCTION("""COMPUTED_VALUE"""),"送修")</f>
        <v>送修</v>
      </c>
      <c r="C83" s="1" t="str">
        <f ca="1">IFERROR(__xludf.DUMMYFUNCTION("""COMPUTED_VALUE"""),"ME0020000525")</f>
        <v>ME0020000525</v>
      </c>
      <c r="D83" s="1" t="str">
        <f ca="1">IFERROR(__xludf.DUMMYFUNCTION("""COMPUTED_VALUE"""),"All/共用")</f>
        <v>All/共用</v>
      </c>
      <c r="E83" s="1" t="str">
        <f ca="1">IFERROR(__xludf.DUMMYFUNCTION("""COMPUTED_VALUE"""),"p1/庫存")</f>
        <v>p1/庫存</v>
      </c>
      <c r="F83" s="1">
        <f ca="1">IFERROR(__xludf.DUMMYFUNCTION("""COMPUTED_VALUE"""),1)</f>
        <v>1</v>
      </c>
      <c r="G83" s="1" t="str">
        <f ca="1">IFERROR(__xludf.DUMMYFUNCTION("""COMPUTED_VALUE"""),"2223E63980E3")</f>
        <v>2223E63980E3</v>
      </c>
      <c r="H83" s="1" t="str">
        <f ca="1">IFERROR(__xludf.DUMMYFUNCTION("""COMPUTED_VALUE"""),"P1_01")</f>
        <v>P1_01</v>
      </c>
      <c r="I83" s="1" t="str">
        <f ca="1">IFERROR(__xludf.DUMMYFUNCTION("""COMPUTED_VALUE"""),"Chiao Yu")</f>
        <v>Chiao Yu</v>
      </c>
    </row>
    <row r="84" spans="1:9" ht="12.7" x14ac:dyDescent="0.4">
      <c r="A84" s="2">
        <f ca="1">IFERROR(__xludf.DUMMYFUNCTION("""COMPUTED_VALUE"""),45215.7694879629)</f>
        <v>45215.769487962898</v>
      </c>
      <c r="B84" s="1" t="str">
        <f ca="1">IFERROR(__xludf.DUMMYFUNCTION("""COMPUTED_VALUE"""),"料件上線時間")</f>
        <v>料件上線時間</v>
      </c>
      <c r="C84" s="1" t="str">
        <f ca="1">IFERROR(__xludf.DUMMYFUNCTION("""COMPUTED_VALUE"""),"ME0020000525")</f>
        <v>ME0020000525</v>
      </c>
      <c r="D84" s="1" t="str">
        <f ca="1">IFERROR(__xludf.DUMMYFUNCTION("""COMPUTED_VALUE"""),"All/共用")</f>
        <v>All/共用</v>
      </c>
      <c r="E84" s="1" t="str">
        <f ca="1">IFERROR(__xludf.DUMMYFUNCTION("""COMPUTED_VALUE"""),"p1/庫存")</f>
        <v>p1/庫存</v>
      </c>
      <c r="F84" s="1">
        <f ca="1">IFERROR(__xludf.DUMMYFUNCTION("""COMPUTED_VALUE"""),1)</f>
        <v>1</v>
      </c>
      <c r="G84" s="1" t="str">
        <f ca="1">IFERROR(__xludf.DUMMYFUNCTION("""COMPUTED_VALUE"""),"2303E6A02A86")</f>
        <v>2303E6A02A86</v>
      </c>
      <c r="H84" s="1" t="str">
        <f ca="1">IFERROR(__xludf.DUMMYFUNCTION("""COMPUTED_VALUE"""),"P1_01")</f>
        <v>P1_01</v>
      </c>
      <c r="I84" s="1" t="str">
        <f ca="1">IFERROR(__xludf.DUMMYFUNCTION("""COMPUTED_VALUE"""),"Chiao Yu")</f>
        <v>Chiao Yu</v>
      </c>
    </row>
    <row r="85" spans="1:9" ht="12.7" x14ac:dyDescent="0.4">
      <c r="A85" s="2">
        <f ca="1">IFERROR(__xludf.DUMMYFUNCTION("""COMPUTED_VALUE"""),45224.3544571527)</f>
        <v>45224.354457152702</v>
      </c>
      <c r="B85" s="1" t="str">
        <f ca="1">IFERROR(__xludf.DUMMYFUNCTION("""COMPUTED_VALUE"""),"庫存調整")</f>
        <v>庫存調整</v>
      </c>
      <c r="C85" s="1" t="str">
        <f ca="1">IFERROR(__xludf.DUMMYFUNCTION("""COMPUTED_VALUE"""),"A00100000708")</f>
        <v>A00100000708</v>
      </c>
      <c r="D85" s="1" t="str">
        <f ca="1">IFERROR(__xludf.DUMMYFUNCTION("""COMPUTED_VALUE"""),"All/BA")</f>
        <v>All/BA</v>
      </c>
      <c r="E85" s="1" t="str">
        <f ca="1">IFERROR(__xludf.DUMMYFUNCTION("""COMPUTED_VALUE"""),"p2/庫存")</f>
        <v>p2/庫存</v>
      </c>
      <c r="F85" s="1">
        <f ca="1">IFERROR(__xludf.DUMMYFUNCTION("""COMPUTED_VALUE"""),1)</f>
        <v>1</v>
      </c>
      <c r="G85" s="1"/>
      <c r="H85" s="1" t="str">
        <f ca="1">IFERROR(__xludf.DUMMYFUNCTION("""COMPUTED_VALUE"""),"P2")</f>
        <v>P2</v>
      </c>
      <c r="I85" s="1" t="str">
        <f ca="1">IFERROR(__xludf.DUMMYFUNCTION("""COMPUTED_VALUE"""),"Simon")</f>
        <v>Simon</v>
      </c>
    </row>
    <row r="86" spans="1:9" ht="12.7" x14ac:dyDescent="0.4">
      <c r="A86" s="2">
        <f ca="1">IFERROR(__xludf.DUMMYFUNCTION("""COMPUTED_VALUE"""),45224.3566896527)</f>
        <v>45224.356689652697</v>
      </c>
      <c r="B86" s="1" t="str">
        <f ca="1">IFERROR(__xludf.DUMMYFUNCTION("""COMPUTED_VALUE"""),"庫存調整")</f>
        <v>庫存調整</v>
      </c>
      <c r="C86" s="1" t="str">
        <f ca="1">IFERROR(__xludf.DUMMYFUNCTION("""COMPUTED_VALUE"""),"ME0230000255")</f>
        <v>ME0230000255</v>
      </c>
      <c r="D86" s="1" t="str">
        <f ca="1">IFERROR(__xludf.DUMMYFUNCTION("""COMPUTED_VALUE"""),"All/BA")</f>
        <v>All/BA</v>
      </c>
      <c r="E86" s="1" t="str">
        <f ca="1">IFERROR(__xludf.DUMMYFUNCTION("""COMPUTED_VALUE"""),"p2/庫存")</f>
        <v>p2/庫存</v>
      </c>
      <c r="F86" s="1">
        <f ca="1">IFERROR(__xludf.DUMMYFUNCTION("""COMPUTED_VALUE"""),1)</f>
        <v>1</v>
      </c>
      <c r="G86" s="1"/>
      <c r="H86" s="1" t="str">
        <f ca="1">IFERROR(__xludf.DUMMYFUNCTION("""COMPUTED_VALUE"""),"P2")</f>
        <v>P2</v>
      </c>
      <c r="I86" s="1" t="str">
        <f ca="1">IFERROR(__xludf.DUMMYFUNCTION("""COMPUTED_VALUE"""),"Simon")</f>
        <v>Simon</v>
      </c>
    </row>
    <row r="87" spans="1:9" ht="12.7" x14ac:dyDescent="0.4">
      <c r="A87" s="2">
        <f ca="1">IFERROR(__xludf.DUMMYFUNCTION("""COMPUTED_VALUE"""),45224.3585451504)</f>
        <v>45224.358545150397</v>
      </c>
      <c r="B87" s="1" t="str">
        <f ca="1">IFERROR(__xludf.DUMMYFUNCTION("""COMPUTED_VALUE"""),"庫存調整")</f>
        <v>庫存調整</v>
      </c>
      <c r="C87" s="1" t="str">
        <f ca="1">IFERROR(__xludf.DUMMYFUNCTION("""COMPUTED_VALUE"""),"ME0270001245")</f>
        <v>ME0270001245</v>
      </c>
      <c r="D87" s="1" t="str">
        <f ca="1">IFERROR(__xludf.DUMMYFUNCTION("""COMPUTED_VALUE"""),"All/BA")</f>
        <v>All/BA</v>
      </c>
      <c r="E87" s="1" t="str">
        <f ca="1">IFERROR(__xludf.DUMMYFUNCTION("""COMPUTED_VALUE"""),"p2/庫存")</f>
        <v>p2/庫存</v>
      </c>
      <c r="F87" s="1">
        <f ca="1">IFERROR(__xludf.DUMMYFUNCTION("""COMPUTED_VALUE"""),29)</f>
        <v>29</v>
      </c>
      <c r="G87" s="1"/>
      <c r="H87" s="1" t="str">
        <f ca="1">IFERROR(__xludf.DUMMYFUNCTION("""COMPUTED_VALUE"""),"P2")</f>
        <v>P2</v>
      </c>
      <c r="I87" s="1" t="str">
        <f ca="1">IFERROR(__xludf.DUMMYFUNCTION("""COMPUTED_VALUE"""),"Simon")</f>
        <v>Simon</v>
      </c>
    </row>
    <row r="88" spans="1:9" ht="12.7" x14ac:dyDescent="0.4">
      <c r="A88" s="2">
        <f ca="1">IFERROR(__xludf.DUMMYFUNCTION("""COMPUTED_VALUE"""),45224.6287662268)</f>
        <v>45224.628766226801</v>
      </c>
      <c r="B88" s="1" t="str">
        <f ca="1">IFERROR(__xludf.DUMMYFUNCTION("""COMPUTED_VALUE"""),"庫存調整")</f>
        <v>庫存調整</v>
      </c>
      <c r="C88" s="1" t="str">
        <f ca="1">IFERROR(__xludf.DUMMYFUNCTION("""COMPUTED_VALUE"""),"ME0010000263")</f>
        <v>ME0010000263</v>
      </c>
      <c r="D88" s="1" t="str">
        <f ca="1">IFERROR(__xludf.DUMMYFUNCTION("""COMPUTED_VALUE"""),"All/共用")</f>
        <v>All/共用</v>
      </c>
      <c r="E88" s="1" t="str">
        <f ca="1">IFERROR(__xludf.DUMMYFUNCTION("""COMPUTED_VALUE"""),"p1/庫存")</f>
        <v>p1/庫存</v>
      </c>
      <c r="F88" s="1">
        <f ca="1">IFERROR(__xludf.DUMMYFUNCTION("""COMPUTED_VALUE"""),-2)</f>
        <v>-2</v>
      </c>
      <c r="G88" s="1"/>
      <c r="H88" s="1" t="str">
        <f ca="1">IFERROR(__xludf.DUMMYFUNCTION("""COMPUTED_VALUE"""),"P1")</f>
        <v>P1</v>
      </c>
      <c r="I88" s="1" t="str">
        <f ca="1">IFERROR(__xludf.DUMMYFUNCTION("""COMPUTED_VALUE"""),"Chiao Yu")</f>
        <v>Chiao Yu</v>
      </c>
    </row>
    <row r="89" spans="1:9" ht="12.7" x14ac:dyDescent="0.4">
      <c r="A89" s="2">
        <f ca="1">IFERROR(__xludf.DUMMYFUNCTION("""COMPUTED_VALUE"""),45224.6313734606)</f>
        <v>45224.631373460601</v>
      </c>
      <c r="B89" s="1" t="str">
        <f ca="1">IFERROR(__xludf.DUMMYFUNCTION("""COMPUTED_VALUE"""),"庫存調整")</f>
        <v>庫存調整</v>
      </c>
      <c r="C89" s="1" t="str">
        <f ca="1">IFERROR(__xludf.DUMMYFUNCTION("""COMPUTED_VALUE"""),"ME0010000339")</f>
        <v>ME0010000339</v>
      </c>
      <c r="D89" s="1" t="str">
        <f ca="1">IFERROR(__xludf.DUMMYFUNCTION("""COMPUTED_VALUE"""),"All/共用")</f>
        <v>All/共用</v>
      </c>
      <c r="E89" s="1" t="str">
        <f ca="1">IFERROR(__xludf.DUMMYFUNCTION("""COMPUTED_VALUE"""),"p1/庫存")</f>
        <v>p1/庫存</v>
      </c>
      <c r="F89" s="1">
        <f ca="1">IFERROR(__xludf.DUMMYFUNCTION("""COMPUTED_VALUE"""),1)</f>
        <v>1</v>
      </c>
      <c r="G89" s="1"/>
      <c r="H89" s="1" t="str">
        <f ca="1">IFERROR(__xludf.DUMMYFUNCTION("""COMPUTED_VALUE"""),"P1")</f>
        <v>P1</v>
      </c>
      <c r="I89" s="1" t="str">
        <f ca="1">IFERROR(__xludf.DUMMYFUNCTION("""COMPUTED_VALUE"""),"Chiao Yu")</f>
        <v>Chiao Yu</v>
      </c>
    </row>
    <row r="90" spans="1:9" ht="12.7" x14ac:dyDescent="0.4">
      <c r="A90" s="2">
        <f ca="1">IFERROR(__xludf.DUMMYFUNCTION("""COMPUTED_VALUE"""),45224.6524260763)</f>
        <v>45224.652426076304</v>
      </c>
      <c r="B90" s="1" t="str">
        <f ca="1">IFERROR(__xludf.DUMMYFUNCTION("""COMPUTED_VALUE"""),"庫存調整")</f>
        <v>庫存調整</v>
      </c>
      <c r="C90" s="1" t="str">
        <f ca="1">IFERROR(__xludf.DUMMYFUNCTION("""COMPUTED_VALUE"""),"MM0040003484")</f>
        <v>MM0040003484</v>
      </c>
      <c r="D90" s="1" t="str">
        <f ca="1">IFERROR(__xludf.DUMMYFUNCTION("""COMPUTED_VALUE"""),"All/BA")</f>
        <v>All/BA</v>
      </c>
      <c r="E90" s="1" t="str">
        <f ca="1">IFERROR(__xludf.DUMMYFUNCTION("""COMPUTED_VALUE"""),"p1/庫存")</f>
        <v>p1/庫存</v>
      </c>
      <c r="F90" s="1">
        <f ca="1">IFERROR(__xludf.DUMMYFUNCTION("""COMPUTED_VALUE"""),2)</f>
        <v>2</v>
      </c>
      <c r="G90" s="1"/>
      <c r="H90" s="1" t="str">
        <f ca="1">IFERROR(__xludf.DUMMYFUNCTION("""COMPUTED_VALUE"""),"P1")</f>
        <v>P1</v>
      </c>
      <c r="I90" s="1" t="str">
        <f ca="1">IFERROR(__xludf.DUMMYFUNCTION("""COMPUTED_VALUE"""),"Chiao Yu")</f>
        <v>Chiao Yu</v>
      </c>
    </row>
    <row r="91" spans="1:9" ht="12.7" x14ac:dyDescent="0.4">
      <c r="A91" s="2">
        <f ca="1">IFERROR(__xludf.DUMMYFUNCTION("""COMPUTED_VALUE"""),45224.828482743)</f>
        <v>45224.828482743003</v>
      </c>
      <c r="B91" s="1" t="str">
        <f ca="1">IFERROR(__xludf.DUMMYFUNCTION("""COMPUTED_VALUE"""),"庫存調整")</f>
        <v>庫存調整</v>
      </c>
      <c r="C91" s="1" t="str">
        <f ca="1">IFERROR(__xludf.DUMMYFUNCTION("""COMPUTED_VALUE"""),"AGT000000005")</f>
        <v>AGT000000005</v>
      </c>
      <c r="D91" s="1" t="str">
        <f ca="1">IFERROR(__xludf.DUMMYFUNCTION("""COMPUTED_VALUE"""),"All/共用")</f>
        <v>All/共用</v>
      </c>
      <c r="E91" s="1" t="str">
        <f ca="1">IFERROR(__xludf.DUMMYFUNCTION("""COMPUTED_VALUE"""),"p2/庫存")</f>
        <v>p2/庫存</v>
      </c>
      <c r="F91" s="1">
        <f ca="1">IFERROR(__xludf.DUMMYFUNCTION("""COMPUTED_VALUE"""),8)</f>
        <v>8</v>
      </c>
      <c r="G91" s="1"/>
      <c r="H91" s="1" t="str">
        <f ca="1">IFERROR(__xludf.DUMMYFUNCTION("""COMPUTED_VALUE"""),"P2")</f>
        <v>P2</v>
      </c>
      <c r="I91" s="1" t="str">
        <f ca="1">IFERROR(__xludf.DUMMYFUNCTION("""COMPUTED_VALUE"""),"Chiao Yu")</f>
        <v>Chiao Yu</v>
      </c>
    </row>
    <row r="92" spans="1:9" ht="12.7" x14ac:dyDescent="0.4">
      <c r="A92" s="2">
        <f ca="1">IFERROR(__xludf.DUMMYFUNCTION("""COMPUTED_VALUE"""),45224.8296967592)</f>
        <v>45224.829696759203</v>
      </c>
      <c r="B92" s="1" t="str">
        <f ca="1">IFERROR(__xludf.DUMMYFUNCTION("""COMPUTED_VALUE"""),"庫存調整")</f>
        <v>庫存調整</v>
      </c>
      <c r="C92" s="1" t="str">
        <f ca="1">IFERROR(__xludf.DUMMYFUNCTION("""COMPUTED_VALUE"""),"AGT000000005")</f>
        <v>AGT000000005</v>
      </c>
      <c r="D92" s="1" t="str">
        <f ca="1">IFERROR(__xludf.DUMMYFUNCTION("""COMPUTED_VALUE"""),"All/共用")</f>
        <v>All/共用</v>
      </c>
      <c r="E92" s="1" t="str">
        <f ca="1">IFERROR(__xludf.DUMMYFUNCTION("""COMPUTED_VALUE"""),"p2/庫存")</f>
        <v>p2/庫存</v>
      </c>
      <c r="F92" s="1">
        <f ca="1">IFERROR(__xludf.DUMMYFUNCTION("""COMPUTED_VALUE"""),8)</f>
        <v>8</v>
      </c>
      <c r="G92" s="1"/>
      <c r="H92" s="1" t="str">
        <f ca="1">IFERROR(__xludf.DUMMYFUNCTION("""COMPUTED_VALUE"""),"P2")</f>
        <v>P2</v>
      </c>
      <c r="I92" s="1" t="str">
        <f ca="1">IFERROR(__xludf.DUMMYFUNCTION("""COMPUTED_VALUE"""),"Chiao Yu")</f>
        <v>Chiao Yu</v>
      </c>
    </row>
    <row r="93" spans="1:9" ht="12.7" x14ac:dyDescent="0.4">
      <c r="A93" s="2">
        <f ca="1">IFERROR(__xludf.DUMMYFUNCTION("""COMPUTED_VALUE"""),45224.8310853588)</f>
        <v>45224.831085358797</v>
      </c>
      <c r="B93" s="1" t="str">
        <f ca="1">IFERROR(__xludf.DUMMYFUNCTION("""COMPUTED_VALUE"""),"送修")</f>
        <v>送修</v>
      </c>
      <c r="C93" s="1" t="str">
        <f ca="1">IFERROR(__xludf.DUMMYFUNCTION("""COMPUTED_VALUE"""),"ME0070000181")</f>
        <v>ME0070000181</v>
      </c>
      <c r="D93" s="1" t="str">
        <f ca="1">IFERROR(__xludf.DUMMYFUNCTION("""COMPUTED_VALUE"""),"All/RL")</f>
        <v>All/RL</v>
      </c>
      <c r="E93" s="1" t="str">
        <f ca="1">IFERROR(__xludf.DUMMYFUNCTION("""COMPUTED_VALUE"""),"p2/庫存")</f>
        <v>p2/庫存</v>
      </c>
      <c r="F93" s="1">
        <f ca="1">IFERROR(__xludf.DUMMYFUNCTION("""COMPUTED_VALUE"""),1)</f>
        <v>1</v>
      </c>
      <c r="G93" s="1"/>
      <c r="H93" s="1" t="str">
        <f ca="1">IFERROR(__xludf.DUMMYFUNCTION("""COMPUTED_VALUE"""),"P2_102")</f>
        <v>P2_102</v>
      </c>
      <c r="I93" s="1" t="str">
        <f ca="1">IFERROR(__xludf.DUMMYFUNCTION("""COMPUTED_VALUE"""),"Chiao Yu")</f>
        <v>Chiao Yu</v>
      </c>
    </row>
    <row r="94" spans="1:9" ht="12.7" x14ac:dyDescent="0.4">
      <c r="A94" s="2">
        <f ca="1">IFERROR(__xludf.DUMMYFUNCTION("""COMPUTED_VALUE"""),45225.3612734837)</f>
        <v>45225.361273483701</v>
      </c>
      <c r="B94" s="1" t="str">
        <f ca="1">IFERROR(__xludf.DUMMYFUNCTION("""COMPUTED_VALUE"""),"庫存調整")</f>
        <v>庫存調整</v>
      </c>
      <c r="C94" s="1" t="str">
        <f ca="1">IFERROR(__xludf.DUMMYFUNCTION("""COMPUTED_VALUE"""),"AGT000000005")</f>
        <v>AGT000000005</v>
      </c>
      <c r="D94" s="1" t="str">
        <f ca="1">IFERROR(__xludf.DUMMYFUNCTION("""COMPUTED_VALUE"""),"All/共用")</f>
        <v>All/共用</v>
      </c>
      <c r="E94" s="1" t="str">
        <f ca="1">IFERROR(__xludf.DUMMYFUNCTION("""COMPUTED_VALUE"""),"p2/庫存")</f>
        <v>p2/庫存</v>
      </c>
      <c r="F94" s="1">
        <f ca="1">IFERROR(__xludf.DUMMYFUNCTION("""COMPUTED_VALUE"""),-8)</f>
        <v>-8</v>
      </c>
      <c r="G94" s="1"/>
      <c r="H94" s="1" t="str">
        <f ca="1">IFERROR(__xludf.DUMMYFUNCTION("""COMPUTED_VALUE"""),"P2")</f>
        <v>P2</v>
      </c>
      <c r="I94" s="1" t="str">
        <f ca="1">IFERROR(__xludf.DUMMYFUNCTION("""COMPUTED_VALUE"""),"Chiao Yu")</f>
        <v>Chiao Yu</v>
      </c>
    </row>
    <row r="95" spans="1:9" ht="12.7" x14ac:dyDescent="0.4">
      <c r="A95" s="2">
        <f ca="1">IFERROR(__xludf.DUMMYFUNCTION("""COMPUTED_VALUE"""),45225.7488486921)</f>
        <v>45225.748848692099</v>
      </c>
      <c r="B95" s="1" t="str">
        <f ca="1">IFERROR(__xludf.DUMMYFUNCTION("""COMPUTED_VALUE"""),"庫存調整")</f>
        <v>庫存調整</v>
      </c>
      <c r="C95" s="1" t="str">
        <f ca="1">IFERROR(__xludf.DUMMYFUNCTION("""COMPUTED_VALUE"""),"AGT000000005")</f>
        <v>AGT000000005</v>
      </c>
      <c r="D95" s="1" t="str">
        <f ca="1">IFERROR(__xludf.DUMMYFUNCTION("""COMPUTED_VALUE"""),"All/共用")</f>
        <v>All/共用</v>
      </c>
      <c r="E95" s="1" t="str">
        <f ca="1">IFERROR(__xludf.DUMMYFUNCTION("""COMPUTED_VALUE"""),"p1/庫存")</f>
        <v>p1/庫存</v>
      </c>
      <c r="F95" s="1">
        <f ca="1">IFERROR(__xludf.DUMMYFUNCTION("""COMPUTED_VALUE"""),1)</f>
        <v>1</v>
      </c>
      <c r="G95" s="1"/>
      <c r="H95" s="1" t="str">
        <f ca="1">IFERROR(__xludf.DUMMYFUNCTION("""COMPUTED_VALUE"""),"P1")</f>
        <v>P1</v>
      </c>
      <c r="I95" s="1" t="str">
        <f ca="1">IFERROR(__xludf.DUMMYFUNCTION("""COMPUTED_VALUE"""),"Chiao Yu")</f>
        <v>Chiao Yu</v>
      </c>
    </row>
    <row r="96" spans="1:9" ht="12.7" x14ac:dyDescent="0.4">
      <c r="A96" s="2">
        <f ca="1">IFERROR(__xludf.DUMMYFUNCTION("""COMPUTED_VALUE"""),45226.3742701736)</f>
        <v>45226.374270173597</v>
      </c>
      <c r="B96" s="1" t="str">
        <f ca="1">IFERROR(__xludf.DUMMYFUNCTION("""COMPUTED_VALUE"""),"領料")</f>
        <v>領料</v>
      </c>
      <c r="C96" s="1" t="str">
        <f ca="1">IFERROR(__xludf.DUMMYFUNCTION("""COMPUTED_VALUE"""),"ME0140000039")</f>
        <v>ME0140000039</v>
      </c>
      <c r="D96" s="1" t="str">
        <f ca="1">IFERROR(__xludf.DUMMYFUNCTION("""COMPUTED_VALUE"""),"All/BA")</f>
        <v>All/BA</v>
      </c>
      <c r="E96" s="1" t="str">
        <f ca="1">IFERROR(__xludf.DUMMYFUNCTION("""COMPUTED_VALUE"""),"p1/庫存")</f>
        <v>p1/庫存</v>
      </c>
      <c r="F96" s="1">
        <f ca="1">IFERROR(__xludf.DUMMYFUNCTION("""COMPUTED_VALUE"""),1)</f>
        <v>1</v>
      </c>
      <c r="G96" s="1"/>
      <c r="H96" s="1" t="str">
        <f ca="1">IFERROR(__xludf.DUMMYFUNCTION("""COMPUTED_VALUE"""),"P1_017")</f>
        <v>P1_017</v>
      </c>
      <c r="I96" s="1" t="str">
        <f ca="1">IFERROR(__xludf.DUMMYFUNCTION("""COMPUTED_VALUE"""),"Barry")</f>
        <v>Barry</v>
      </c>
    </row>
    <row r="97" spans="1:9" ht="12.7" x14ac:dyDescent="0.4">
      <c r="A97" s="2">
        <f ca="1">IFERROR(__xludf.DUMMYFUNCTION("""COMPUTED_VALUE"""),45230.7214031134)</f>
        <v>45230.721403113399</v>
      </c>
      <c r="B97" s="1" t="str">
        <f ca="1">IFERROR(__xludf.DUMMYFUNCTION("""COMPUTED_VALUE"""),"返修")</f>
        <v>返修</v>
      </c>
      <c r="C97" s="1" t="str">
        <f ca="1">IFERROR(__xludf.DUMMYFUNCTION("""COMPUTED_VALUE"""),"ME0020000525")</f>
        <v>ME0020000525</v>
      </c>
      <c r="D97" s="1" t="str">
        <f ca="1">IFERROR(__xludf.DUMMYFUNCTION("""COMPUTED_VALUE"""),"All/共用")</f>
        <v>All/共用</v>
      </c>
      <c r="E97" s="1" t="str">
        <f ca="1">IFERROR(__xludf.DUMMYFUNCTION("""COMPUTED_VALUE"""),"p1/庫存")</f>
        <v>p1/庫存</v>
      </c>
      <c r="F97" s="1">
        <f ca="1">IFERROR(__xludf.DUMMYFUNCTION("""COMPUTED_VALUE"""),1)</f>
        <v>1</v>
      </c>
      <c r="G97" s="1"/>
      <c r="H97" s="1" t="str">
        <f ca="1">IFERROR(__xludf.DUMMYFUNCTION("""COMPUTED_VALUE"""),"P1")</f>
        <v>P1</v>
      </c>
      <c r="I97" s="1" t="str">
        <f ca="1">IFERROR(__xludf.DUMMYFUNCTION("""COMPUTED_VALUE"""),"Chiao Yu")</f>
        <v>Chiao Yu</v>
      </c>
    </row>
    <row r="98" spans="1:9" ht="12.7" x14ac:dyDescent="0.4">
      <c r="A98" s="2">
        <f ca="1">IFERROR(__xludf.DUMMYFUNCTION("""COMPUTED_VALUE"""),45231.3549875694)</f>
        <v>45231.354987569401</v>
      </c>
      <c r="B98" s="1" t="str">
        <f ca="1">IFERROR(__xludf.DUMMYFUNCTION("""COMPUTED_VALUE"""),"領料")</f>
        <v>領料</v>
      </c>
      <c r="C98" s="1" t="str">
        <f ca="1">IFERROR(__xludf.DUMMYFUNCTION("""COMPUTED_VALUE"""),"MM0260000077")</f>
        <v>MM0260000077</v>
      </c>
      <c r="D98" s="1" t="str">
        <f ca="1">IFERROR(__xludf.DUMMYFUNCTION("""COMPUTED_VALUE"""),"All/BA")</f>
        <v>All/BA</v>
      </c>
      <c r="E98" s="1" t="str">
        <f ca="1">IFERROR(__xludf.DUMMYFUNCTION("""COMPUTED_VALUE"""),"p2/庫存")</f>
        <v>p2/庫存</v>
      </c>
      <c r="F98" s="1">
        <f ca="1">IFERROR(__xludf.DUMMYFUNCTION("""COMPUTED_VALUE"""),60)</f>
        <v>60</v>
      </c>
      <c r="G98" s="1"/>
      <c r="H98" s="1" t="str">
        <f ca="1">IFERROR(__xludf.DUMMYFUNCTION("""COMPUTED_VALUE"""),"P2")</f>
        <v>P2</v>
      </c>
      <c r="I98" s="1" t="str">
        <f ca="1">IFERROR(__xludf.DUMMYFUNCTION("""COMPUTED_VALUE"""),"Chiao Yu")</f>
        <v>Chiao Yu</v>
      </c>
    </row>
    <row r="99" spans="1:9" ht="12.7" x14ac:dyDescent="0.4">
      <c r="A99" s="2">
        <f ca="1">IFERROR(__xludf.DUMMYFUNCTION("""COMPUTED_VALUE"""),45231.3574648958)</f>
        <v>45231.357464895802</v>
      </c>
      <c r="B99" s="1" t="str">
        <f ca="1">IFERROR(__xludf.DUMMYFUNCTION("""COMPUTED_VALUE"""),"送修")</f>
        <v>送修</v>
      </c>
      <c r="C99" s="1" t="str">
        <f ca="1">IFERROR(__xludf.DUMMYFUNCTION("""COMPUTED_VALUE"""),"ME0070000140")</f>
        <v>ME0070000140</v>
      </c>
      <c r="D99" s="1" t="str">
        <f ca="1">IFERROR(__xludf.DUMMYFUNCTION("""COMPUTED_VALUE"""),"All/BA")</f>
        <v>All/BA</v>
      </c>
      <c r="E99" s="1" t="str">
        <f ca="1">IFERROR(__xludf.DUMMYFUNCTION("""COMPUTED_VALUE"""),"p2/庫存")</f>
        <v>p2/庫存</v>
      </c>
      <c r="F99" s="1">
        <f ca="1">IFERROR(__xludf.DUMMYFUNCTION("""COMPUTED_VALUE"""),1)</f>
        <v>1</v>
      </c>
      <c r="G99" s="1" t="str">
        <f ca="1">IFERROR(__xludf.DUMMYFUNCTION("""COMPUTED_VALUE"""),"100A-2522C0108-2208")</f>
        <v>100A-2522C0108-2208</v>
      </c>
      <c r="H99" s="1" t="str">
        <f ca="1">IFERROR(__xludf.DUMMYFUNCTION("""COMPUTED_VALUE"""),"P2_032")</f>
        <v>P2_032</v>
      </c>
      <c r="I99" s="1" t="str">
        <f ca="1">IFERROR(__xludf.DUMMYFUNCTION("""COMPUTED_VALUE"""),"Simon")</f>
        <v>Simon</v>
      </c>
    </row>
    <row r="100" spans="1:9" ht="12.7" x14ac:dyDescent="0.4">
      <c r="A100" s="2">
        <f ca="1">IFERROR(__xludf.DUMMYFUNCTION("""COMPUTED_VALUE"""),45231.3582574421)</f>
        <v>45231.358257442102</v>
      </c>
      <c r="B100" s="1" t="str">
        <f ca="1">IFERROR(__xludf.DUMMYFUNCTION("""COMPUTED_VALUE"""),"料件上線時間")</f>
        <v>料件上線時間</v>
      </c>
      <c r="C100" s="1" t="str">
        <f ca="1">IFERROR(__xludf.DUMMYFUNCTION("""COMPUTED_VALUE"""),"ME0070000140")</f>
        <v>ME0070000140</v>
      </c>
      <c r="D100" s="1" t="str">
        <f ca="1">IFERROR(__xludf.DUMMYFUNCTION("""COMPUTED_VALUE"""),"All/BA")</f>
        <v>All/BA</v>
      </c>
      <c r="E100" s="1" t="str">
        <f ca="1">IFERROR(__xludf.DUMMYFUNCTION("""COMPUTED_VALUE"""),"p2/庫存")</f>
        <v>p2/庫存</v>
      </c>
      <c r="F100" s="1">
        <f ca="1">IFERROR(__xludf.DUMMYFUNCTION("""COMPUTED_VALUE"""),1)</f>
        <v>1</v>
      </c>
      <c r="G100" s="1" t="str">
        <f ca="1">IFERROR(__xludf.DUMMYFUNCTION("""COMPUTED_VALUE"""),"100A-2522G0008-2302")</f>
        <v>100A-2522G0008-2302</v>
      </c>
      <c r="H100" s="1" t="str">
        <f ca="1">IFERROR(__xludf.DUMMYFUNCTION("""COMPUTED_VALUE"""),"P2_032")</f>
        <v>P2_032</v>
      </c>
      <c r="I100" s="1" t="str">
        <f ca="1">IFERROR(__xludf.DUMMYFUNCTION("""COMPUTED_VALUE"""),"Simon")</f>
        <v>Simon</v>
      </c>
    </row>
    <row r="101" spans="1:9" ht="12.7" x14ac:dyDescent="0.4">
      <c r="A101" s="2">
        <f ca="1">IFERROR(__xludf.DUMMYFUNCTION("""COMPUTED_VALUE"""),45231.3596875)</f>
        <v>45231.3596875</v>
      </c>
      <c r="B101" s="1" t="str">
        <f ca="1">IFERROR(__xludf.DUMMYFUNCTION("""COMPUTED_VALUE"""),"送修")</f>
        <v>送修</v>
      </c>
      <c r="C101" s="1" t="str">
        <f ca="1">IFERROR(__xludf.DUMMYFUNCTION("""COMPUTED_VALUE"""),"ME0060000270")</f>
        <v>ME0060000270</v>
      </c>
      <c r="D101" s="1" t="str">
        <f ca="1">IFERROR(__xludf.DUMMYFUNCTION("""COMPUTED_VALUE"""),"All/共用")</f>
        <v>All/共用</v>
      </c>
      <c r="E101" s="1" t="str">
        <f ca="1">IFERROR(__xludf.DUMMYFUNCTION("""COMPUTED_VALUE"""),"p2/庫存")</f>
        <v>p2/庫存</v>
      </c>
      <c r="F101" s="1">
        <f ca="1">IFERROR(__xludf.DUMMYFUNCTION("""COMPUTED_VALUE"""),1)</f>
        <v>1</v>
      </c>
      <c r="G101" s="1"/>
      <c r="H101" s="1" t="str">
        <f ca="1">IFERROR(__xludf.DUMMYFUNCTION("""COMPUTED_VALUE"""),"P2_058")</f>
        <v>P2_058</v>
      </c>
      <c r="I101" s="1" t="str">
        <f ca="1">IFERROR(__xludf.DUMMYFUNCTION("""COMPUTED_VALUE"""),"Simon")</f>
        <v>Simon</v>
      </c>
    </row>
    <row r="102" spans="1:9" ht="12.7" x14ac:dyDescent="0.4">
      <c r="A102" s="2">
        <f ca="1">IFERROR(__xludf.DUMMYFUNCTION("""COMPUTED_VALUE"""),45231.8829505324)</f>
        <v>45231.882950532403</v>
      </c>
      <c r="B102" s="1" t="str">
        <f ca="1">IFERROR(__xludf.DUMMYFUNCTION("""COMPUTED_VALUE"""),"料件上線時間")</f>
        <v>料件上線時間</v>
      </c>
      <c r="C102" s="1" t="str">
        <f ca="1">IFERROR(__xludf.DUMMYFUNCTION("""COMPUTED_VALUE"""),"ME0160000073")</f>
        <v>ME0160000073</v>
      </c>
      <c r="D102" s="1" t="str">
        <f ca="1">IFERROR(__xludf.DUMMYFUNCTION("""COMPUTED_VALUE"""),"All/BA")</f>
        <v>All/BA</v>
      </c>
      <c r="E102" s="1" t="str">
        <f ca="1">IFERROR(__xludf.DUMMYFUNCTION("""COMPUTED_VALUE"""),"p2/庫存")</f>
        <v>p2/庫存</v>
      </c>
      <c r="F102" s="1">
        <f ca="1">IFERROR(__xludf.DUMMYFUNCTION("""COMPUTED_VALUE"""),1)</f>
        <v>1</v>
      </c>
      <c r="G102" s="1" t="str">
        <f ca="1">IFERROR(__xludf.DUMMYFUNCTION("""COMPUTED_VALUE"""),"B1312004")</f>
        <v>B1312004</v>
      </c>
      <c r="H102" s="1" t="str">
        <f ca="1">IFERROR(__xludf.DUMMYFUNCTION("""COMPUTED_VALUE"""),"P2_039")</f>
        <v>P2_039</v>
      </c>
      <c r="I102" s="1" t="str">
        <f ca="1">IFERROR(__xludf.DUMMYFUNCTION("""COMPUTED_VALUE"""),"Simon")</f>
        <v>Simon</v>
      </c>
    </row>
    <row r="103" spans="1:9" ht="12.7" x14ac:dyDescent="0.4">
      <c r="A103" s="2">
        <f ca="1">IFERROR(__xludf.DUMMYFUNCTION("""COMPUTED_VALUE"""),45231.884013287)</f>
        <v>45231.884013287003</v>
      </c>
      <c r="B103" s="1" t="str">
        <f ca="1">IFERROR(__xludf.DUMMYFUNCTION("""COMPUTED_VALUE"""),"料件上線時間")</f>
        <v>料件上線時間</v>
      </c>
      <c r="C103" s="1" t="str">
        <f ca="1">IFERROR(__xludf.DUMMYFUNCTION("""COMPUTED_VALUE"""),"ME0160000073")</f>
        <v>ME0160000073</v>
      </c>
      <c r="D103" s="1" t="str">
        <f ca="1">IFERROR(__xludf.DUMMYFUNCTION("""COMPUTED_VALUE"""),"All/BA")</f>
        <v>All/BA</v>
      </c>
      <c r="E103" s="1" t="str">
        <f ca="1">IFERROR(__xludf.DUMMYFUNCTION("""COMPUTED_VALUE"""),"p2/庫存")</f>
        <v>p2/庫存</v>
      </c>
      <c r="F103" s="1">
        <f ca="1">IFERROR(__xludf.DUMMYFUNCTION("""COMPUTED_VALUE"""),1)</f>
        <v>1</v>
      </c>
      <c r="G103" s="1" t="str">
        <f ca="1">IFERROR(__xludf.DUMMYFUNCTION("""COMPUTED_VALUE"""),"B2306424")</f>
        <v>B2306424</v>
      </c>
      <c r="H103" s="1" t="str">
        <f ca="1">IFERROR(__xludf.DUMMYFUNCTION("""COMPUTED_VALUE"""),"P2_040")</f>
        <v>P2_040</v>
      </c>
      <c r="I103" s="1" t="str">
        <f ca="1">IFERROR(__xludf.DUMMYFUNCTION("""COMPUTED_VALUE"""),"Simon")</f>
        <v>Simon</v>
      </c>
    </row>
    <row r="104" spans="1:9" ht="12.7" x14ac:dyDescent="0.4">
      <c r="A104" s="2">
        <f ca="1">IFERROR(__xludf.DUMMYFUNCTION("""COMPUTED_VALUE"""),45231.8850258333)</f>
        <v>45231.885025833297</v>
      </c>
      <c r="B104" s="1" t="str">
        <f ca="1">IFERROR(__xludf.DUMMYFUNCTION("""COMPUTED_VALUE"""),"料件上線時間")</f>
        <v>料件上線時間</v>
      </c>
      <c r="C104" s="1" t="str">
        <f ca="1">IFERROR(__xludf.DUMMYFUNCTION("""COMPUTED_VALUE"""),"ME0160000073")</f>
        <v>ME0160000073</v>
      </c>
      <c r="D104" s="1" t="str">
        <f ca="1">IFERROR(__xludf.DUMMYFUNCTION("""COMPUTED_VALUE"""),"All/BA")</f>
        <v>All/BA</v>
      </c>
      <c r="E104" s="1" t="str">
        <f ca="1">IFERROR(__xludf.DUMMYFUNCTION("""COMPUTED_VALUE"""),"p2/庫存")</f>
        <v>p2/庫存</v>
      </c>
      <c r="F104" s="1">
        <f ca="1">IFERROR(__xludf.DUMMYFUNCTION("""COMPUTED_VALUE"""),1)</f>
        <v>1</v>
      </c>
      <c r="G104" s="1" t="str">
        <f ca="1">IFERROR(__xludf.DUMMYFUNCTION("""COMPUTED_VALUE"""),"B1409079")</f>
        <v>B1409079</v>
      </c>
      <c r="H104" s="1" t="str">
        <f ca="1">IFERROR(__xludf.DUMMYFUNCTION("""COMPUTED_VALUE"""),"P2_041")</f>
        <v>P2_041</v>
      </c>
      <c r="I104" s="1" t="str">
        <f ca="1">IFERROR(__xludf.DUMMYFUNCTION("""COMPUTED_VALUE"""),"Simon")</f>
        <v>Simon</v>
      </c>
    </row>
    <row r="105" spans="1:9" ht="12.7" x14ac:dyDescent="0.4">
      <c r="A105" s="2">
        <f ca="1">IFERROR(__xludf.DUMMYFUNCTION("""COMPUTED_VALUE"""),45231.8860084027)</f>
        <v>45231.886008402696</v>
      </c>
      <c r="B105" s="1" t="str">
        <f ca="1">IFERROR(__xludf.DUMMYFUNCTION("""COMPUTED_VALUE"""),"料件上線時間")</f>
        <v>料件上線時間</v>
      </c>
      <c r="C105" s="1" t="str">
        <f ca="1">IFERROR(__xludf.DUMMYFUNCTION("""COMPUTED_VALUE"""),"ME0160000073")</f>
        <v>ME0160000073</v>
      </c>
      <c r="D105" s="1" t="str">
        <f ca="1">IFERROR(__xludf.DUMMYFUNCTION("""COMPUTED_VALUE"""),"All/BA")</f>
        <v>All/BA</v>
      </c>
      <c r="E105" s="1" t="str">
        <f ca="1">IFERROR(__xludf.DUMMYFUNCTION("""COMPUTED_VALUE"""),"p2/庫存")</f>
        <v>p2/庫存</v>
      </c>
      <c r="F105" s="1">
        <f ca="1">IFERROR(__xludf.DUMMYFUNCTION("""COMPUTED_VALUE"""),1)</f>
        <v>1</v>
      </c>
      <c r="G105" s="1" t="str">
        <f ca="1">IFERROR(__xludf.DUMMYFUNCTION("""COMPUTED_VALUE"""),"B2211409")</f>
        <v>B2211409</v>
      </c>
      <c r="H105" s="1" t="str">
        <f ca="1">IFERROR(__xludf.DUMMYFUNCTION("""COMPUTED_VALUE"""),"P2_046")</f>
        <v>P2_046</v>
      </c>
      <c r="I105" s="1" t="str">
        <f ca="1">IFERROR(__xludf.DUMMYFUNCTION("""COMPUTED_VALUE"""),"Simon")</f>
        <v>Simon</v>
      </c>
    </row>
    <row r="106" spans="1:9" ht="12.7" x14ac:dyDescent="0.4">
      <c r="A106" s="2">
        <f ca="1">IFERROR(__xludf.DUMMYFUNCTION("""COMPUTED_VALUE"""),45231.8871589583)</f>
        <v>45231.8871589583</v>
      </c>
      <c r="B106" s="1" t="str">
        <f ca="1">IFERROR(__xludf.DUMMYFUNCTION("""COMPUTED_VALUE"""),"料件上線時間")</f>
        <v>料件上線時間</v>
      </c>
      <c r="C106" s="1" t="str">
        <f ca="1">IFERROR(__xludf.DUMMYFUNCTION("""COMPUTED_VALUE"""),"ME0160000073")</f>
        <v>ME0160000073</v>
      </c>
      <c r="D106" s="1" t="str">
        <f ca="1">IFERROR(__xludf.DUMMYFUNCTION("""COMPUTED_VALUE"""),"All/BA")</f>
        <v>All/BA</v>
      </c>
      <c r="E106" s="1" t="str">
        <f ca="1">IFERROR(__xludf.DUMMYFUNCTION("""COMPUTED_VALUE"""),"p2/庫存")</f>
        <v>p2/庫存</v>
      </c>
      <c r="F106" s="1">
        <f ca="1">IFERROR(__xludf.DUMMYFUNCTION("""COMPUTED_VALUE"""),1)</f>
        <v>1</v>
      </c>
      <c r="G106" s="1" t="str">
        <f ca="1">IFERROR(__xludf.DUMMYFUNCTION("""COMPUTED_VALUE"""),"B2306425")</f>
        <v>B2306425</v>
      </c>
      <c r="H106" s="1" t="str">
        <f ca="1">IFERROR(__xludf.DUMMYFUNCTION("""COMPUTED_VALUE"""),"P2_047")</f>
        <v>P2_047</v>
      </c>
      <c r="I106" s="1" t="str">
        <f ca="1">IFERROR(__xludf.DUMMYFUNCTION("""COMPUTED_VALUE"""),"Simon")</f>
        <v>Simon</v>
      </c>
    </row>
    <row r="107" spans="1:9" ht="12.7" x14ac:dyDescent="0.4">
      <c r="A107" s="2">
        <f ca="1">IFERROR(__xludf.DUMMYFUNCTION("""COMPUTED_VALUE"""),45231.8879671759)</f>
        <v>45231.887967175899</v>
      </c>
      <c r="B107" s="1" t="str">
        <f ca="1">IFERROR(__xludf.DUMMYFUNCTION("""COMPUTED_VALUE"""),"料件上線時間")</f>
        <v>料件上線時間</v>
      </c>
      <c r="C107" s="1" t="str">
        <f ca="1">IFERROR(__xludf.DUMMYFUNCTION("""COMPUTED_VALUE"""),"ME0160000073")</f>
        <v>ME0160000073</v>
      </c>
      <c r="D107" s="1" t="str">
        <f ca="1">IFERROR(__xludf.DUMMYFUNCTION("""COMPUTED_VALUE"""),"All/BA")</f>
        <v>All/BA</v>
      </c>
      <c r="E107" s="1" t="str">
        <f ca="1">IFERROR(__xludf.DUMMYFUNCTION("""COMPUTED_VALUE"""),"p2/庫存")</f>
        <v>p2/庫存</v>
      </c>
      <c r="F107" s="1">
        <f ca="1">IFERROR(__xludf.DUMMYFUNCTION("""COMPUTED_VALUE"""),1)</f>
        <v>1</v>
      </c>
      <c r="G107" s="1" t="str">
        <f ca="1">IFERROR(__xludf.DUMMYFUNCTION("""COMPUTED_VALUE"""),"B2206376")</f>
        <v>B2206376</v>
      </c>
      <c r="H107" s="1" t="str">
        <f ca="1">IFERROR(__xludf.DUMMYFUNCTION("""COMPUTED_VALUE"""),"P2_048")</f>
        <v>P2_048</v>
      </c>
      <c r="I107" s="1" t="str">
        <f ca="1">IFERROR(__xludf.DUMMYFUNCTION("""COMPUTED_VALUE"""),"Simon")</f>
        <v>Simon</v>
      </c>
    </row>
    <row r="108" spans="1:9" ht="12.7" x14ac:dyDescent="0.4">
      <c r="A108" s="2">
        <f ca="1">IFERROR(__xludf.DUMMYFUNCTION("""COMPUTED_VALUE"""),45231.8892546875)</f>
        <v>45231.889254687499</v>
      </c>
      <c r="B108" s="1" t="str">
        <f ca="1">IFERROR(__xludf.DUMMYFUNCTION("""COMPUTED_VALUE"""),"料件上線時間")</f>
        <v>料件上線時間</v>
      </c>
      <c r="C108" s="1" t="str">
        <f ca="1">IFERROR(__xludf.DUMMYFUNCTION("""COMPUTED_VALUE"""),"ME0160000073")</f>
        <v>ME0160000073</v>
      </c>
      <c r="D108" s="1" t="str">
        <f ca="1">IFERROR(__xludf.DUMMYFUNCTION("""COMPUTED_VALUE"""),"All/BA")</f>
        <v>All/BA</v>
      </c>
      <c r="E108" s="1" t="str">
        <f ca="1">IFERROR(__xludf.DUMMYFUNCTION("""COMPUTED_VALUE"""),"p2/庫存")</f>
        <v>p2/庫存</v>
      </c>
      <c r="F108" s="1">
        <f ca="1">IFERROR(__xludf.DUMMYFUNCTION("""COMPUTED_VALUE"""),1)</f>
        <v>1</v>
      </c>
      <c r="G108" s="1" t="str">
        <f ca="1">IFERROR(__xludf.DUMMYFUNCTION("""COMPUTED_VALUE"""),"B2306450")</f>
        <v>B2306450</v>
      </c>
      <c r="H108" s="1" t="str">
        <f ca="1">IFERROR(__xludf.DUMMYFUNCTION("""COMPUTED_VALUE"""),"P2_049")</f>
        <v>P2_049</v>
      </c>
      <c r="I108" s="1" t="str">
        <f ca="1">IFERROR(__xludf.DUMMYFUNCTION("""COMPUTED_VALUE"""),"Simon")</f>
        <v>Simon</v>
      </c>
    </row>
    <row r="109" spans="1:9" ht="12.7" x14ac:dyDescent="0.4">
      <c r="A109" s="2">
        <f ca="1">IFERROR(__xludf.DUMMYFUNCTION("""COMPUTED_VALUE"""),45232.3111121759)</f>
        <v>45232.311112175899</v>
      </c>
      <c r="B109" s="1" t="str">
        <f ca="1">IFERROR(__xludf.DUMMYFUNCTION("""COMPUTED_VALUE"""),"庫存調整")</f>
        <v>庫存調整</v>
      </c>
      <c r="C109" s="1" t="str">
        <f ca="1">IFERROR(__xludf.DUMMYFUNCTION("""COMPUTED_VALUE"""),"ME0160000073")</f>
        <v>ME0160000073</v>
      </c>
      <c r="D109" s="1" t="str">
        <f ca="1">IFERROR(__xludf.DUMMYFUNCTION("""COMPUTED_VALUE"""),"All/BA")</f>
        <v>All/BA</v>
      </c>
      <c r="E109" s="1" t="str">
        <f ca="1">IFERROR(__xludf.DUMMYFUNCTION("""COMPUTED_VALUE"""),"p1/庫存")</f>
        <v>p1/庫存</v>
      </c>
      <c r="F109" s="1">
        <f ca="1">IFERROR(__xludf.DUMMYFUNCTION("""COMPUTED_VALUE"""),-1)</f>
        <v>-1</v>
      </c>
      <c r="G109" s="1"/>
      <c r="H109" s="1" t="str">
        <f ca="1">IFERROR(__xludf.DUMMYFUNCTION("""COMPUTED_VALUE"""),"P1")</f>
        <v>P1</v>
      </c>
      <c r="I109" s="1" t="str">
        <f ca="1">IFERROR(__xludf.DUMMYFUNCTION("""COMPUTED_VALUE"""),"Simon")</f>
        <v>Simon</v>
      </c>
    </row>
    <row r="110" spans="1:9" ht="12.7" x14ac:dyDescent="0.4">
      <c r="A110" s="2">
        <f ca="1">IFERROR(__xludf.DUMMYFUNCTION("""COMPUTED_VALUE"""),45232.3119771643)</f>
        <v>45232.311977164303</v>
      </c>
      <c r="B110" s="1" t="str">
        <f ca="1">IFERROR(__xludf.DUMMYFUNCTION("""COMPUTED_VALUE"""),"庫存調整")</f>
        <v>庫存調整</v>
      </c>
      <c r="C110" s="1" t="str">
        <f ca="1">IFERROR(__xludf.DUMMYFUNCTION("""COMPUTED_VALUE"""),"ME0160000073")</f>
        <v>ME0160000073</v>
      </c>
      <c r="D110" s="1" t="str">
        <f ca="1">IFERROR(__xludf.DUMMYFUNCTION("""COMPUTED_VALUE"""),"All/BA")</f>
        <v>All/BA</v>
      </c>
      <c r="E110" s="1" t="str">
        <f ca="1">IFERROR(__xludf.DUMMYFUNCTION("""COMPUTED_VALUE"""),"p2/庫存")</f>
        <v>p2/庫存</v>
      </c>
      <c r="F110" s="1">
        <f ca="1">IFERROR(__xludf.DUMMYFUNCTION("""COMPUTED_VALUE"""),1)</f>
        <v>1</v>
      </c>
      <c r="G110" s="1"/>
      <c r="H110" s="1" t="str">
        <f ca="1">IFERROR(__xludf.DUMMYFUNCTION("""COMPUTED_VALUE"""),"P2")</f>
        <v>P2</v>
      </c>
      <c r="I110" s="1" t="str">
        <f ca="1">IFERROR(__xludf.DUMMYFUNCTION("""COMPUTED_VALUE"""),"Simon")</f>
        <v>Simon</v>
      </c>
    </row>
    <row r="111" spans="1:9" ht="12.7" x14ac:dyDescent="0.4">
      <c r="A111" s="2">
        <f ca="1">IFERROR(__xludf.DUMMYFUNCTION("""COMPUTED_VALUE"""),45237.5787318171)</f>
        <v>45237.578731817099</v>
      </c>
      <c r="B111" s="1" t="str">
        <f ca="1">IFERROR(__xludf.DUMMYFUNCTION("""COMPUTED_VALUE"""),"進貨")</f>
        <v>進貨</v>
      </c>
      <c r="C111" s="1" t="str">
        <f ca="1">IFERROR(__xludf.DUMMYFUNCTION("""COMPUTED_VALUE"""),"ME0140000039")</f>
        <v>ME0140000039</v>
      </c>
      <c r="D111" s="1" t="str">
        <f ca="1">IFERROR(__xludf.DUMMYFUNCTION("""COMPUTED_VALUE"""),"All/BA")</f>
        <v>All/BA</v>
      </c>
      <c r="E111" s="1" t="str">
        <f ca="1">IFERROR(__xludf.DUMMYFUNCTION("""COMPUTED_VALUE"""),"p1/庫存")</f>
        <v>p1/庫存</v>
      </c>
      <c r="F111" s="1">
        <f ca="1">IFERROR(__xludf.DUMMYFUNCTION("""COMPUTED_VALUE"""),1)</f>
        <v>1</v>
      </c>
      <c r="G111" s="1"/>
      <c r="H111" s="1" t="str">
        <f ca="1">IFERROR(__xludf.DUMMYFUNCTION("""COMPUTED_VALUE"""),"P1")</f>
        <v>P1</v>
      </c>
      <c r="I111" s="1" t="str">
        <f ca="1">IFERROR(__xludf.DUMMYFUNCTION("""COMPUTED_VALUE"""),"Chiao Yu")</f>
        <v>Chiao Yu</v>
      </c>
    </row>
    <row r="112" spans="1:9" ht="12.7" x14ac:dyDescent="0.4">
      <c r="A112" s="2">
        <f ca="1">IFERROR(__xludf.DUMMYFUNCTION("""COMPUTED_VALUE"""),45237.5796483217)</f>
        <v>45237.579648321698</v>
      </c>
      <c r="B112" s="1" t="str">
        <f ca="1">IFERROR(__xludf.DUMMYFUNCTION("""COMPUTED_VALUE"""),"進貨")</f>
        <v>進貨</v>
      </c>
      <c r="C112" s="1" t="str">
        <f ca="1">IFERROR(__xludf.DUMMYFUNCTION("""COMPUTED_VALUE"""),"ME0270001256")</f>
        <v>ME0270001256</v>
      </c>
      <c r="D112" s="1" t="str">
        <f ca="1">IFERROR(__xludf.DUMMYFUNCTION("""COMPUTED_VALUE"""),"All/共用")</f>
        <v>All/共用</v>
      </c>
      <c r="E112" s="1" t="str">
        <f ca="1">IFERROR(__xludf.DUMMYFUNCTION("""COMPUTED_VALUE"""),"p1/庫存")</f>
        <v>p1/庫存</v>
      </c>
      <c r="F112" s="1">
        <f ca="1">IFERROR(__xludf.DUMMYFUNCTION("""COMPUTED_VALUE"""),2)</f>
        <v>2</v>
      </c>
      <c r="G112" s="1"/>
      <c r="H112" s="1" t="str">
        <f ca="1">IFERROR(__xludf.DUMMYFUNCTION("""COMPUTED_VALUE"""),"P1")</f>
        <v>P1</v>
      </c>
      <c r="I112" s="1" t="str">
        <f ca="1">IFERROR(__xludf.DUMMYFUNCTION("""COMPUTED_VALUE"""),"Chiao Yu")</f>
        <v>Chiao Yu</v>
      </c>
    </row>
    <row r="113" spans="1:9" ht="12.7" x14ac:dyDescent="0.4">
      <c r="A113" s="2">
        <f ca="1">IFERROR(__xludf.DUMMYFUNCTION("""COMPUTED_VALUE"""),45237.5810577893)</f>
        <v>45237.581057789299</v>
      </c>
      <c r="B113" s="1" t="str">
        <f ca="1">IFERROR(__xludf.DUMMYFUNCTION("""COMPUTED_VALUE"""),"進貨")</f>
        <v>進貨</v>
      </c>
      <c r="C113" s="1" t="str">
        <f ca="1">IFERROR(__xludf.DUMMYFUNCTION("""COMPUTED_VALUE"""),"ME0010000296")</f>
        <v>ME0010000296</v>
      </c>
      <c r="D113" s="1" t="str">
        <f ca="1">IFERROR(__xludf.DUMMYFUNCTION("""COMPUTED_VALUE"""),"All/共用")</f>
        <v>All/共用</v>
      </c>
      <c r="E113" s="1" t="str">
        <f ca="1">IFERROR(__xludf.DUMMYFUNCTION("""COMPUTED_VALUE"""),"p1/庫存")</f>
        <v>p1/庫存</v>
      </c>
      <c r="F113" s="1">
        <f ca="1">IFERROR(__xludf.DUMMYFUNCTION("""COMPUTED_VALUE"""),1)</f>
        <v>1</v>
      </c>
      <c r="G113" s="1"/>
      <c r="H113" s="1" t="str">
        <f ca="1">IFERROR(__xludf.DUMMYFUNCTION("""COMPUTED_VALUE"""),"P1")</f>
        <v>P1</v>
      </c>
      <c r="I113" s="1" t="str">
        <f ca="1">IFERROR(__xludf.DUMMYFUNCTION("""COMPUTED_VALUE"""),"Chiao Yu")</f>
        <v>Chiao Yu</v>
      </c>
    </row>
    <row r="114" spans="1:9" ht="12.7" x14ac:dyDescent="0.4">
      <c r="A114" s="2">
        <f ca="1">IFERROR(__xludf.DUMMYFUNCTION("""COMPUTED_VALUE"""),45237.6815325115)</f>
        <v>45237.681532511502</v>
      </c>
      <c r="B114" s="1" t="str">
        <f ca="1">IFERROR(__xludf.DUMMYFUNCTION("""COMPUTED_VALUE"""),"領料")</f>
        <v>領料</v>
      </c>
      <c r="C114" s="1" t="str">
        <f ca="1">IFERROR(__xludf.DUMMYFUNCTION("""COMPUTED_VALUE"""),"MM0010000125")</f>
        <v>MM0010000125</v>
      </c>
      <c r="D114" s="1" t="str">
        <f ca="1">IFERROR(__xludf.DUMMYFUNCTION("""COMPUTED_VALUE"""),"All/RL")</f>
        <v>All/RL</v>
      </c>
      <c r="E114" s="1" t="str">
        <f ca="1">IFERROR(__xludf.DUMMYFUNCTION("""COMPUTED_VALUE"""),"p2/庫存")</f>
        <v>p2/庫存</v>
      </c>
      <c r="F114" s="1">
        <f ca="1">IFERROR(__xludf.DUMMYFUNCTION("""COMPUTED_VALUE"""),1)</f>
        <v>1</v>
      </c>
      <c r="G114" s="1"/>
      <c r="H114" s="1" t="str">
        <f ca="1">IFERROR(__xludf.DUMMYFUNCTION("""COMPUTED_VALUE"""),"P2_102")</f>
        <v>P2_102</v>
      </c>
      <c r="I114" s="1" t="str">
        <f ca="1">IFERROR(__xludf.DUMMYFUNCTION("""COMPUTED_VALUE"""),"Chiao Yu")</f>
        <v>Chiao Yu</v>
      </c>
    </row>
    <row r="115" spans="1:9" ht="12.7" x14ac:dyDescent="0.4">
      <c r="A115" s="2">
        <f ca="1">IFERROR(__xludf.DUMMYFUNCTION("""COMPUTED_VALUE"""),45237.7495649074)</f>
        <v>45237.749564907397</v>
      </c>
      <c r="B115" s="1" t="str">
        <f ca="1">IFERROR(__xludf.DUMMYFUNCTION("""COMPUTED_VALUE"""),"領料")</f>
        <v>領料</v>
      </c>
      <c r="C115" s="1" t="str">
        <f ca="1">IFERROR(__xludf.DUMMYFUNCTION("""COMPUTED_VALUE"""),"ME0010000385")</f>
        <v>ME0010000385</v>
      </c>
      <c r="D115" s="1" t="str">
        <f ca="1">IFERROR(__xludf.DUMMYFUNCTION("""COMPUTED_VALUE"""),"All/共用")</f>
        <v>All/共用</v>
      </c>
      <c r="E115" s="1" t="str">
        <f ca="1">IFERROR(__xludf.DUMMYFUNCTION("""COMPUTED_VALUE"""),"p2/庫存")</f>
        <v>p2/庫存</v>
      </c>
      <c r="F115" s="1">
        <f ca="1">IFERROR(__xludf.DUMMYFUNCTION("""COMPUTED_VALUE"""),2)</f>
        <v>2</v>
      </c>
      <c r="G115" s="1"/>
      <c r="H115" s="1" t="str">
        <f ca="1">IFERROR(__xludf.DUMMYFUNCTION("""COMPUTED_VALUE"""),"P2")</f>
        <v>P2</v>
      </c>
      <c r="I115" s="1" t="str">
        <f ca="1">IFERROR(__xludf.DUMMYFUNCTION("""COMPUTED_VALUE"""),"Chiao Yu")</f>
        <v>Chiao Yu</v>
      </c>
    </row>
    <row r="116" spans="1:9" ht="12.7" x14ac:dyDescent="0.4">
      <c r="A116" s="2">
        <f ca="1">IFERROR(__xludf.DUMMYFUNCTION("""COMPUTED_VALUE"""),45237.7515768634)</f>
        <v>45237.751576863397</v>
      </c>
      <c r="B116" s="1" t="str">
        <f ca="1">IFERROR(__xludf.DUMMYFUNCTION("""COMPUTED_VALUE"""),"庫存調整")</f>
        <v>庫存調整</v>
      </c>
      <c r="C116" s="1" t="str">
        <f ca="1">IFERROR(__xludf.DUMMYFUNCTION("""COMPUTED_VALUE"""),"ME0010000263")</f>
        <v>ME0010000263</v>
      </c>
      <c r="D116" s="1" t="str">
        <f ca="1">IFERROR(__xludf.DUMMYFUNCTION("""COMPUTED_VALUE"""),"All/共用")</f>
        <v>All/共用</v>
      </c>
      <c r="E116" s="1" t="str">
        <f ca="1">IFERROR(__xludf.DUMMYFUNCTION("""COMPUTED_VALUE"""),"p2/庫存")</f>
        <v>p2/庫存</v>
      </c>
      <c r="F116" s="1">
        <f ca="1">IFERROR(__xludf.DUMMYFUNCTION("""COMPUTED_VALUE"""),2)</f>
        <v>2</v>
      </c>
      <c r="G116" s="1"/>
      <c r="H116" s="1" t="str">
        <f ca="1">IFERROR(__xludf.DUMMYFUNCTION("""COMPUTED_VALUE"""),"P2")</f>
        <v>P2</v>
      </c>
      <c r="I116" s="1" t="str">
        <f ca="1">IFERROR(__xludf.DUMMYFUNCTION("""COMPUTED_VALUE"""),"Chiao Yu")</f>
        <v>Chiao Yu</v>
      </c>
    </row>
    <row r="117" spans="1:9" ht="12.7" x14ac:dyDescent="0.4">
      <c r="A117" s="2">
        <f ca="1">IFERROR(__xludf.DUMMYFUNCTION("""COMPUTED_VALUE"""),45238.3951921643)</f>
        <v>45238.395192164302</v>
      </c>
      <c r="B117" s="1" t="str">
        <f ca="1">IFERROR(__xludf.DUMMYFUNCTION("""COMPUTED_VALUE"""),"送修")</f>
        <v>送修</v>
      </c>
      <c r="C117" s="1" t="str">
        <f ca="1">IFERROR(__xludf.DUMMYFUNCTION("""COMPUTED_VALUE"""),"AGT000000005")</f>
        <v>AGT000000005</v>
      </c>
      <c r="D117" s="1" t="str">
        <f ca="1">IFERROR(__xludf.DUMMYFUNCTION("""COMPUTED_VALUE"""),"All/共用")</f>
        <v>All/共用</v>
      </c>
      <c r="E117" s="1" t="str">
        <f ca="1">IFERROR(__xludf.DUMMYFUNCTION("""COMPUTED_VALUE"""),"p2/庫存")</f>
        <v>p2/庫存</v>
      </c>
      <c r="F117" s="1">
        <f ca="1">IFERROR(__xludf.DUMMYFUNCTION("""COMPUTED_VALUE"""),1)</f>
        <v>1</v>
      </c>
      <c r="G117" s="1"/>
      <c r="H117" s="1" t="str">
        <f ca="1">IFERROR(__xludf.DUMMYFUNCTION("""COMPUTED_VALUE"""),"P2_058")</f>
        <v>P2_058</v>
      </c>
      <c r="I117" s="1" t="str">
        <f ca="1">IFERROR(__xludf.DUMMYFUNCTION("""COMPUTED_VALUE"""),"Chiao Yu")</f>
        <v>Chiao Yu</v>
      </c>
    </row>
    <row r="118" spans="1:9" ht="12.7" x14ac:dyDescent="0.4">
      <c r="A118" s="2">
        <f ca="1">IFERROR(__xludf.DUMMYFUNCTION("""COMPUTED_VALUE"""),45238.6709401388)</f>
        <v>45238.6709401388</v>
      </c>
      <c r="B118" s="1" t="str">
        <f ca="1">IFERROR(__xludf.DUMMYFUNCTION("""COMPUTED_VALUE"""),"領料")</f>
        <v>領料</v>
      </c>
      <c r="C118" s="1" t="str">
        <f ca="1">IFERROR(__xludf.DUMMYFUNCTION("""COMPUTED_VALUE"""),"MM0260000249")</f>
        <v>MM0260000249</v>
      </c>
      <c r="D118" s="1" t="str">
        <f ca="1">IFERROR(__xludf.DUMMYFUNCTION("""COMPUTED_VALUE"""),"All/RL")</f>
        <v>All/RL</v>
      </c>
      <c r="E118" s="1" t="str">
        <f ca="1">IFERROR(__xludf.DUMMYFUNCTION("""COMPUTED_VALUE"""),"p2/庫存")</f>
        <v>p2/庫存</v>
      </c>
      <c r="F118" s="1">
        <f ca="1">IFERROR(__xludf.DUMMYFUNCTION("""COMPUTED_VALUE"""),2)</f>
        <v>2</v>
      </c>
      <c r="G118" s="1"/>
      <c r="H118" s="1" t="str">
        <f ca="1">IFERROR(__xludf.DUMMYFUNCTION("""COMPUTED_VALUE"""),"P2")</f>
        <v>P2</v>
      </c>
      <c r="I118" s="1" t="str">
        <f ca="1">IFERROR(__xludf.DUMMYFUNCTION("""COMPUTED_VALUE"""),"Chiao Yu")</f>
        <v>Chiao Yu</v>
      </c>
    </row>
    <row r="119" spans="1:9" ht="12.7" x14ac:dyDescent="0.4">
      <c r="A119" s="2">
        <f ca="1">IFERROR(__xludf.DUMMYFUNCTION("""COMPUTED_VALUE"""),45239.4738691782)</f>
        <v>45239.473869178197</v>
      </c>
      <c r="B119" s="1" t="str">
        <f ca="1">IFERROR(__xludf.DUMMYFUNCTION("""COMPUTED_VALUE"""),"庫存調整")</f>
        <v>庫存調整</v>
      </c>
      <c r="C119" s="1" t="str">
        <f ca="1">IFERROR(__xludf.DUMMYFUNCTION("""COMPUTED_VALUE"""),"AGT000000005")</f>
        <v>AGT000000005</v>
      </c>
      <c r="D119" s="1" t="str">
        <f ca="1">IFERROR(__xludf.DUMMYFUNCTION("""COMPUTED_VALUE"""),"All/共用")</f>
        <v>All/共用</v>
      </c>
      <c r="E119" s="1" t="str">
        <f ca="1">IFERROR(__xludf.DUMMYFUNCTION("""COMPUTED_VALUE"""),"p2/庫存")</f>
        <v>p2/庫存</v>
      </c>
      <c r="F119" s="1">
        <f ca="1">IFERROR(__xludf.DUMMYFUNCTION("""COMPUTED_VALUE"""),1)</f>
        <v>1</v>
      </c>
      <c r="G119" s="1"/>
      <c r="H119" s="1" t="str">
        <f ca="1">IFERROR(__xludf.DUMMYFUNCTION("""COMPUTED_VALUE"""),"P2")</f>
        <v>P2</v>
      </c>
      <c r="I119" s="1" t="str">
        <f ca="1">IFERROR(__xludf.DUMMYFUNCTION("""COMPUTED_VALUE"""),"Chiao Yu")</f>
        <v>Chiao Yu</v>
      </c>
    </row>
    <row r="120" spans="1:9" ht="12.7" x14ac:dyDescent="0.4">
      <c r="A120" s="2">
        <f ca="1">IFERROR(__xludf.DUMMYFUNCTION("""COMPUTED_VALUE"""),45240.2064705787)</f>
        <v>45240.206470578698</v>
      </c>
      <c r="B120" s="1" t="str">
        <f ca="1">IFERROR(__xludf.DUMMYFUNCTION("""COMPUTED_VALUE"""),"庫存調整")</f>
        <v>庫存調整</v>
      </c>
      <c r="C120" s="1" t="str">
        <f ca="1">IFERROR(__xludf.DUMMYFUNCTION("""COMPUTED_VALUE"""),"ME0070000097")</f>
        <v>ME0070000097</v>
      </c>
      <c r="D120" s="1" t="str">
        <f ca="1">IFERROR(__xludf.DUMMYFUNCTION("""COMPUTED_VALUE"""),"All/共用")</f>
        <v>All/共用</v>
      </c>
      <c r="E120" s="1" t="str">
        <f ca="1">IFERROR(__xludf.DUMMYFUNCTION("""COMPUTED_VALUE"""),"p2/庫存")</f>
        <v>p2/庫存</v>
      </c>
      <c r="F120" s="1">
        <f ca="1">IFERROR(__xludf.DUMMYFUNCTION("""COMPUTED_VALUE"""),-12)</f>
        <v>-12</v>
      </c>
      <c r="G120" s="1"/>
      <c r="H120" s="1" t="str">
        <f ca="1">IFERROR(__xludf.DUMMYFUNCTION("""COMPUTED_VALUE"""),"P2")</f>
        <v>P2</v>
      </c>
      <c r="I120" s="1" t="str">
        <f ca="1">IFERROR(__xludf.DUMMYFUNCTION("""COMPUTED_VALUE"""),"Simon")</f>
        <v>Simon</v>
      </c>
    </row>
    <row r="121" spans="1:9" ht="12.7" x14ac:dyDescent="0.4">
      <c r="A121" s="2">
        <f ca="1">IFERROR(__xludf.DUMMYFUNCTION("""COMPUTED_VALUE"""),45240.2077294444)</f>
        <v>45240.207729444403</v>
      </c>
      <c r="B121" s="1" t="str">
        <f ca="1">IFERROR(__xludf.DUMMYFUNCTION("""COMPUTED_VALUE"""),"庫存調整")</f>
        <v>庫存調整</v>
      </c>
      <c r="C121" s="1" t="str">
        <f ca="1">IFERROR(__xludf.DUMMYFUNCTION("""COMPUTED_VALUE"""),"ME0070000052")</f>
        <v>ME0070000052</v>
      </c>
      <c r="D121" s="1" t="str">
        <f ca="1">IFERROR(__xludf.DUMMYFUNCTION("""COMPUTED_VALUE"""),"All/共用")</f>
        <v>All/共用</v>
      </c>
      <c r="E121" s="1" t="str">
        <f ca="1">IFERROR(__xludf.DUMMYFUNCTION("""COMPUTED_VALUE"""),"p2/庫存")</f>
        <v>p2/庫存</v>
      </c>
      <c r="F121" s="1">
        <f ca="1">IFERROR(__xludf.DUMMYFUNCTION("""COMPUTED_VALUE"""),-12)</f>
        <v>-12</v>
      </c>
      <c r="G121" s="1"/>
      <c r="H121" s="1" t="str">
        <f ca="1">IFERROR(__xludf.DUMMYFUNCTION("""COMPUTED_VALUE"""),"P2")</f>
        <v>P2</v>
      </c>
      <c r="I121" s="1" t="str">
        <f ca="1">IFERROR(__xludf.DUMMYFUNCTION("""COMPUTED_VALUE"""),"Simon")</f>
        <v>Simon</v>
      </c>
    </row>
    <row r="122" spans="1:9" ht="12.7" x14ac:dyDescent="0.4">
      <c r="A122" s="2">
        <f ca="1">IFERROR(__xludf.DUMMYFUNCTION("""COMPUTED_VALUE"""),45240.2097829861)</f>
        <v>45240.209782986101</v>
      </c>
      <c r="B122" s="1" t="str">
        <f ca="1">IFERROR(__xludf.DUMMYFUNCTION("""COMPUTED_VALUE"""),"庫存調整")</f>
        <v>庫存調整</v>
      </c>
      <c r="C122" s="1" t="str">
        <f ca="1">IFERROR(__xludf.DUMMYFUNCTION("""COMPUTED_VALUE"""),"ME0140000048")</f>
        <v>ME0140000048</v>
      </c>
      <c r="D122" s="1" t="str">
        <f ca="1">IFERROR(__xludf.DUMMYFUNCTION("""COMPUTED_VALUE"""),"All/BA")</f>
        <v>All/BA</v>
      </c>
      <c r="E122" s="1" t="str">
        <f ca="1">IFERROR(__xludf.DUMMYFUNCTION("""COMPUTED_VALUE"""),"p2/庫存")</f>
        <v>p2/庫存</v>
      </c>
      <c r="F122" s="1">
        <f ca="1">IFERROR(__xludf.DUMMYFUNCTION("""COMPUTED_VALUE"""),-15)</f>
        <v>-15</v>
      </c>
      <c r="G122" s="1"/>
      <c r="H122" s="1" t="str">
        <f ca="1">IFERROR(__xludf.DUMMYFUNCTION("""COMPUTED_VALUE"""),"P2")</f>
        <v>P2</v>
      </c>
      <c r="I122" s="1" t="str">
        <f ca="1">IFERROR(__xludf.DUMMYFUNCTION("""COMPUTED_VALUE"""),"Simon")</f>
        <v>Simon</v>
      </c>
    </row>
    <row r="123" spans="1:9" ht="12.7" x14ac:dyDescent="0.4">
      <c r="A123" s="2">
        <f ca="1">IFERROR(__xludf.DUMMYFUNCTION("""COMPUTED_VALUE"""),45240.2916477199)</f>
        <v>45240.291647719903</v>
      </c>
      <c r="B123" s="1" t="str">
        <f ca="1">IFERROR(__xludf.DUMMYFUNCTION("""COMPUTED_VALUE"""),"庫存調整")</f>
        <v>庫存調整</v>
      </c>
      <c r="C123" s="1" t="str">
        <f ca="1">IFERROR(__xludf.DUMMYFUNCTION("""COMPUTED_VALUE"""),"ME0070000097")</f>
        <v>ME0070000097</v>
      </c>
      <c r="D123" s="1" t="str">
        <f ca="1">IFERROR(__xludf.DUMMYFUNCTION("""COMPUTED_VALUE"""),"All/共用")</f>
        <v>All/共用</v>
      </c>
      <c r="E123" s="1" t="str">
        <f ca="1">IFERROR(__xludf.DUMMYFUNCTION("""COMPUTED_VALUE"""),"p1/庫存")</f>
        <v>p1/庫存</v>
      </c>
      <c r="F123" s="1">
        <f ca="1">IFERROR(__xludf.DUMMYFUNCTION("""COMPUTED_VALUE"""),-12)</f>
        <v>-12</v>
      </c>
      <c r="G123" s="1"/>
      <c r="H123" s="1" t="str">
        <f ca="1">IFERROR(__xludf.DUMMYFUNCTION("""COMPUTED_VALUE"""),"P1")</f>
        <v>P1</v>
      </c>
      <c r="I123" s="1" t="str">
        <f ca="1">IFERROR(__xludf.DUMMYFUNCTION("""COMPUTED_VALUE"""),"Simon")</f>
        <v>Simon</v>
      </c>
    </row>
    <row r="124" spans="1:9" ht="12.7" x14ac:dyDescent="0.4">
      <c r="A124" s="2">
        <f ca="1">IFERROR(__xludf.DUMMYFUNCTION("""COMPUTED_VALUE"""),45240.2925476041)</f>
        <v>45240.292547604098</v>
      </c>
      <c r="B124" s="1" t="str">
        <f ca="1">IFERROR(__xludf.DUMMYFUNCTION("""COMPUTED_VALUE"""),"庫存調整")</f>
        <v>庫存調整</v>
      </c>
      <c r="C124" s="1" t="str">
        <f ca="1">IFERROR(__xludf.DUMMYFUNCTION("""COMPUTED_VALUE"""),"ME0070000052")</f>
        <v>ME0070000052</v>
      </c>
      <c r="D124" s="1" t="str">
        <f ca="1">IFERROR(__xludf.DUMMYFUNCTION("""COMPUTED_VALUE"""),"All/共用")</f>
        <v>All/共用</v>
      </c>
      <c r="E124" s="1" t="str">
        <f ca="1">IFERROR(__xludf.DUMMYFUNCTION("""COMPUTED_VALUE"""),"p1/庫存")</f>
        <v>p1/庫存</v>
      </c>
      <c r="F124" s="1">
        <f ca="1">IFERROR(__xludf.DUMMYFUNCTION("""COMPUTED_VALUE"""),-12)</f>
        <v>-12</v>
      </c>
      <c r="G124" s="1"/>
      <c r="H124" s="1" t="str">
        <f ca="1">IFERROR(__xludf.DUMMYFUNCTION("""COMPUTED_VALUE"""),"P1")</f>
        <v>P1</v>
      </c>
      <c r="I124" s="1" t="str">
        <f ca="1">IFERROR(__xludf.DUMMYFUNCTION("""COMPUTED_VALUE"""),"Simon")</f>
        <v>Simon</v>
      </c>
    </row>
    <row r="125" spans="1:9" ht="12.7" x14ac:dyDescent="0.4">
      <c r="A125" s="2">
        <f ca="1">IFERROR(__xludf.DUMMYFUNCTION("""COMPUTED_VALUE"""),45240.2933497685)</f>
        <v>45240.293349768501</v>
      </c>
      <c r="B125" s="1" t="str">
        <f ca="1">IFERROR(__xludf.DUMMYFUNCTION("""COMPUTED_VALUE"""),"庫存調整")</f>
        <v>庫存調整</v>
      </c>
      <c r="C125" s="1" t="str">
        <f ca="1">IFERROR(__xludf.DUMMYFUNCTION("""COMPUTED_VALUE"""),"ME0140000048")</f>
        <v>ME0140000048</v>
      </c>
      <c r="D125" s="1" t="str">
        <f ca="1">IFERROR(__xludf.DUMMYFUNCTION("""COMPUTED_VALUE"""),"All/BA")</f>
        <v>All/BA</v>
      </c>
      <c r="E125" s="1" t="str">
        <f ca="1">IFERROR(__xludf.DUMMYFUNCTION("""COMPUTED_VALUE"""),"p1/庫存")</f>
        <v>p1/庫存</v>
      </c>
      <c r="F125" s="1">
        <f ca="1">IFERROR(__xludf.DUMMYFUNCTION("""COMPUTED_VALUE"""),-14)</f>
        <v>-14</v>
      </c>
      <c r="G125" s="1"/>
      <c r="H125" s="1" t="str">
        <f ca="1">IFERROR(__xludf.DUMMYFUNCTION("""COMPUTED_VALUE"""),"P1")</f>
        <v>P1</v>
      </c>
      <c r="I125" s="1" t="str">
        <f ca="1">IFERROR(__xludf.DUMMYFUNCTION("""COMPUTED_VALUE"""),"Simon")</f>
        <v>Simon</v>
      </c>
    </row>
    <row r="126" spans="1:9" ht="12.7" x14ac:dyDescent="0.4">
      <c r="A126" s="2">
        <f ca="1">IFERROR(__xludf.DUMMYFUNCTION("""COMPUTED_VALUE"""),45240.3571102083)</f>
        <v>45240.357110208301</v>
      </c>
      <c r="B126" s="1" t="str">
        <f ca="1">IFERROR(__xludf.DUMMYFUNCTION("""COMPUTED_VALUE"""),"庫存調整")</f>
        <v>庫存調整</v>
      </c>
      <c r="C126" s="1" t="str">
        <f ca="1">IFERROR(__xludf.DUMMYFUNCTION("""COMPUTED_VALUE"""),"MM0040003484")</f>
        <v>MM0040003484</v>
      </c>
      <c r="D126" s="1" t="str">
        <f ca="1">IFERROR(__xludf.DUMMYFUNCTION("""COMPUTED_VALUE"""),"All/BA")</f>
        <v>All/BA</v>
      </c>
      <c r="E126" s="1" t="str">
        <f ca="1">IFERROR(__xludf.DUMMYFUNCTION("""COMPUTED_VALUE"""),"p1/庫存")</f>
        <v>p1/庫存</v>
      </c>
      <c r="F126" s="1">
        <f ca="1">IFERROR(__xludf.DUMMYFUNCTION("""COMPUTED_VALUE"""),-29)</f>
        <v>-29</v>
      </c>
      <c r="G126" s="1"/>
      <c r="H126" s="1" t="str">
        <f ca="1">IFERROR(__xludf.DUMMYFUNCTION("""COMPUTED_VALUE"""),"P1")</f>
        <v>P1</v>
      </c>
      <c r="I126" s="1" t="str">
        <f ca="1">IFERROR(__xludf.DUMMYFUNCTION("""COMPUTED_VALUE"""),"Simon")</f>
        <v>Simon</v>
      </c>
    </row>
    <row r="127" spans="1:9" ht="12.7" x14ac:dyDescent="0.4">
      <c r="A127" s="2">
        <f ca="1">IFERROR(__xludf.DUMMYFUNCTION("""COMPUTED_VALUE"""),45240.3590612847)</f>
        <v>45240.359061284697</v>
      </c>
      <c r="B127" s="1" t="str">
        <f ca="1">IFERROR(__xludf.DUMMYFUNCTION("""COMPUTED_VALUE"""),"庫存調整")</f>
        <v>庫存調整</v>
      </c>
      <c r="C127" s="1" t="str">
        <f ca="1">IFERROR(__xludf.DUMMYFUNCTION("""COMPUTED_VALUE"""),"MM0040003484")</f>
        <v>MM0040003484</v>
      </c>
      <c r="D127" s="1" t="str">
        <f ca="1">IFERROR(__xludf.DUMMYFUNCTION("""COMPUTED_VALUE"""),"All/BA")</f>
        <v>All/BA</v>
      </c>
      <c r="E127" s="1" t="str">
        <f ca="1">IFERROR(__xludf.DUMMYFUNCTION("""COMPUTED_VALUE"""),"p1/庫存")</f>
        <v>p1/庫存</v>
      </c>
      <c r="F127" s="1">
        <f ca="1">IFERROR(__xludf.DUMMYFUNCTION("""COMPUTED_VALUE"""),-1)</f>
        <v>-1</v>
      </c>
      <c r="G127" s="1"/>
      <c r="H127" s="1" t="str">
        <f ca="1">IFERROR(__xludf.DUMMYFUNCTION("""COMPUTED_VALUE"""),"P1")</f>
        <v>P1</v>
      </c>
      <c r="I127" s="1" t="str">
        <f ca="1">IFERROR(__xludf.DUMMYFUNCTION("""COMPUTED_VALUE"""),"Simon")</f>
        <v>Simon</v>
      </c>
    </row>
    <row r="128" spans="1:9" ht="12.7" x14ac:dyDescent="0.4">
      <c r="A128" s="2">
        <f ca="1">IFERROR(__xludf.DUMMYFUNCTION("""COMPUTED_VALUE"""),45240.3661546875)</f>
        <v>45240.366154687501</v>
      </c>
      <c r="B128" s="1" t="str">
        <f ca="1">IFERROR(__xludf.DUMMYFUNCTION("""COMPUTED_VALUE"""),"領料")</f>
        <v>領料</v>
      </c>
      <c r="C128" s="1" t="str">
        <f ca="1">IFERROR(__xludf.DUMMYFUNCTION("""COMPUTED_VALUE"""),"ME0020000525")</f>
        <v>ME0020000525</v>
      </c>
      <c r="D128" s="1" t="str">
        <f ca="1">IFERROR(__xludf.DUMMYFUNCTION("""COMPUTED_VALUE"""),"All/共用")</f>
        <v>All/共用</v>
      </c>
      <c r="E128" s="1" t="str">
        <f ca="1">IFERROR(__xludf.DUMMYFUNCTION("""COMPUTED_VALUE"""),"p2/庫存")</f>
        <v>p2/庫存</v>
      </c>
      <c r="F128" s="1">
        <f ca="1">IFERROR(__xludf.DUMMYFUNCTION("""COMPUTED_VALUE"""),-1)</f>
        <v>-1</v>
      </c>
      <c r="G128" s="1" t="str">
        <f ca="1">IFERROR(__xludf.DUMMYFUNCTION("""COMPUTED_VALUE"""),"2238E668439E")</f>
        <v>2238E668439E</v>
      </c>
      <c r="H128" s="1" t="str">
        <f ca="1">IFERROR(__xludf.DUMMYFUNCTION("""COMPUTED_VALUE"""),"P2_1002")</f>
        <v>P2_1002</v>
      </c>
      <c r="I128" s="1" t="str">
        <f ca="1">IFERROR(__xludf.DUMMYFUNCTION("""COMPUTED_VALUE"""),"Simon")</f>
        <v>Simon</v>
      </c>
    </row>
    <row r="129" spans="1:9" ht="12.7" x14ac:dyDescent="0.4">
      <c r="A129" s="2">
        <f ca="1">IFERROR(__xludf.DUMMYFUNCTION("""COMPUTED_VALUE"""),45240.3694300115)</f>
        <v>45240.369430011502</v>
      </c>
      <c r="B129" s="1" t="str">
        <f ca="1">IFERROR(__xludf.DUMMYFUNCTION("""COMPUTED_VALUE"""),"庫存調整")</f>
        <v>庫存調整</v>
      </c>
      <c r="C129" s="1" t="str">
        <f ca="1">IFERROR(__xludf.DUMMYFUNCTION("""COMPUTED_VALUE"""),"ME0020000525")</f>
        <v>ME0020000525</v>
      </c>
      <c r="D129" s="1" t="str">
        <f ca="1">IFERROR(__xludf.DUMMYFUNCTION("""COMPUTED_VALUE"""),"All/共用")</f>
        <v>All/共用</v>
      </c>
      <c r="E129" s="1" t="str">
        <f ca="1">IFERROR(__xludf.DUMMYFUNCTION("""COMPUTED_VALUE"""),"p2/庫存")</f>
        <v>p2/庫存</v>
      </c>
      <c r="F129" s="1">
        <f ca="1">IFERROR(__xludf.DUMMYFUNCTION("""COMPUTED_VALUE"""),-1)</f>
        <v>-1</v>
      </c>
      <c r="G129" s="1"/>
      <c r="H129" s="1" t="str">
        <f ca="1">IFERROR(__xludf.DUMMYFUNCTION("""COMPUTED_VALUE"""),"P2")</f>
        <v>P2</v>
      </c>
      <c r="I129" s="1" t="str">
        <f ca="1">IFERROR(__xludf.DUMMYFUNCTION("""COMPUTED_VALUE"""),"Simon")</f>
        <v>Simon</v>
      </c>
    </row>
    <row r="130" spans="1:9" ht="12.7" x14ac:dyDescent="0.4">
      <c r="A130" s="2">
        <f ca="1">IFERROR(__xludf.DUMMYFUNCTION("""COMPUTED_VALUE"""),45240.3703612384)</f>
        <v>45240.370361238398</v>
      </c>
      <c r="B130" s="1" t="str">
        <f ca="1">IFERROR(__xludf.DUMMYFUNCTION("""COMPUTED_VALUE"""),"領料")</f>
        <v>領料</v>
      </c>
      <c r="C130" s="1" t="str">
        <f ca="1">IFERROR(__xludf.DUMMYFUNCTION("""COMPUTED_VALUE"""),"ME0020000525")</f>
        <v>ME0020000525</v>
      </c>
      <c r="D130" s="1" t="str">
        <f ca="1">IFERROR(__xludf.DUMMYFUNCTION("""COMPUTED_VALUE"""),"All/共用")</f>
        <v>All/共用</v>
      </c>
      <c r="E130" s="1" t="str">
        <f ca="1">IFERROR(__xludf.DUMMYFUNCTION("""COMPUTED_VALUE"""),"p2/庫存")</f>
        <v>p2/庫存</v>
      </c>
      <c r="F130" s="1">
        <f ca="1">IFERROR(__xludf.DUMMYFUNCTION("""COMPUTED_VALUE"""),1)</f>
        <v>1</v>
      </c>
      <c r="G130" s="1" t="str">
        <f ca="1">IFERROR(__xludf.DUMMYFUNCTION("""COMPUTED_VALUE"""),"2238E668439E")</f>
        <v>2238E668439E</v>
      </c>
      <c r="H130" s="1" t="str">
        <f ca="1">IFERROR(__xludf.DUMMYFUNCTION("""COMPUTED_VALUE"""),"P2_1002")</f>
        <v>P2_1002</v>
      </c>
      <c r="I130" s="1" t="str">
        <f ca="1">IFERROR(__xludf.DUMMYFUNCTION("""COMPUTED_VALUE"""),"Simon")</f>
        <v>Simon</v>
      </c>
    </row>
    <row r="131" spans="1:9" ht="12.7" x14ac:dyDescent="0.4">
      <c r="A131" s="2">
        <f ca="1">IFERROR(__xludf.DUMMYFUNCTION("""COMPUTED_VALUE"""),45240.3712867361)</f>
        <v>45240.371286736103</v>
      </c>
      <c r="B131" s="1" t="str">
        <f ca="1">IFERROR(__xludf.DUMMYFUNCTION("""COMPUTED_VALUE"""),"料件上線時間")</f>
        <v>料件上線時間</v>
      </c>
      <c r="C131" s="1" t="str">
        <f ca="1">IFERROR(__xludf.DUMMYFUNCTION("""COMPUTED_VALUE"""),"ME0020000525")</f>
        <v>ME0020000525</v>
      </c>
      <c r="D131" s="1" t="str">
        <f ca="1">IFERROR(__xludf.DUMMYFUNCTION("""COMPUTED_VALUE"""),"All/共用")</f>
        <v>All/共用</v>
      </c>
      <c r="E131" s="1" t="str">
        <f ca="1">IFERROR(__xludf.DUMMYFUNCTION("""COMPUTED_VALUE"""),"p2/庫存")</f>
        <v>p2/庫存</v>
      </c>
      <c r="F131" s="1">
        <f ca="1">IFERROR(__xludf.DUMMYFUNCTION("""COMPUTED_VALUE"""),1)</f>
        <v>1</v>
      </c>
      <c r="G131" s="1" t="str">
        <f ca="1">IFERROR(__xludf.DUMMYFUNCTION("""COMPUTED_VALUE"""),"2238E668439E")</f>
        <v>2238E668439E</v>
      </c>
      <c r="H131" s="1" t="str">
        <f ca="1">IFERROR(__xludf.DUMMYFUNCTION("""COMPUTED_VALUE"""),"P2_1002")</f>
        <v>P2_1002</v>
      </c>
      <c r="I131" s="1" t="str">
        <f ca="1">IFERROR(__xludf.DUMMYFUNCTION("""COMPUTED_VALUE"""),"Simon")</f>
        <v>Simon</v>
      </c>
    </row>
    <row r="132" spans="1:9" ht="12.7" x14ac:dyDescent="0.4">
      <c r="A132" s="2">
        <f ca="1">IFERROR(__xludf.DUMMYFUNCTION("""COMPUTED_VALUE"""),45240.4716467013)</f>
        <v>45240.471646701299</v>
      </c>
      <c r="B132" s="1" t="str">
        <f ca="1">IFERROR(__xludf.DUMMYFUNCTION("""COMPUTED_VALUE"""),"領料")</f>
        <v>領料</v>
      </c>
      <c r="C132" s="1" t="str">
        <f ca="1">IFERROR(__xludf.DUMMYFUNCTION("""COMPUTED_VALUE"""),"ME0020000525")</f>
        <v>ME0020000525</v>
      </c>
      <c r="D132" s="1" t="str">
        <f ca="1">IFERROR(__xludf.DUMMYFUNCTION("""COMPUTED_VALUE"""),"All/共用")</f>
        <v>All/共用</v>
      </c>
      <c r="E132" s="1" t="str">
        <f ca="1">IFERROR(__xludf.DUMMYFUNCTION("""COMPUTED_VALUE"""),"p2/庫存")</f>
        <v>p2/庫存</v>
      </c>
      <c r="F132" s="1">
        <f ca="1">IFERROR(__xludf.DUMMYFUNCTION("""COMPUTED_VALUE"""),1)</f>
        <v>1</v>
      </c>
      <c r="G132" s="1" t="str">
        <f ca="1">IFERROR(__xludf.DUMMYFUNCTION("""COMPUTED_VALUE"""),"2238E66842FE")</f>
        <v>2238E66842FE</v>
      </c>
      <c r="H132" s="1" t="str">
        <f ca="1">IFERROR(__xludf.DUMMYFUNCTION("""COMPUTED_VALUE"""),"P2_1001")</f>
        <v>P2_1001</v>
      </c>
      <c r="I132" s="1" t="str">
        <f ca="1">IFERROR(__xludf.DUMMYFUNCTION("""COMPUTED_VALUE"""),"Chiao Yu")</f>
        <v>Chiao Yu</v>
      </c>
    </row>
    <row r="133" spans="1:9" ht="12.7" x14ac:dyDescent="0.4">
      <c r="A133" s="2">
        <f ca="1">IFERROR(__xludf.DUMMYFUNCTION("""COMPUTED_VALUE"""),45240.4723206481)</f>
        <v>45240.472320648099</v>
      </c>
      <c r="B133" s="1" t="str">
        <f ca="1">IFERROR(__xludf.DUMMYFUNCTION("""COMPUTED_VALUE"""),"料件上線時間")</f>
        <v>料件上線時間</v>
      </c>
      <c r="C133" s="1" t="str">
        <f ca="1">IFERROR(__xludf.DUMMYFUNCTION("""COMPUTED_VALUE"""),"ME0020000525")</f>
        <v>ME0020000525</v>
      </c>
      <c r="D133" s="1" t="str">
        <f ca="1">IFERROR(__xludf.DUMMYFUNCTION("""COMPUTED_VALUE"""),"All/共用")</f>
        <v>All/共用</v>
      </c>
      <c r="E133" s="1" t="str">
        <f ca="1">IFERROR(__xludf.DUMMYFUNCTION("""COMPUTED_VALUE"""),"p2/庫存")</f>
        <v>p2/庫存</v>
      </c>
      <c r="F133" s="1">
        <f ca="1">IFERROR(__xludf.DUMMYFUNCTION("""COMPUTED_VALUE"""),1)</f>
        <v>1</v>
      </c>
      <c r="G133" s="1" t="str">
        <f ca="1">IFERROR(__xludf.DUMMYFUNCTION("""COMPUTED_VALUE"""),"2238E66842FE")</f>
        <v>2238E66842FE</v>
      </c>
      <c r="H133" s="1" t="str">
        <f ca="1">IFERROR(__xludf.DUMMYFUNCTION("""COMPUTED_VALUE"""),"P2_1001")</f>
        <v>P2_1001</v>
      </c>
      <c r="I133" s="1" t="str">
        <f ca="1">IFERROR(__xludf.DUMMYFUNCTION("""COMPUTED_VALUE"""),"Chiao Yu")</f>
        <v>Chiao Yu</v>
      </c>
    </row>
    <row r="134" spans="1:9" ht="12.7" x14ac:dyDescent="0.4">
      <c r="A134" s="2">
        <f ca="1">IFERROR(__xludf.DUMMYFUNCTION("""COMPUTED_VALUE"""),45247.5363249189)</f>
        <v>45247.536324918903</v>
      </c>
      <c r="B134" s="1" t="str">
        <f ca="1">IFERROR(__xludf.DUMMYFUNCTION("""COMPUTED_VALUE"""),"領料")</f>
        <v>領料</v>
      </c>
      <c r="C134" s="1" t="str">
        <f ca="1">IFERROR(__xludf.DUMMYFUNCTION("""COMPUTED_VALUE"""),"ME0070000140")</f>
        <v>ME0070000140</v>
      </c>
      <c r="D134" s="1" t="str">
        <f ca="1">IFERROR(__xludf.DUMMYFUNCTION("""COMPUTED_VALUE"""),"All/BA")</f>
        <v>All/BA</v>
      </c>
      <c r="E134" s="1" t="str">
        <f ca="1">IFERROR(__xludf.DUMMYFUNCTION("""COMPUTED_VALUE"""),"p2/庫存")</f>
        <v>p2/庫存</v>
      </c>
      <c r="F134" s="1">
        <f ca="1">IFERROR(__xludf.DUMMYFUNCTION("""COMPUTED_VALUE"""),1)</f>
        <v>1</v>
      </c>
      <c r="G134" s="1" t="str">
        <f ca="1">IFERROR(__xludf.DUMMYFUNCTION("""COMPUTED_VALUE"""),"100A-2522G0009-2302")</f>
        <v>100A-2522G0009-2302</v>
      </c>
      <c r="H134" s="1" t="str">
        <f ca="1">IFERROR(__xludf.DUMMYFUNCTION("""COMPUTED_VALUE"""),"P2_035")</f>
        <v>P2_035</v>
      </c>
      <c r="I134" s="1" t="str">
        <f ca="1">IFERROR(__xludf.DUMMYFUNCTION("""COMPUTED_VALUE"""),"Chiao Yu")</f>
        <v>Chiao Yu</v>
      </c>
    </row>
    <row r="135" spans="1:9" ht="12.7" x14ac:dyDescent="0.4">
      <c r="A135" s="2">
        <f ca="1">IFERROR(__xludf.DUMMYFUNCTION("""COMPUTED_VALUE"""),45247.5369086805)</f>
        <v>45247.5369086805</v>
      </c>
      <c r="B135" s="1" t="str">
        <f ca="1">IFERROR(__xludf.DUMMYFUNCTION("""COMPUTED_VALUE"""),"料件上線時間")</f>
        <v>料件上線時間</v>
      </c>
      <c r="C135" s="1" t="str">
        <f ca="1">IFERROR(__xludf.DUMMYFUNCTION("""COMPUTED_VALUE"""),"ME0070000140")</f>
        <v>ME0070000140</v>
      </c>
      <c r="D135" s="1" t="str">
        <f ca="1">IFERROR(__xludf.DUMMYFUNCTION("""COMPUTED_VALUE"""),"All/BA")</f>
        <v>All/BA</v>
      </c>
      <c r="E135" s="1" t="str">
        <f ca="1">IFERROR(__xludf.DUMMYFUNCTION("""COMPUTED_VALUE"""),"p2/庫存")</f>
        <v>p2/庫存</v>
      </c>
      <c r="F135" s="1">
        <f ca="1">IFERROR(__xludf.DUMMYFUNCTION("""COMPUTED_VALUE"""),1)</f>
        <v>1</v>
      </c>
      <c r="G135" s="1" t="str">
        <f ca="1">IFERROR(__xludf.DUMMYFUNCTION("""COMPUTED_VALUE"""),"100A-2522G0009-2302")</f>
        <v>100A-2522G0009-2302</v>
      </c>
      <c r="H135" s="1" t="str">
        <f ca="1">IFERROR(__xludf.DUMMYFUNCTION("""COMPUTED_VALUE"""),"P2_035")</f>
        <v>P2_035</v>
      </c>
      <c r="I135" s="1" t="str">
        <f ca="1">IFERROR(__xludf.DUMMYFUNCTION("""COMPUTED_VALUE"""),"Chiao Yu")</f>
        <v>Chiao Yu</v>
      </c>
    </row>
    <row r="136" spans="1:9" ht="12.7" x14ac:dyDescent="0.4">
      <c r="A136" s="2">
        <f ca="1">IFERROR(__xludf.DUMMYFUNCTION("""COMPUTED_VALUE"""),45252.3583688657)</f>
        <v>45252.358368865702</v>
      </c>
      <c r="B136" s="1" t="str">
        <f ca="1">IFERROR(__xludf.DUMMYFUNCTION("""COMPUTED_VALUE"""),"料件上線時間")</f>
        <v>料件上線時間</v>
      </c>
      <c r="C136" s="1" t="str">
        <f ca="1">IFERROR(__xludf.DUMMYFUNCTION("""COMPUTED_VALUE"""),"ME0020000544")</f>
        <v>ME0020000544</v>
      </c>
      <c r="D136" s="1" t="str">
        <f ca="1">IFERROR(__xludf.DUMMYFUNCTION("""COMPUTED_VALUE"""),"All/共用")</f>
        <v>All/共用</v>
      </c>
      <c r="E136" s="1" t="str">
        <f ca="1">IFERROR(__xludf.DUMMYFUNCTION("""COMPUTED_VALUE"""),"p1/庫存")</f>
        <v>p1/庫存</v>
      </c>
      <c r="F136" s="1">
        <f ca="1">IFERROR(__xludf.DUMMYFUNCTION("""COMPUTED_VALUE"""),1)</f>
        <v>1</v>
      </c>
      <c r="G136" s="1" t="str">
        <f ca="1">IFERROR(__xludf.DUMMYFUNCTION("""COMPUTED_VALUE"""),"E2266Q5001030228-0A")</f>
        <v>E2266Q5001030228-0A</v>
      </c>
      <c r="H136" s="1" t="str">
        <f ca="1">IFERROR(__xludf.DUMMYFUNCTION("""COMPUTED_VALUE"""),"P1_029")</f>
        <v>P1_029</v>
      </c>
      <c r="I136" s="1" t="str">
        <f ca="1">IFERROR(__xludf.DUMMYFUNCTION("""COMPUTED_VALUE"""),"Chiao Yu")</f>
        <v>Chiao Yu</v>
      </c>
    </row>
    <row r="137" spans="1:9" ht="12.7" x14ac:dyDescent="0.4">
      <c r="A137" s="2">
        <f ca="1">IFERROR(__xludf.DUMMYFUNCTION("""COMPUTED_VALUE"""),45252.3639010995)</f>
        <v>45252.363901099503</v>
      </c>
      <c r="B137" s="1" t="str">
        <f ca="1">IFERROR(__xludf.DUMMYFUNCTION("""COMPUTED_VALUE"""),"料件上線時間")</f>
        <v>料件上線時間</v>
      </c>
      <c r="C137" s="1" t="str">
        <f ca="1">IFERROR(__xludf.DUMMYFUNCTION("""COMPUTED_VALUE"""),"ME0160000073")</f>
        <v>ME0160000073</v>
      </c>
      <c r="D137" s="1" t="str">
        <f ca="1">IFERROR(__xludf.DUMMYFUNCTION("""COMPUTED_VALUE"""),"All/BA")</f>
        <v>All/BA</v>
      </c>
      <c r="E137" s="1" t="str">
        <f ca="1">IFERROR(__xludf.DUMMYFUNCTION("""COMPUTED_VALUE"""),"p1/庫存")</f>
        <v>p1/庫存</v>
      </c>
      <c r="F137" s="1">
        <f ca="1">IFERROR(__xludf.DUMMYFUNCTION("""COMPUTED_VALUE"""),1)</f>
        <v>1</v>
      </c>
      <c r="G137" s="1" t="str">
        <f ca="1">IFERROR(__xludf.DUMMYFUNCTION("""COMPUTED_VALUE"""),"B2211415")</f>
        <v>B2211415</v>
      </c>
      <c r="H137" s="1" t="str">
        <f ca="1">IFERROR(__xludf.DUMMYFUNCTION("""COMPUTED_VALUE"""),"P1_001")</f>
        <v>P1_001</v>
      </c>
      <c r="I137" s="1" t="str">
        <f ca="1">IFERROR(__xludf.DUMMYFUNCTION("""COMPUTED_VALUE"""),"Uri")</f>
        <v>Uri</v>
      </c>
    </row>
    <row r="138" spans="1:9" ht="12.7" x14ac:dyDescent="0.4">
      <c r="A138" s="2">
        <f ca="1">IFERROR(__xludf.DUMMYFUNCTION("""COMPUTED_VALUE"""),45252.3646830092)</f>
        <v>45252.364683009197</v>
      </c>
      <c r="B138" s="1" t="str">
        <f ca="1">IFERROR(__xludf.DUMMYFUNCTION("""COMPUTED_VALUE"""),"料件上線時間")</f>
        <v>料件上線時間</v>
      </c>
      <c r="C138" s="1" t="str">
        <f ca="1">IFERROR(__xludf.DUMMYFUNCTION("""COMPUTED_VALUE"""),"ME0160000073")</f>
        <v>ME0160000073</v>
      </c>
      <c r="D138" s="1" t="str">
        <f ca="1">IFERROR(__xludf.DUMMYFUNCTION("""COMPUTED_VALUE"""),"All/BA")</f>
        <v>All/BA</v>
      </c>
      <c r="E138" s="1" t="str">
        <f ca="1">IFERROR(__xludf.DUMMYFUNCTION("""COMPUTED_VALUE"""),"p1/庫存")</f>
        <v>p1/庫存</v>
      </c>
      <c r="F138" s="1">
        <f ca="1">IFERROR(__xludf.DUMMYFUNCTION("""COMPUTED_VALUE"""),1)</f>
        <v>1</v>
      </c>
      <c r="G138" s="1" t="str">
        <f ca="1">IFERROR(__xludf.DUMMYFUNCTION("""COMPUTED_VALUE"""),"B2211407")</f>
        <v>B2211407</v>
      </c>
      <c r="H138" s="1" t="str">
        <f ca="1">IFERROR(__xludf.DUMMYFUNCTION("""COMPUTED_VALUE"""),"P1_002")</f>
        <v>P1_002</v>
      </c>
      <c r="I138" s="1" t="str">
        <f ca="1">IFERROR(__xludf.DUMMYFUNCTION("""COMPUTED_VALUE"""),"Uri")</f>
        <v>Uri</v>
      </c>
    </row>
    <row r="139" spans="1:9" ht="12.7" x14ac:dyDescent="0.4">
      <c r="A139" s="2">
        <f ca="1">IFERROR(__xludf.DUMMYFUNCTION("""COMPUTED_VALUE"""),45252.3657972338)</f>
        <v>45252.365797233797</v>
      </c>
      <c r="B139" s="1" t="str">
        <f ca="1">IFERROR(__xludf.DUMMYFUNCTION("""COMPUTED_VALUE"""),"料件上線時間")</f>
        <v>料件上線時間</v>
      </c>
      <c r="C139" s="1" t="str">
        <f ca="1">IFERROR(__xludf.DUMMYFUNCTION("""COMPUTED_VALUE"""),"ME0160000073")</f>
        <v>ME0160000073</v>
      </c>
      <c r="D139" s="1" t="str">
        <f ca="1">IFERROR(__xludf.DUMMYFUNCTION("""COMPUTED_VALUE"""),"All/BA")</f>
        <v>All/BA</v>
      </c>
      <c r="E139" s="1" t="str">
        <f ca="1">IFERROR(__xludf.DUMMYFUNCTION("""COMPUTED_VALUE"""),"p1/庫存")</f>
        <v>p1/庫存</v>
      </c>
      <c r="F139" s="1">
        <f ca="1">IFERROR(__xludf.DUMMYFUNCTION("""COMPUTED_VALUE"""),1)</f>
        <v>1</v>
      </c>
      <c r="G139" s="1" t="str">
        <f ca="1">IFERROR(__xludf.DUMMYFUNCTION("""COMPUTED_VALUE"""),"B2211406")</f>
        <v>B2211406</v>
      </c>
      <c r="H139" s="1" t="str">
        <f ca="1">IFERROR(__xludf.DUMMYFUNCTION("""COMPUTED_VALUE"""),"P1_003")</f>
        <v>P1_003</v>
      </c>
      <c r="I139" s="1" t="str">
        <f ca="1">IFERROR(__xludf.DUMMYFUNCTION("""COMPUTED_VALUE"""),"Chiao Yu")</f>
        <v>Chiao Yu</v>
      </c>
    </row>
    <row r="140" spans="1:9" ht="12.7" x14ac:dyDescent="0.4">
      <c r="A140" s="2">
        <f ca="1">IFERROR(__xludf.DUMMYFUNCTION("""COMPUTED_VALUE"""),45252.3679387962)</f>
        <v>45252.367938796197</v>
      </c>
      <c r="B140" s="1" t="str">
        <f ca="1">IFERROR(__xludf.DUMMYFUNCTION("""COMPUTED_VALUE"""),"料件上線時間")</f>
        <v>料件上線時間</v>
      </c>
      <c r="C140" s="1" t="str">
        <f ca="1">IFERROR(__xludf.DUMMYFUNCTION("""COMPUTED_VALUE"""),"ME0160000073")</f>
        <v>ME0160000073</v>
      </c>
      <c r="D140" s="1" t="str">
        <f ca="1">IFERROR(__xludf.DUMMYFUNCTION("""COMPUTED_VALUE"""),"All/BA")</f>
        <v>All/BA</v>
      </c>
      <c r="E140" s="1" t="str">
        <f ca="1">IFERROR(__xludf.DUMMYFUNCTION("""COMPUTED_VALUE"""),"p1/庫存")</f>
        <v>p1/庫存</v>
      </c>
      <c r="F140" s="1">
        <f ca="1">IFERROR(__xludf.DUMMYFUNCTION("""COMPUTED_VALUE"""),1)</f>
        <v>1</v>
      </c>
      <c r="G140" s="1" t="str">
        <f ca="1">IFERROR(__xludf.DUMMYFUNCTION("""COMPUTED_VALUE"""),"B2211399")</f>
        <v>B2211399</v>
      </c>
      <c r="H140" s="1" t="str">
        <f ca="1">IFERROR(__xludf.DUMMYFUNCTION("""COMPUTED_VALUE"""),"P1_004")</f>
        <v>P1_004</v>
      </c>
      <c r="I140" s="1" t="str">
        <f ca="1">IFERROR(__xludf.DUMMYFUNCTION("""COMPUTED_VALUE"""),"Chiao Yu")</f>
        <v>Chiao Yu</v>
      </c>
    </row>
    <row r="141" spans="1:9" ht="12.7" x14ac:dyDescent="0.4">
      <c r="A141" s="2">
        <f ca="1">IFERROR(__xludf.DUMMYFUNCTION("""COMPUTED_VALUE"""),45252.3688175925)</f>
        <v>45252.368817592498</v>
      </c>
      <c r="B141" s="1" t="str">
        <f ca="1">IFERROR(__xludf.DUMMYFUNCTION("""COMPUTED_VALUE"""),"料件上線時間")</f>
        <v>料件上線時間</v>
      </c>
      <c r="C141" s="1" t="str">
        <f ca="1">IFERROR(__xludf.DUMMYFUNCTION("""COMPUTED_VALUE"""),"ME0160000073")</f>
        <v>ME0160000073</v>
      </c>
      <c r="D141" s="1" t="str">
        <f ca="1">IFERROR(__xludf.DUMMYFUNCTION("""COMPUTED_VALUE"""),"All/BA")</f>
        <v>All/BA</v>
      </c>
      <c r="E141" s="1" t="str">
        <f ca="1">IFERROR(__xludf.DUMMYFUNCTION("""COMPUTED_VALUE"""),"p1/庫存")</f>
        <v>p1/庫存</v>
      </c>
      <c r="F141" s="1">
        <f ca="1">IFERROR(__xludf.DUMMYFUNCTION("""COMPUTED_VALUE"""),1)</f>
        <v>1</v>
      </c>
      <c r="G141" s="1" t="str">
        <f ca="1">IFERROR(__xludf.DUMMYFUNCTION("""COMPUTED_VALUE"""),"B2211416")</f>
        <v>B2211416</v>
      </c>
      <c r="H141" s="1" t="str">
        <f ca="1">IFERROR(__xludf.DUMMYFUNCTION("""COMPUTED_VALUE"""),"P1_005")</f>
        <v>P1_005</v>
      </c>
      <c r="I141" s="1" t="str">
        <f ca="1">IFERROR(__xludf.DUMMYFUNCTION("""COMPUTED_VALUE"""),"Simon")</f>
        <v>Simon</v>
      </c>
    </row>
    <row r="142" spans="1:9" ht="12.7" x14ac:dyDescent="0.4">
      <c r="A142" s="2">
        <f ca="1">IFERROR(__xludf.DUMMYFUNCTION("""COMPUTED_VALUE"""),45252.369617743)</f>
        <v>45252.369617743003</v>
      </c>
      <c r="B142" s="1" t="str">
        <f ca="1">IFERROR(__xludf.DUMMYFUNCTION("""COMPUTED_VALUE"""),"料件上線時間")</f>
        <v>料件上線時間</v>
      </c>
      <c r="C142" s="1" t="str">
        <f ca="1">IFERROR(__xludf.DUMMYFUNCTION("""COMPUTED_VALUE"""),"ME0160000073")</f>
        <v>ME0160000073</v>
      </c>
      <c r="D142" s="1" t="str">
        <f ca="1">IFERROR(__xludf.DUMMYFUNCTION("""COMPUTED_VALUE"""),"All/BA")</f>
        <v>All/BA</v>
      </c>
      <c r="E142" s="1" t="str">
        <f ca="1">IFERROR(__xludf.DUMMYFUNCTION("""COMPUTED_VALUE"""),"p1/庫存")</f>
        <v>p1/庫存</v>
      </c>
      <c r="F142" s="1">
        <f ca="1">IFERROR(__xludf.DUMMYFUNCTION("""COMPUTED_VALUE"""),1)</f>
        <v>1</v>
      </c>
      <c r="G142" s="1" t="str">
        <f ca="1">IFERROR(__xludf.DUMMYFUNCTION("""COMPUTED_VALUE"""),"B2211412")</f>
        <v>B2211412</v>
      </c>
      <c r="H142" s="1" t="str">
        <f ca="1">IFERROR(__xludf.DUMMYFUNCTION("""COMPUTED_VALUE"""),"P1_006")</f>
        <v>P1_006</v>
      </c>
      <c r="I142" s="1" t="str">
        <f ca="1">IFERROR(__xludf.DUMMYFUNCTION("""COMPUTED_VALUE"""),"Simon")</f>
        <v>Simon</v>
      </c>
    </row>
    <row r="143" spans="1:9" ht="12.7" x14ac:dyDescent="0.4">
      <c r="A143" s="2">
        <f ca="1">IFERROR(__xludf.DUMMYFUNCTION("""COMPUTED_VALUE"""),45252.3701937268)</f>
        <v>45252.370193726798</v>
      </c>
      <c r="B143" s="1" t="str">
        <f ca="1">IFERROR(__xludf.DUMMYFUNCTION("""COMPUTED_VALUE"""),"料件上線時間")</f>
        <v>料件上線時間</v>
      </c>
      <c r="C143" s="1" t="str">
        <f ca="1">IFERROR(__xludf.DUMMYFUNCTION("""COMPUTED_VALUE"""),"ME0160000073")</f>
        <v>ME0160000073</v>
      </c>
      <c r="D143" s="1" t="str">
        <f ca="1">IFERROR(__xludf.DUMMYFUNCTION("""COMPUTED_VALUE"""),"All/BA")</f>
        <v>All/BA</v>
      </c>
      <c r="E143" s="1" t="str">
        <f ca="1">IFERROR(__xludf.DUMMYFUNCTION("""COMPUTED_VALUE"""),"p1/庫存")</f>
        <v>p1/庫存</v>
      </c>
      <c r="F143" s="1">
        <f ca="1">IFERROR(__xludf.DUMMYFUNCTION("""COMPUTED_VALUE"""),1)</f>
        <v>1</v>
      </c>
      <c r="G143" s="1" t="str">
        <f ca="1">IFERROR(__xludf.DUMMYFUNCTION("""COMPUTED_VALUE"""),"B2211420")</f>
        <v>B2211420</v>
      </c>
      <c r="H143" s="1" t="str">
        <f ca="1">IFERROR(__xludf.DUMMYFUNCTION("""COMPUTED_VALUE"""),"P1_007")</f>
        <v>P1_007</v>
      </c>
      <c r="I143" s="1" t="str">
        <f ca="1">IFERROR(__xludf.DUMMYFUNCTION("""COMPUTED_VALUE"""),"Simon")</f>
        <v>Simon</v>
      </c>
    </row>
    <row r="144" spans="1:9" ht="12.7" x14ac:dyDescent="0.4">
      <c r="A144" s="2">
        <f ca="1">IFERROR(__xludf.DUMMYFUNCTION("""COMPUTED_VALUE"""),45252.4622168171)</f>
        <v>45252.462216817097</v>
      </c>
      <c r="B144" s="1" t="str">
        <f ca="1">IFERROR(__xludf.DUMMYFUNCTION("""COMPUTED_VALUE"""),"庫存調整")</f>
        <v>庫存調整</v>
      </c>
      <c r="C144" s="1" t="str">
        <f ca="1">IFERROR(__xludf.DUMMYFUNCTION("""COMPUTED_VALUE"""),"ME0160000073")</f>
        <v>ME0160000073</v>
      </c>
      <c r="D144" s="1" t="str">
        <f ca="1">IFERROR(__xludf.DUMMYFUNCTION("""COMPUTED_VALUE"""),"All/BA")</f>
        <v>All/BA</v>
      </c>
      <c r="E144" s="1" t="str">
        <f ca="1">IFERROR(__xludf.DUMMYFUNCTION("""COMPUTED_VALUE"""),"p1/庫存")</f>
        <v>p1/庫存</v>
      </c>
      <c r="F144" s="1">
        <f ca="1">IFERROR(__xludf.DUMMYFUNCTION("""COMPUTED_VALUE"""),2)</f>
        <v>2</v>
      </c>
      <c r="G144" s="1"/>
      <c r="H144" s="1" t="str">
        <f ca="1">IFERROR(__xludf.DUMMYFUNCTION("""COMPUTED_VALUE"""),"P1")</f>
        <v>P1</v>
      </c>
      <c r="I144" s="1" t="str">
        <f ca="1">IFERROR(__xludf.DUMMYFUNCTION("""COMPUTED_VALUE"""),"Chiao Yu")</f>
        <v>Chiao Yu</v>
      </c>
    </row>
    <row r="145" spans="1:9" ht="12.7" x14ac:dyDescent="0.4">
      <c r="A145" s="2">
        <f ca="1">IFERROR(__xludf.DUMMYFUNCTION("""COMPUTED_VALUE"""),45252.4625745023)</f>
        <v>45252.4625745023</v>
      </c>
      <c r="B145" s="1" t="str">
        <f ca="1">IFERROR(__xludf.DUMMYFUNCTION("""COMPUTED_VALUE"""),"庫存調整")</f>
        <v>庫存調整</v>
      </c>
      <c r="C145" s="1" t="str">
        <f ca="1">IFERROR(__xludf.DUMMYFUNCTION("""COMPUTED_VALUE"""),"ME0160000073")</f>
        <v>ME0160000073</v>
      </c>
      <c r="D145" s="1" t="str">
        <f ca="1">IFERROR(__xludf.DUMMYFUNCTION("""COMPUTED_VALUE"""),"All/BA")</f>
        <v>All/BA</v>
      </c>
      <c r="E145" s="1" t="str">
        <f ca="1">IFERROR(__xludf.DUMMYFUNCTION("""COMPUTED_VALUE"""),"p2/庫存")</f>
        <v>p2/庫存</v>
      </c>
      <c r="F145" s="1">
        <f ca="1">IFERROR(__xludf.DUMMYFUNCTION("""COMPUTED_VALUE"""),-2)</f>
        <v>-2</v>
      </c>
      <c r="G145" s="1"/>
      <c r="H145" s="1" t="str">
        <f ca="1">IFERROR(__xludf.DUMMYFUNCTION("""COMPUTED_VALUE"""),"P2")</f>
        <v>P2</v>
      </c>
      <c r="I145" s="1" t="str">
        <f ca="1">IFERROR(__xludf.DUMMYFUNCTION("""COMPUTED_VALUE"""),"Chiao Yu")</f>
        <v>Chiao Yu</v>
      </c>
    </row>
    <row r="146" spans="1:9" ht="12.7" x14ac:dyDescent="0.4">
      <c r="A146" s="2">
        <f ca="1">IFERROR(__xludf.DUMMYFUNCTION("""COMPUTED_VALUE"""),45252.4637567013)</f>
        <v>45252.463756701298</v>
      </c>
      <c r="B146" s="1" t="str">
        <f ca="1">IFERROR(__xludf.DUMMYFUNCTION("""COMPUTED_VALUE"""),"進貨")</f>
        <v>進貨</v>
      </c>
      <c r="C146" s="1" t="str">
        <f ca="1">IFERROR(__xludf.DUMMYFUNCTION("""COMPUTED_VALUE"""),"MM0260000249")</f>
        <v>MM0260000249</v>
      </c>
      <c r="D146" s="1" t="str">
        <f ca="1">IFERROR(__xludf.DUMMYFUNCTION("""COMPUTED_VALUE"""),"All/RL")</f>
        <v>All/RL</v>
      </c>
      <c r="E146" s="1" t="str">
        <f ca="1">IFERROR(__xludf.DUMMYFUNCTION("""COMPUTED_VALUE"""),"p2/庫存")</f>
        <v>p2/庫存</v>
      </c>
      <c r="F146" s="1">
        <f ca="1">IFERROR(__xludf.DUMMYFUNCTION("""COMPUTED_VALUE"""),2)</f>
        <v>2</v>
      </c>
      <c r="G146" s="1"/>
      <c r="H146" s="1" t="str">
        <f ca="1">IFERROR(__xludf.DUMMYFUNCTION("""COMPUTED_VALUE"""),"P2")</f>
        <v>P2</v>
      </c>
      <c r="I146" s="1" t="str">
        <f ca="1">IFERROR(__xludf.DUMMYFUNCTION("""COMPUTED_VALUE"""),"Chiao Yu")</f>
        <v>Chiao Yu</v>
      </c>
    </row>
    <row r="147" spans="1:9" ht="12.7" x14ac:dyDescent="0.4">
      <c r="A147" s="2">
        <f ca="1">IFERROR(__xludf.DUMMYFUNCTION("""COMPUTED_VALUE"""),45252.4643485879)</f>
        <v>45252.464348587899</v>
      </c>
      <c r="B147" s="1" t="str">
        <f ca="1">IFERROR(__xludf.DUMMYFUNCTION("""COMPUTED_VALUE"""),"進貨")</f>
        <v>進貨</v>
      </c>
      <c r="C147" s="1" t="str">
        <f ca="1">IFERROR(__xludf.DUMMYFUNCTION("""COMPUTED_VALUE"""),"ME0010000385")</f>
        <v>ME0010000385</v>
      </c>
      <c r="D147" s="1" t="str">
        <f ca="1">IFERROR(__xludf.DUMMYFUNCTION("""COMPUTED_VALUE"""),"All/共用")</f>
        <v>All/共用</v>
      </c>
      <c r="E147" s="1" t="str">
        <f ca="1">IFERROR(__xludf.DUMMYFUNCTION("""COMPUTED_VALUE"""),"p2/庫存")</f>
        <v>p2/庫存</v>
      </c>
      <c r="F147" s="1">
        <f ca="1">IFERROR(__xludf.DUMMYFUNCTION("""COMPUTED_VALUE"""),2)</f>
        <v>2</v>
      </c>
      <c r="G147" s="1"/>
      <c r="H147" s="1" t="str">
        <f ca="1">IFERROR(__xludf.DUMMYFUNCTION("""COMPUTED_VALUE"""),"P2")</f>
        <v>P2</v>
      </c>
      <c r="I147" s="1" t="str">
        <f ca="1">IFERROR(__xludf.DUMMYFUNCTION("""COMPUTED_VALUE"""),"Chiao Yu")</f>
        <v>Chiao Yu</v>
      </c>
    </row>
    <row r="148" spans="1:9" ht="12.7" x14ac:dyDescent="0.4">
      <c r="A148" s="2">
        <f ca="1">IFERROR(__xludf.DUMMYFUNCTION("""COMPUTED_VALUE"""),45252.4647744791)</f>
        <v>45252.4647744791</v>
      </c>
      <c r="B148" s="1" t="str">
        <f ca="1">IFERROR(__xludf.DUMMYFUNCTION("""COMPUTED_VALUE"""),"進貨")</f>
        <v>進貨</v>
      </c>
      <c r="C148" s="1" t="str">
        <f ca="1">IFERROR(__xludf.DUMMYFUNCTION("""COMPUTED_VALUE"""),"ME0020000525")</f>
        <v>ME0020000525</v>
      </c>
      <c r="D148" s="1" t="str">
        <f ca="1">IFERROR(__xludf.DUMMYFUNCTION("""COMPUTED_VALUE"""),"All/共用")</f>
        <v>All/共用</v>
      </c>
      <c r="E148" s="1" t="str">
        <f ca="1">IFERROR(__xludf.DUMMYFUNCTION("""COMPUTED_VALUE"""),"p2/庫存")</f>
        <v>p2/庫存</v>
      </c>
      <c r="F148" s="1">
        <f ca="1">IFERROR(__xludf.DUMMYFUNCTION("""COMPUTED_VALUE"""),2)</f>
        <v>2</v>
      </c>
      <c r="G148" s="1"/>
      <c r="H148" s="1" t="str">
        <f ca="1">IFERROR(__xludf.DUMMYFUNCTION("""COMPUTED_VALUE"""),"P2")</f>
        <v>P2</v>
      </c>
      <c r="I148" s="1" t="str">
        <f ca="1">IFERROR(__xludf.DUMMYFUNCTION("""COMPUTED_VALUE"""),"Chiao Yu")</f>
        <v>Chiao Yu</v>
      </c>
    </row>
    <row r="149" spans="1:9" ht="12.7" x14ac:dyDescent="0.4">
      <c r="A149" s="2">
        <f ca="1">IFERROR(__xludf.DUMMYFUNCTION("""COMPUTED_VALUE"""),45252.4651774537)</f>
        <v>45252.465177453698</v>
      </c>
      <c r="B149" s="1" t="str">
        <f ca="1">IFERROR(__xludf.DUMMYFUNCTION("""COMPUTED_VALUE"""),"進貨")</f>
        <v>進貨</v>
      </c>
      <c r="C149" s="1" t="str">
        <f ca="1">IFERROR(__xludf.DUMMYFUNCTION("""COMPUTED_VALUE"""),"ME0070000140")</f>
        <v>ME0070000140</v>
      </c>
      <c r="D149" s="1" t="str">
        <f ca="1">IFERROR(__xludf.DUMMYFUNCTION("""COMPUTED_VALUE"""),"All/BA")</f>
        <v>All/BA</v>
      </c>
      <c r="E149" s="1" t="str">
        <f ca="1">IFERROR(__xludf.DUMMYFUNCTION("""COMPUTED_VALUE"""),"p2/庫存")</f>
        <v>p2/庫存</v>
      </c>
      <c r="F149" s="1">
        <f ca="1">IFERROR(__xludf.DUMMYFUNCTION("""COMPUTED_VALUE"""),4)</f>
        <v>4</v>
      </c>
      <c r="G149" s="1"/>
      <c r="H149" s="1" t="str">
        <f ca="1">IFERROR(__xludf.DUMMYFUNCTION("""COMPUTED_VALUE"""),"P2")</f>
        <v>P2</v>
      </c>
      <c r="I149" s="1" t="str">
        <f ca="1">IFERROR(__xludf.DUMMYFUNCTION("""COMPUTED_VALUE"""),"Chiao Yu")</f>
        <v>Chiao Yu</v>
      </c>
    </row>
    <row r="150" spans="1:9" ht="12.7" x14ac:dyDescent="0.4">
      <c r="A150" s="2">
        <f ca="1">IFERROR(__xludf.DUMMYFUNCTION("""COMPUTED_VALUE"""),45259.5855619328)</f>
        <v>45259.585561932799</v>
      </c>
      <c r="B150" s="1" t="str">
        <f ca="1">IFERROR(__xludf.DUMMYFUNCTION("""COMPUTED_VALUE"""),"返修")</f>
        <v>返修</v>
      </c>
      <c r="C150" s="1" t="str">
        <f ca="1">IFERROR(__xludf.DUMMYFUNCTION("""COMPUTED_VALUE"""),"AGT000000005")</f>
        <v>AGT000000005</v>
      </c>
      <c r="D150" s="1" t="str">
        <f ca="1">IFERROR(__xludf.DUMMYFUNCTION("""COMPUTED_VALUE"""),"All/共用")</f>
        <v>All/共用</v>
      </c>
      <c r="E150" s="1" t="str">
        <f ca="1">IFERROR(__xludf.DUMMYFUNCTION("""COMPUTED_VALUE"""),"p2/庫存")</f>
        <v>p2/庫存</v>
      </c>
      <c r="F150" s="1">
        <f ca="1">IFERROR(__xludf.DUMMYFUNCTION("""COMPUTED_VALUE"""),1)</f>
        <v>1</v>
      </c>
      <c r="G150" s="1"/>
      <c r="H150" s="1" t="str">
        <f ca="1">IFERROR(__xludf.DUMMYFUNCTION("""COMPUTED_VALUE"""),"P2_058")</f>
        <v>P2_058</v>
      </c>
      <c r="I150" s="1" t="str">
        <f ca="1">IFERROR(__xludf.DUMMYFUNCTION("""COMPUTED_VALUE"""),"Chiao Yu")</f>
        <v>Chiao Yu</v>
      </c>
    </row>
    <row r="151" spans="1:9" ht="12.7" x14ac:dyDescent="0.4">
      <c r="A151" s="2">
        <f ca="1">IFERROR(__xludf.DUMMYFUNCTION("""COMPUTED_VALUE"""),45266.3743545601)</f>
        <v>45266.374354560103</v>
      </c>
      <c r="B151" s="1" t="str">
        <f ca="1">IFERROR(__xludf.DUMMYFUNCTION("""COMPUTED_VALUE"""),"料件上線時間")</f>
        <v>料件上線時間</v>
      </c>
      <c r="C151" s="1" t="str">
        <f ca="1">IFERROR(__xludf.DUMMYFUNCTION("""COMPUTED_VALUE"""),"ME0160000073")</f>
        <v>ME0160000073</v>
      </c>
      <c r="D151" s="1" t="str">
        <f ca="1">IFERROR(__xludf.DUMMYFUNCTION("""COMPUTED_VALUE"""),"All/BA")</f>
        <v>All/BA</v>
      </c>
      <c r="E151" s="1" t="str">
        <f ca="1">IFERROR(__xludf.DUMMYFUNCTION("""COMPUTED_VALUE"""),"p1/庫存")</f>
        <v>p1/庫存</v>
      </c>
      <c r="F151" s="1">
        <f ca="1">IFERROR(__xludf.DUMMYFUNCTION("""COMPUTED_VALUE"""),1)</f>
        <v>1</v>
      </c>
      <c r="G151" s="1" t="str">
        <f ca="1">IFERROR(__xludf.DUMMYFUNCTION("""COMPUTED_VALUE"""),"B2211398")</f>
        <v>B2211398</v>
      </c>
      <c r="H151" s="1" t="str">
        <f ca="1">IFERROR(__xludf.DUMMYFUNCTION("""COMPUTED_VALUE"""),"P1_008")</f>
        <v>P1_008</v>
      </c>
      <c r="I151" s="1" t="str">
        <f ca="1">IFERROR(__xludf.DUMMYFUNCTION("""COMPUTED_VALUE"""),"Chiao Yu")</f>
        <v>Chiao Yu</v>
      </c>
    </row>
    <row r="152" spans="1:9" ht="12.7" x14ac:dyDescent="0.4">
      <c r="A152" s="2">
        <f ca="1">IFERROR(__xludf.DUMMYFUNCTION("""COMPUTED_VALUE"""),45266.3876762152)</f>
        <v>45266.387676215199</v>
      </c>
      <c r="B152" s="1" t="str">
        <f ca="1">IFERROR(__xludf.DUMMYFUNCTION("""COMPUTED_VALUE"""),"料件上線時間")</f>
        <v>料件上線時間</v>
      </c>
      <c r="C152" s="1" t="str">
        <f ca="1">IFERROR(__xludf.DUMMYFUNCTION("""COMPUTED_VALUE"""),"ME0160000073")</f>
        <v>ME0160000073</v>
      </c>
      <c r="D152" s="1" t="str">
        <f ca="1">IFERROR(__xludf.DUMMYFUNCTION("""COMPUTED_VALUE"""),"All/BA")</f>
        <v>All/BA</v>
      </c>
      <c r="E152" s="1" t="str">
        <f ca="1">IFERROR(__xludf.DUMMYFUNCTION("""COMPUTED_VALUE"""),"p1/庫存")</f>
        <v>p1/庫存</v>
      </c>
      <c r="F152" s="1">
        <f ca="1">IFERROR(__xludf.DUMMYFUNCTION("""COMPUTED_VALUE"""),1)</f>
        <v>1</v>
      </c>
      <c r="G152" s="1" t="str">
        <f ca="1">IFERROR(__xludf.DUMMYFUNCTION("""COMPUTED_VALUE"""),"B1408044")</f>
        <v>B1408044</v>
      </c>
      <c r="H152" s="1" t="str">
        <f ca="1">IFERROR(__xludf.DUMMYFUNCTION("""COMPUTED_VALUE"""),"P1_009")</f>
        <v>P1_009</v>
      </c>
      <c r="I152" s="1" t="str">
        <f ca="1">IFERROR(__xludf.DUMMYFUNCTION("""COMPUTED_VALUE"""),"Uri")</f>
        <v>Uri</v>
      </c>
    </row>
    <row r="153" spans="1:9" ht="12.7" x14ac:dyDescent="0.4">
      <c r="A153" s="2">
        <f ca="1">IFERROR(__xludf.DUMMYFUNCTION("""COMPUTED_VALUE"""),45266.3888710069)</f>
        <v>45266.3888710069</v>
      </c>
      <c r="B153" s="1" t="str">
        <f ca="1">IFERROR(__xludf.DUMMYFUNCTION("""COMPUTED_VALUE"""),"料件上線時間")</f>
        <v>料件上線時間</v>
      </c>
      <c r="C153" s="1" t="str">
        <f ca="1">IFERROR(__xludf.DUMMYFUNCTION("""COMPUTED_VALUE"""),"ME0160000073")</f>
        <v>ME0160000073</v>
      </c>
      <c r="D153" s="1" t="str">
        <f ca="1">IFERROR(__xludf.DUMMYFUNCTION("""COMPUTED_VALUE"""),"All/BA")</f>
        <v>All/BA</v>
      </c>
      <c r="E153" s="1" t="str">
        <f ca="1">IFERROR(__xludf.DUMMYFUNCTION("""COMPUTED_VALUE"""),"p1/庫存")</f>
        <v>p1/庫存</v>
      </c>
      <c r="F153" s="1">
        <f ca="1">IFERROR(__xludf.DUMMYFUNCTION("""COMPUTED_VALUE"""),1)</f>
        <v>1</v>
      </c>
      <c r="G153" s="1" t="str">
        <f ca="1">IFERROR(__xludf.DUMMYFUNCTION("""COMPUTED_VALUE"""),"B2206364")</f>
        <v>B2206364</v>
      </c>
      <c r="H153" s="1" t="str">
        <f ca="1">IFERROR(__xludf.DUMMYFUNCTION("""COMPUTED_VALUE"""),"P1_010")</f>
        <v>P1_010</v>
      </c>
      <c r="I153" s="1" t="str">
        <f ca="1">IFERROR(__xludf.DUMMYFUNCTION("""COMPUTED_VALUE"""),"Barry")</f>
        <v>Barry</v>
      </c>
    </row>
    <row r="154" spans="1:9" ht="12.7" x14ac:dyDescent="0.4">
      <c r="A154" s="2">
        <f ca="1">IFERROR(__xludf.DUMMYFUNCTION("""COMPUTED_VALUE"""),45266.3897545486)</f>
        <v>45266.389754548603</v>
      </c>
      <c r="B154" s="1" t="str">
        <f ca="1">IFERROR(__xludf.DUMMYFUNCTION("""COMPUTED_VALUE"""),"料件上線時間")</f>
        <v>料件上線時間</v>
      </c>
      <c r="C154" s="1" t="str">
        <f ca="1">IFERROR(__xludf.DUMMYFUNCTION("""COMPUTED_VALUE"""),"ME0160000073")</f>
        <v>ME0160000073</v>
      </c>
      <c r="D154" s="1" t="str">
        <f ca="1">IFERROR(__xludf.DUMMYFUNCTION("""COMPUTED_VALUE"""),"All/BA")</f>
        <v>All/BA</v>
      </c>
      <c r="E154" s="1" t="str">
        <f ca="1">IFERROR(__xludf.DUMMYFUNCTION("""COMPUTED_VALUE"""),"p1/庫存")</f>
        <v>p1/庫存</v>
      </c>
      <c r="F154" s="1">
        <f ca="1">IFERROR(__xludf.DUMMYFUNCTION("""COMPUTED_VALUE"""),1)</f>
        <v>1</v>
      </c>
      <c r="G154" s="1" t="str">
        <f ca="1">IFERROR(__xludf.DUMMYFUNCTION("""COMPUTED_VALUE"""),"B2206367")</f>
        <v>B2206367</v>
      </c>
      <c r="H154" s="1" t="str">
        <f ca="1">IFERROR(__xludf.DUMMYFUNCTION("""COMPUTED_VALUE"""),"P1_011")</f>
        <v>P1_011</v>
      </c>
      <c r="I154" s="1" t="str">
        <f ca="1">IFERROR(__xludf.DUMMYFUNCTION("""COMPUTED_VALUE"""),"Simon")</f>
        <v>Simon</v>
      </c>
    </row>
    <row r="155" spans="1:9" ht="12.7" x14ac:dyDescent="0.4">
      <c r="A155" s="2">
        <f ca="1">IFERROR(__xludf.DUMMYFUNCTION("""COMPUTED_VALUE"""),45266.3909243865)</f>
        <v>45266.390924386498</v>
      </c>
      <c r="B155" s="1" t="str">
        <f ca="1">IFERROR(__xludf.DUMMYFUNCTION("""COMPUTED_VALUE"""),"料件上線時間")</f>
        <v>料件上線時間</v>
      </c>
      <c r="C155" s="1" t="str">
        <f ca="1">IFERROR(__xludf.DUMMYFUNCTION("""COMPUTED_VALUE"""),"ME0160000073")</f>
        <v>ME0160000073</v>
      </c>
      <c r="D155" s="1" t="str">
        <f ca="1">IFERROR(__xludf.DUMMYFUNCTION("""COMPUTED_VALUE"""),"All/BA")</f>
        <v>All/BA</v>
      </c>
      <c r="E155" s="1" t="str">
        <f ca="1">IFERROR(__xludf.DUMMYFUNCTION("""COMPUTED_VALUE"""),"p1/庫存")</f>
        <v>p1/庫存</v>
      </c>
      <c r="F155" s="1">
        <f ca="1">IFERROR(__xludf.DUMMYFUNCTION("""COMPUTED_VALUE"""),1)</f>
        <v>1</v>
      </c>
      <c r="G155" s="1" t="str">
        <f ca="1">IFERROR(__xludf.DUMMYFUNCTION("""COMPUTED_VALUE"""),"B2206373")</f>
        <v>B2206373</v>
      </c>
      <c r="H155" s="1" t="str">
        <f ca="1">IFERROR(__xludf.DUMMYFUNCTION("""COMPUTED_VALUE"""),"P1_012")</f>
        <v>P1_012</v>
      </c>
      <c r="I155" s="1" t="str">
        <f ca="1">IFERROR(__xludf.DUMMYFUNCTION("""COMPUTED_VALUE"""),"Simon")</f>
        <v>Simon</v>
      </c>
    </row>
    <row r="156" spans="1:9" ht="12.7" x14ac:dyDescent="0.4">
      <c r="A156" s="2">
        <f ca="1">IFERROR(__xludf.DUMMYFUNCTION("""COMPUTED_VALUE"""),45266.3928773148)</f>
        <v>45266.3928773148</v>
      </c>
      <c r="B156" s="1" t="str">
        <f ca="1">IFERROR(__xludf.DUMMYFUNCTION("""COMPUTED_VALUE"""),"料件上線時間")</f>
        <v>料件上線時間</v>
      </c>
      <c r="C156" s="1" t="str">
        <f ca="1">IFERROR(__xludf.DUMMYFUNCTION("""COMPUTED_VALUE"""),"ME0160000073")</f>
        <v>ME0160000073</v>
      </c>
      <c r="D156" s="1" t="str">
        <f ca="1">IFERROR(__xludf.DUMMYFUNCTION("""COMPUTED_VALUE"""),"All/BA")</f>
        <v>All/BA</v>
      </c>
      <c r="E156" s="1" t="str">
        <f ca="1">IFERROR(__xludf.DUMMYFUNCTION("""COMPUTED_VALUE"""),"p1/庫存")</f>
        <v>p1/庫存</v>
      </c>
      <c r="F156" s="1">
        <f ca="1">IFERROR(__xludf.DUMMYFUNCTION("""COMPUTED_VALUE"""),1)</f>
        <v>1</v>
      </c>
      <c r="G156" s="1" t="str">
        <f ca="1">IFERROR(__xludf.DUMMYFUNCTION("""COMPUTED_VALUE"""),"B2206374")</f>
        <v>B2206374</v>
      </c>
      <c r="H156" s="1" t="str">
        <f ca="1">IFERROR(__xludf.DUMMYFUNCTION("""COMPUTED_VALUE"""),"P1_013")</f>
        <v>P1_013</v>
      </c>
      <c r="I156" s="1" t="str">
        <f ca="1">IFERROR(__xludf.DUMMYFUNCTION("""COMPUTED_VALUE"""),"Simon")</f>
        <v>Simon</v>
      </c>
    </row>
    <row r="157" spans="1:9" ht="12.7" x14ac:dyDescent="0.4">
      <c r="A157" s="2">
        <f ca="1">IFERROR(__xludf.DUMMYFUNCTION("""COMPUTED_VALUE"""),45266.3936358333)</f>
        <v>45266.393635833301</v>
      </c>
      <c r="B157" s="1" t="str">
        <f ca="1">IFERROR(__xludf.DUMMYFUNCTION("""COMPUTED_VALUE"""),"料件上線時間")</f>
        <v>料件上線時間</v>
      </c>
      <c r="C157" s="1" t="str">
        <f ca="1">IFERROR(__xludf.DUMMYFUNCTION("""COMPUTED_VALUE"""),"ME0160000073")</f>
        <v>ME0160000073</v>
      </c>
      <c r="D157" s="1" t="str">
        <f ca="1">IFERROR(__xludf.DUMMYFUNCTION("""COMPUTED_VALUE"""),"All/BA")</f>
        <v>All/BA</v>
      </c>
      <c r="E157" s="1" t="str">
        <f ca="1">IFERROR(__xludf.DUMMYFUNCTION("""COMPUTED_VALUE"""),"p1/庫存")</f>
        <v>p1/庫存</v>
      </c>
      <c r="F157" s="1">
        <f ca="1">IFERROR(__xludf.DUMMYFUNCTION("""COMPUTED_VALUE"""),1)</f>
        <v>1</v>
      </c>
      <c r="G157" s="1" t="str">
        <f ca="1">IFERROR(__xludf.DUMMYFUNCTION("""COMPUTED_VALUE"""),"B2206370")</f>
        <v>B2206370</v>
      </c>
      <c r="H157" s="1" t="str">
        <f ca="1">IFERROR(__xludf.DUMMYFUNCTION("""COMPUTED_VALUE"""),"P1_014")</f>
        <v>P1_014</v>
      </c>
      <c r="I157" s="1" t="str">
        <f ca="1">IFERROR(__xludf.DUMMYFUNCTION("""COMPUTED_VALUE"""),"Chiao Yu")</f>
        <v>Chiao Yu</v>
      </c>
    </row>
    <row r="158" spans="1:9" ht="12.7" x14ac:dyDescent="0.4">
      <c r="A158" s="2">
        <f ca="1">IFERROR(__xludf.DUMMYFUNCTION("""COMPUTED_VALUE"""),45266.3942392939)</f>
        <v>45266.394239293899</v>
      </c>
      <c r="B158" s="1" t="str">
        <f ca="1">IFERROR(__xludf.DUMMYFUNCTION("""COMPUTED_VALUE"""),"料件上線時間")</f>
        <v>料件上線時間</v>
      </c>
      <c r="C158" s="1" t="str">
        <f ca="1">IFERROR(__xludf.DUMMYFUNCTION("""COMPUTED_VALUE"""),"ME0160000073")</f>
        <v>ME0160000073</v>
      </c>
      <c r="D158" s="1" t="str">
        <f ca="1">IFERROR(__xludf.DUMMYFUNCTION("""COMPUTED_VALUE"""),"All/BA")</f>
        <v>All/BA</v>
      </c>
      <c r="E158" s="1" t="str">
        <f ca="1">IFERROR(__xludf.DUMMYFUNCTION("""COMPUTED_VALUE"""),"p1/庫存")</f>
        <v>p1/庫存</v>
      </c>
      <c r="F158" s="1">
        <f ca="1">IFERROR(__xludf.DUMMYFUNCTION("""COMPUTED_VALUE"""),1)</f>
        <v>1</v>
      </c>
      <c r="G158" s="1" t="str">
        <f ca="1">IFERROR(__xludf.DUMMYFUNCTION("""COMPUTED_VALUE"""),"B2206371")</f>
        <v>B2206371</v>
      </c>
      <c r="H158" s="1" t="str">
        <f ca="1">IFERROR(__xludf.DUMMYFUNCTION("""COMPUTED_VALUE"""),"P1_015")</f>
        <v>P1_015</v>
      </c>
      <c r="I158" s="1" t="str">
        <f ca="1">IFERROR(__xludf.DUMMYFUNCTION("""COMPUTED_VALUE"""),"Chiao Yu")</f>
        <v>Chiao Yu</v>
      </c>
    </row>
    <row r="159" spans="1:9" ht="12.7" x14ac:dyDescent="0.4">
      <c r="A159" s="2">
        <f ca="1">IFERROR(__xludf.DUMMYFUNCTION("""COMPUTED_VALUE"""),45273.4268917013)</f>
        <v>45273.426891701303</v>
      </c>
      <c r="B159" s="1" t="str">
        <f ca="1">IFERROR(__xludf.DUMMYFUNCTION("""COMPUTED_VALUE"""),"庫存調整")</f>
        <v>庫存調整</v>
      </c>
      <c r="C159" s="1" t="str">
        <f ca="1">IFERROR(__xludf.DUMMYFUNCTION("""COMPUTED_VALUE"""),"A00100000731")</f>
        <v>A00100000731</v>
      </c>
      <c r="D159" s="1" t="str">
        <f ca="1">IFERROR(__xludf.DUMMYFUNCTION("""COMPUTED_VALUE"""),"All/BA")</f>
        <v>All/BA</v>
      </c>
      <c r="E159" s="1" t="str">
        <f ca="1">IFERROR(__xludf.DUMMYFUNCTION("""COMPUTED_VALUE"""),"p1/庫存")</f>
        <v>p1/庫存</v>
      </c>
      <c r="F159" s="1">
        <f ca="1">IFERROR(__xludf.DUMMYFUNCTION("""COMPUTED_VALUE"""),0)</f>
        <v>0</v>
      </c>
      <c r="G159" s="1" t="str">
        <f ca="1">IFERROR(__xludf.DUMMYFUNCTION("""COMPUTED_VALUE"""),"01G102")</f>
        <v>01G102</v>
      </c>
      <c r="H159" s="1" t="str">
        <f ca="1">IFERROR(__xludf.DUMMYFUNCTION("""COMPUTED_VALUE"""),"P1測試機")</f>
        <v>P1測試機</v>
      </c>
      <c r="I159" s="1" t="str">
        <f ca="1">IFERROR(__xludf.DUMMYFUNCTION("""COMPUTED_VALUE"""),"Chiao Yu")</f>
        <v>Chiao Yu</v>
      </c>
    </row>
    <row r="160" spans="1:9" ht="12.7" x14ac:dyDescent="0.4">
      <c r="A160" s="2">
        <f ca="1">IFERROR(__xludf.DUMMYFUNCTION("""COMPUTED_VALUE"""),45273.557419456)</f>
        <v>45273.557419456003</v>
      </c>
      <c r="B160" s="1" t="str">
        <f ca="1">IFERROR(__xludf.DUMMYFUNCTION("""COMPUTED_VALUE"""),"領料")</f>
        <v>領料</v>
      </c>
      <c r="C160" s="1" t="str">
        <f ca="1">IFERROR(__xludf.DUMMYFUNCTION("""COMPUTED_VALUE"""),"MM0260000157")</f>
        <v>MM0260000157</v>
      </c>
      <c r="D160" s="1" t="str">
        <f ca="1">IFERROR(__xludf.DUMMYFUNCTION("""COMPUTED_VALUE"""),"All/BA")</f>
        <v>All/BA</v>
      </c>
      <c r="E160" s="1" t="str">
        <f ca="1">IFERROR(__xludf.DUMMYFUNCTION("""COMPUTED_VALUE"""),"p1/庫存")</f>
        <v>p1/庫存</v>
      </c>
      <c r="F160" s="1">
        <f ca="1">IFERROR(__xludf.DUMMYFUNCTION("""COMPUTED_VALUE"""),3)</f>
        <v>3</v>
      </c>
      <c r="G160" s="1"/>
      <c r="H160" s="1" t="str">
        <f ca="1">IFERROR(__xludf.DUMMYFUNCTION("""COMPUTED_VALUE"""),"P1")</f>
        <v>P1</v>
      </c>
      <c r="I160" s="1" t="str">
        <f ca="1">IFERROR(__xludf.DUMMYFUNCTION("""COMPUTED_VALUE"""),"Chiao Yu")</f>
        <v>Chiao Yu</v>
      </c>
    </row>
    <row r="161" spans="1:9" ht="12.7" x14ac:dyDescent="0.4">
      <c r="A161" s="2">
        <f ca="1">IFERROR(__xludf.DUMMYFUNCTION("""COMPUTED_VALUE"""),45273.6271348495)</f>
        <v>45273.627134849499</v>
      </c>
      <c r="B161" s="1" t="str">
        <f ca="1">IFERROR(__xludf.DUMMYFUNCTION("""COMPUTED_VALUE"""),"進貨")</f>
        <v>進貨</v>
      </c>
      <c r="C161" s="1" t="str">
        <f ca="1">IFERROR(__xludf.DUMMYFUNCTION("""COMPUTED_VALUE"""),"ME0120000230")</f>
        <v>ME0120000230</v>
      </c>
      <c r="D161" s="1" t="str">
        <f ca="1">IFERROR(__xludf.DUMMYFUNCTION("""COMPUTED_VALUE"""),"All/共用")</f>
        <v>All/共用</v>
      </c>
      <c r="E161" s="1" t="str">
        <f ca="1">IFERROR(__xludf.DUMMYFUNCTION("""COMPUTED_VALUE"""),"p1/庫存")</f>
        <v>p1/庫存</v>
      </c>
      <c r="F161" s="1">
        <f ca="1">IFERROR(__xludf.DUMMYFUNCTION("""COMPUTED_VALUE"""),8)</f>
        <v>8</v>
      </c>
      <c r="G161" s="1"/>
      <c r="H161" s="1" t="str">
        <f ca="1">IFERROR(__xludf.DUMMYFUNCTION("""COMPUTED_VALUE"""),"P1")</f>
        <v>P1</v>
      </c>
      <c r="I161" s="1" t="str">
        <f ca="1">IFERROR(__xludf.DUMMYFUNCTION("""COMPUTED_VALUE"""),"Chiao Yu")</f>
        <v>Chiao Yu</v>
      </c>
    </row>
    <row r="162" spans="1:9" ht="12.7" x14ac:dyDescent="0.4">
      <c r="A162" s="2">
        <f ca="1">IFERROR(__xludf.DUMMYFUNCTION("""COMPUTED_VALUE"""),45273.6277281713)</f>
        <v>45273.627728171297</v>
      </c>
      <c r="B162" s="1" t="str">
        <f ca="1">IFERROR(__xludf.DUMMYFUNCTION("""COMPUTED_VALUE"""),"領料")</f>
        <v>領料</v>
      </c>
      <c r="C162" s="1" t="str">
        <f ca="1">IFERROR(__xludf.DUMMYFUNCTION("""COMPUTED_VALUE"""),"ME0120000230")</f>
        <v>ME0120000230</v>
      </c>
      <c r="D162" s="1" t="str">
        <f ca="1">IFERROR(__xludf.DUMMYFUNCTION("""COMPUTED_VALUE"""),"All/共用")</f>
        <v>All/共用</v>
      </c>
      <c r="E162" s="1" t="str">
        <f ca="1">IFERROR(__xludf.DUMMYFUNCTION("""COMPUTED_VALUE"""),"p1/庫存")</f>
        <v>p1/庫存</v>
      </c>
      <c r="F162" s="1">
        <f ca="1">IFERROR(__xludf.DUMMYFUNCTION("""COMPUTED_VALUE"""),8)</f>
        <v>8</v>
      </c>
      <c r="G162" s="1"/>
      <c r="H162" s="1" t="str">
        <f ca="1">IFERROR(__xludf.DUMMYFUNCTION("""COMPUTED_VALUE"""),"P1")</f>
        <v>P1</v>
      </c>
      <c r="I162" s="1" t="str">
        <f ca="1">IFERROR(__xludf.DUMMYFUNCTION("""COMPUTED_VALUE"""),"Chiao Yu")</f>
        <v>Chiao Yu</v>
      </c>
    </row>
    <row r="163" spans="1:9" ht="12.7" x14ac:dyDescent="0.4">
      <c r="A163" s="2">
        <f ca="1">IFERROR(__xludf.DUMMYFUNCTION("""COMPUTED_VALUE"""),45273.6287733101)</f>
        <v>45273.628773310098</v>
      </c>
      <c r="B163" s="1" t="str">
        <f ca="1">IFERROR(__xludf.DUMMYFUNCTION("""COMPUTED_VALUE"""),"進貨")</f>
        <v>進貨</v>
      </c>
      <c r="C163" s="1" t="str">
        <f ca="1">IFERROR(__xludf.DUMMYFUNCTION("""COMPUTED_VALUE"""),"ME0120000084")</f>
        <v>ME0120000084</v>
      </c>
      <c r="D163" s="1" t="str">
        <f ca="1">IFERROR(__xludf.DUMMYFUNCTION("""COMPUTED_VALUE"""),"All/BA")</f>
        <v>All/BA</v>
      </c>
      <c r="E163" s="1" t="str">
        <f ca="1">IFERROR(__xludf.DUMMYFUNCTION("""COMPUTED_VALUE"""),"p1/庫存")</f>
        <v>p1/庫存</v>
      </c>
      <c r="F163" s="1">
        <f ca="1">IFERROR(__xludf.DUMMYFUNCTION("""COMPUTED_VALUE"""),1)</f>
        <v>1</v>
      </c>
      <c r="G163" s="1"/>
      <c r="H163" s="1" t="str">
        <f ca="1">IFERROR(__xludf.DUMMYFUNCTION("""COMPUTED_VALUE"""),"P1")</f>
        <v>P1</v>
      </c>
      <c r="I163" s="1" t="str">
        <f ca="1">IFERROR(__xludf.DUMMYFUNCTION("""COMPUTED_VALUE"""),"Chiao Yu")</f>
        <v>Chiao Yu</v>
      </c>
    </row>
    <row r="164" spans="1:9" ht="12.7" x14ac:dyDescent="0.4">
      <c r="A164" s="2">
        <f ca="1">IFERROR(__xludf.DUMMYFUNCTION("""COMPUTED_VALUE"""),45273.6290930324)</f>
        <v>45273.629093032403</v>
      </c>
      <c r="B164" s="1" t="str">
        <f ca="1">IFERROR(__xludf.DUMMYFUNCTION("""COMPUTED_VALUE"""),"進貨")</f>
        <v>進貨</v>
      </c>
      <c r="C164" s="1" t="str">
        <f ca="1">IFERROR(__xludf.DUMMYFUNCTION("""COMPUTED_VALUE"""),"ME0120000084")</f>
        <v>ME0120000084</v>
      </c>
      <c r="D164" s="1" t="str">
        <f ca="1">IFERROR(__xludf.DUMMYFUNCTION("""COMPUTED_VALUE"""),"All/BA")</f>
        <v>All/BA</v>
      </c>
      <c r="E164" s="1" t="str">
        <f ca="1">IFERROR(__xludf.DUMMYFUNCTION("""COMPUTED_VALUE"""),"p2/庫存")</f>
        <v>p2/庫存</v>
      </c>
      <c r="F164" s="1">
        <f ca="1">IFERROR(__xludf.DUMMYFUNCTION("""COMPUTED_VALUE"""),1)</f>
        <v>1</v>
      </c>
      <c r="G164" s="1"/>
      <c r="H164" s="1" t="str">
        <f ca="1">IFERROR(__xludf.DUMMYFUNCTION("""COMPUTED_VALUE"""),"P2")</f>
        <v>P2</v>
      </c>
      <c r="I164" s="1" t="str">
        <f ca="1">IFERROR(__xludf.DUMMYFUNCTION("""COMPUTED_VALUE"""),"Chiao Yu")</f>
        <v>Chiao Yu</v>
      </c>
    </row>
    <row r="165" spans="1:9" ht="12.7" x14ac:dyDescent="0.4">
      <c r="A165" s="2">
        <f ca="1">IFERROR(__xludf.DUMMYFUNCTION("""COMPUTED_VALUE"""),45273.6303525578)</f>
        <v>45273.630352557797</v>
      </c>
      <c r="B165" s="1" t="str">
        <f ca="1">IFERROR(__xludf.DUMMYFUNCTION("""COMPUTED_VALUE"""),"進貨")</f>
        <v>進貨</v>
      </c>
      <c r="C165" s="1" t="str">
        <f ca="1">IFERROR(__xludf.DUMMYFUNCTION("""COMPUTED_VALUE"""),"ME0120000085")</f>
        <v>ME0120000085</v>
      </c>
      <c r="D165" s="1" t="str">
        <f ca="1">IFERROR(__xludf.DUMMYFUNCTION("""COMPUTED_VALUE"""),"All/BA")</f>
        <v>All/BA</v>
      </c>
      <c r="E165" s="1" t="str">
        <f ca="1">IFERROR(__xludf.DUMMYFUNCTION("""COMPUTED_VALUE"""),"p1/庫存")</f>
        <v>p1/庫存</v>
      </c>
      <c r="F165" s="1">
        <f ca="1">IFERROR(__xludf.DUMMYFUNCTION("""COMPUTED_VALUE"""),174)</f>
        <v>174</v>
      </c>
      <c r="G165" s="1"/>
      <c r="H165" s="1" t="str">
        <f ca="1">IFERROR(__xludf.DUMMYFUNCTION("""COMPUTED_VALUE"""),"P1")</f>
        <v>P1</v>
      </c>
      <c r="I165" s="1" t="str">
        <f ca="1">IFERROR(__xludf.DUMMYFUNCTION("""COMPUTED_VALUE"""),"Chiao Yu")</f>
        <v>Chiao Yu</v>
      </c>
    </row>
    <row r="166" spans="1:9" ht="12.7" x14ac:dyDescent="0.4">
      <c r="A166" s="2">
        <f ca="1">IFERROR(__xludf.DUMMYFUNCTION("""COMPUTED_VALUE"""),45273.6312099189)</f>
        <v>45273.631209918902</v>
      </c>
      <c r="B166" s="1" t="str">
        <f ca="1">IFERROR(__xludf.DUMMYFUNCTION("""COMPUTED_VALUE"""),"庫存調整")</f>
        <v>庫存調整</v>
      </c>
      <c r="C166" s="1" t="str">
        <f ca="1">IFERROR(__xludf.DUMMYFUNCTION("""COMPUTED_VALUE"""),"ME0120000085")</f>
        <v>ME0120000085</v>
      </c>
      <c r="D166" s="1" t="str">
        <f ca="1">IFERROR(__xludf.DUMMYFUNCTION("""COMPUTED_VALUE"""),"All/BA")</f>
        <v>All/BA</v>
      </c>
      <c r="E166" s="1" t="str">
        <f ca="1">IFERROR(__xludf.DUMMYFUNCTION("""COMPUTED_VALUE"""),"p1/庫存")</f>
        <v>p1/庫存</v>
      </c>
      <c r="F166" s="1">
        <f ca="1">IFERROR(__xludf.DUMMYFUNCTION("""COMPUTED_VALUE"""),3)</f>
        <v>3</v>
      </c>
      <c r="G166" s="1"/>
      <c r="H166" s="1" t="str">
        <f ca="1">IFERROR(__xludf.DUMMYFUNCTION("""COMPUTED_VALUE"""),"P1")</f>
        <v>P1</v>
      </c>
      <c r="I166" s="1" t="str">
        <f ca="1">IFERROR(__xludf.DUMMYFUNCTION("""COMPUTED_VALUE"""),"Chiao Yu")</f>
        <v>Chiao Yu</v>
      </c>
    </row>
    <row r="167" spans="1:9" ht="12.7" x14ac:dyDescent="0.4">
      <c r="A167" s="2">
        <f ca="1">IFERROR(__xludf.DUMMYFUNCTION("""COMPUTED_VALUE"""),45273.6318129282)</f>
        <v>45273.631812928201</v>
      </c>
      <c r="B167" s="1" t="str">
        <f ca="1">IFERROR(__xludf.DUMMYFUNCTION("""COMPUTED_VALUE"""),"庫存調整")</f>
        <v>庫存調整</v>
      </c>
      <c r="C167" s="1" t="str">
        <f ca="1">IFERROR(__xludf.DUMMYFUNCTION("""COMPUTED_VALUE"""),"ME0120000085")</f>
        <v>ME0120000085</v>
      </c>
      <c r="D167" s="1" t="str">
        <f ca="1">IFERROR(__xludf.DUMMYFUNCTION("""COMPUTED_VALUE"""),"All/BA")</f>
        <v>All/BA</v>
      </c>
      <c r="E167" s="1" t="str">
        <f ca="1">IFERROR(__xludf.DUMMYFUNCTION("""COMPUTED_VALUE"""),"p2/庫存")</f>
        <v>p2/庫存</v>
      </c>
      <c r="F167" s="1">
        <f ca="1">IFERROR(__xludf.DUMMYFUNCTION("""COMPUTED_VALUE"""),-3)</f>
        <v>-3</v>
      </c>
      <c r="G167" s="1"/>
      <c r="H167" s="1" t="str">
        <f ca="1">IFERROR(__xludf.DUMMYFUNCTION("""COMPUTED_VALUE"""),"P2")</f>
        <v>P2</v>
      </c>
      <c r="I167" s="1" t="str">
        <f ca="1">IFERROR(__xludf.DUMMYFUNCTION("""COMPUTED_VALUE"""),"Chiao Yu")</f>
        <v>Chiao Yu</v>
      </c>
    </row>
    <row r="168" spans="1:9" ht="12.7" x14ac:dyDescent="0.4">
      <c r="A168" s="2">
        <f ca="1">IFERROR(__xludf.DUMMYFUNCTION("""COMPUTED_VALUE"""),45273.6734364814)</f>
        <v>45273.673436481396</v>
      </c>
      <c r="B168" s="1" t="str">
        <f ca="1">IFERROR(__xludf.DUMMYFUNCTION("""COMPUTED_VALUE"""),"返修")</f>
        <v>返修</v>
      </c>
      <c r="C168" s="1" t="str">
        <f ca="1">IFERROR(__xludf.DUMMYFUNCTION("""COMPUTED_VALUE"""),"A00100000731")</f>
        <v>A00100000731</v>
      </c>
      <c r="D168" s="1" t="str">
        <f ca="1">IFERROR(__xludf.DUMMYFUNCTION("""COMPUTED_VALUE"""),"All/BA")</f>
        <v>All/BA</v>
      </c>
      <c r="E168" s="1" t="str">
        <f ca="1">IFERROR(__xludf.DUMMYFUNCTION("""COMPUTED_VALUE"""),"p1/庫存")</f>
        <v>p1/庫存</v>
      </c>
      <c r="F168" s="1">
        <f ca="1">IFERROR(__xludf.DUMMYFUNCTION("""COMPUTED_VALUE"""),1)</f>
        <v>1</v>
      </c>
      <c r="G168" s="1" t="str">
        <f ca="1">IFERROR(__xludf.DUMMYFUNCTION("""COMPUTED_VALUE"""),"01G102")</f>
        <v>01G102</v>
      </c>
      <c r="H168" s="1" t="str">
        <f ca="1">IFERROR(__xludf.DUMMYFUNCTION("""COMPUTED_VALUE"""),"P1測試機")</f>
        <v>P1測試機</v>
      </c>
      <c r="I168" s="1" t="str">
        <f ca="1">IFERROR(__xludf.DUMMYFUNCTION("""COMPUTED_VALUE"""),"Chiao Yu")</f>
        <v>Chiao Yu</v>
      </c>
    </row>
    <row r="169" spans="1:9" ht="12.7" x14ac:dyDescent="0.4">
      <c r="A169" s="2">
        <f ca="1">IFERROR(__xludf.DUMMYFUNCTION("""COMPUTED_VALUE"""),45274.343347037)</f>
        <v>45274.343347037</v>
      </c>
      <c r="B169" s="1" t="str">
        <f ca="1">IFERROR(__xludf.DUMMYFUNCTION("""COMPUTED_VALUE"""),"庫存調整")</f>
        <v>庫存調整</v>
      </c>
      <c r="C169" s="1" t="str">
        <f ca="1">IFERROR(__xludf.DUMMYFUNCTION("""COMPUTED_VALUE"""),"ME0230000240")</f>
        <v>ME0230000240</v>
      </c>
      <c r="D169" s="1" t="str">
        <f ca="1">IFERROR(__xludf.DUMMYFUNCTION("""COMPUTED_VALUE"""),"All/共用")</f>
        <v>All/共用</v>
      </c>
      <c r="E169" s="1" t="str">
        <f ca="1">IFERROR(__xludf.DUMMYFUNCTION("""COMPUTED_VALUE"""),"p1/庫存")</f>
        <v>p1/庫存</v>
      </c>
      <c r="F169" s="1">
        <f ca="1">IFERROR(__xludf.DUMMYFUNCTION("""COMPUTED_VALUE"""),-1)</f>
        <v>-1</v>
      </c>
      <c r="G169" s="1"/>
      <c r="H169" s="1" t="str">
        <f ca="1">IFERROR(__xludf.DUMMYFUNCTION("""COMPUTED_VALUE"""),"P1測試機")</f>
        <v>P1測試機</v>
      </c>
      <c r="I169" s="1" t="str">
        <f ca="1">IFERROR(__xludf.DUMMYFUNCTION("""COMPUTED_VALUE"""),"Simon")</f>
        <v>Simon</v>
      </c>
    </row>
    <row r="170" spans="1:9" ht="12.7" x14ac:dyDescent="0.4">
      <c r="A170" s="2">
        <f ca="1">IFERROR(__xludf.DUMMYFUNCTION("""COMPUTED_VALUE"""),45274.5788098148)</f>
        <v>45274.578809814797</v>
      </c>
      <c r="B170" s="1" t="str">
        <f ca="1">IFERROR(__xludf.DUMMYFUNCTION("""COMPUTED_VALUE"""),"庫存調整")</f>
        <v>庫存調整</v>
      </c>
      <c r="C170" s="1" t="str">
        <f ca="1">IFERROR(__xludf.DUMMYFUNCTION("""COMPUTED_VALUE"""),"MM0010000125")</f>
        <v>MM0010000125</v>
      </c>
      <c r="D170" s="1" t="str">
        <f ca="1">IFERROR(__xludf.DUMMYFUNCTION("""COMPUTED_VALUE"""),"All/RL")</f>
        <v>All/RL</v>
      </c>
      <c r="E170" s="1" t="str">
        <f ca="1">IFERROR(__xludf.DUMMYFUNCTION("""COMPUTED_VALUE"""),"p2/庫存")</f>
        <v>p2/庫存</v>
      </c>
      <c r="F170" s="1">
        <f ca="1">IFERROR(__xludf.DUMMYFUNCTION("""COMPUTED_VALUE"""),1)</f>
        <v>1</v>
      </c>
      <c r="G170" s="1"/>
      <c r="H170" s="1" t="str">
        <f ca="1">IFERROR(__xludf.DUMMYFUNCTION("""COMPUTED_VALUE"""),"P2")</f>
        <v>P2</v>
      </c>
      <c r="I170" s="1" t="str">
        <f ca="1">IFERROR(__xludf.DUMMYFUNCTION("""COMPUTED_VALUE"""),"Chiao Yu")</f>
        <v>Chiao Yu</v>
      </c>
    </row>
    <row r="171" spans="1:9" ht="12.7" x14ac:dyDescent="0.4">
      <c r="A171" s="2">
        <f ca="1">IFERROR(__xludf.DUMMYFUNCTION("""COMPUTED_VALUE"""),45274.579738206)</f>
        <v>45274.579738205997</v>
      </c>
      <c r="B171" s="1" t="str">
        <f ca="1">IFERROR(__xludf.DUMMYFUNCTION("""COMPUTED_VALUE"""),"庫存調整")</f>
        <v>庫存調整</v>
      </c>
      <c r="C171" s="1" t="str">
        <f ca="1">IFERROR(__xludf.DUMMYFUNCTION("""COMPUTED_VALUE"""),"ME0030000058")</f>
        <v>ME0030000058</v>
      </c>
      <c r="D171" s="1" t="str">
        <f ca="1">IFERROR(__xludf.DUMMYFUNCTION("""COMPUTED_VALUE"""),"All/共用")</f>
        <v>All/共用</v>
      </c>
      <c r="E171" s="1" t="str">
        <f ca="1">IFERROR(__xludf.DUMMYFUNCTION("""COMPUTED_VALUE"""),"p2/庫存")</f>
        <v>p2/庫存</v>
      </c>
      <c r="F171" s="1">
        <f ca="1">IFERROR(__xludf.DUMMYFUNCTION("""COMPUTED_VALUE"""),-1)</f>
        <v>-1</v>
      </c>
      <c r="G171" s="1"/>
      <c r="H171" s="1" t="str">
        <f ca="1">IFERROR(__xludf.DUMMYFUNCTION("""COMPUTED_VALUE"""),"P2")</f>
        <v>P2</v>
      </c>
      <c r="I171" s="1" t="str">
        <f ca="1">IFERROR(__xludf.DUMMYFUNCTION("""COMPUTED_VALUE"""),"Chiao Yu")</f>
        <v>Chiao Yu</v>
      </c>
    </row>
    <row r="172" spans="1:9" ht="12.7" x14ac:dyDescent="0.4">
      <c r="A172" s="2">
        <f ca="1">IFERROR(__xludf.DUMMYFUNCTION("""COMPUTED_VALUE"""),45276.362397824)</f>
        <v>45276.362397823999</v>
      </c>
      <c r="B172" s="1" t="str">
        <f ca="1">IFERROR(__xludf.DUMMYFUNCTION("""COMPUTED_VALUE"""),"領料")</f>
        <v>領料</v>
      </c>
      <c r="C172" s="1" t="str">
        <f ca="1">IFERROR(__xludf.DUMMYFUNCTION("""COMPUTED_VALUE"""),"ME0030000058")</f>
        <v>ME0030000058</v>
      </c>
      <c r="D172" s="1" t="str">
        <f ca="1">IFERROR(__xludf.DUMMYFUNCTION("""COMPUTED_VALUE"""),"All/共用")</f>
        <v>All/共用</v>
      </c>
      <c r="E172" s="1" t="str">
        <f ca="1">IFERROR(__xludf.DUMMYFUNCTION("""COMPUTED_VALUE"""),"p1/庫存")</f>
        <v>p1/庫存</v>
      </c>
      <c r="F172" s="1">
        <f ca="1">IFERROR(__xludf.DUMMYFUNCTION("""COMPUTED_VALUE"""),1)</f>
        <v>1</v>
      </c>
      <c r="G172" s="1"/>
      <c r="H172" s="1" t="str">
        <f ca="1">IFERROR(__xludf.DUMMYFUNCTION("""COMPUTED_VALUE"""),"P1")</f>
        <v>P1</v>
      </c>
      <c r="I172" s="1" t="str">
        <f ca="1">IFERROR(__xludf.DUMMYFUNCTION("""COMPUTED_VALUE"""),"Chiao Yu")</f>
        <v>Chiao Yu</v>
      </c>
    </row>
    <row r="173" spans="1:9" ht="12.7" x14ac:dyDescent="0.4">
      <c r="A173" s="2">
        <f ca="1">IFERROR(__xludf.DUMMYFUNCTION("""COMPUTED_VALUE"""),45278.0716842476)</f>
        <v>45278.071684247603</v>
      </c>
      <c r="B173" s="1" t="str">
        <f ca="1">IFERROR(__xludf.DUMMYFUNCTION("""COMPUTED_VALUE"""),"送修")</f>
        <v>送修</v>
      </c>
      <c r="C173" s="1" t="str">
        <f ca="1">IFERROR(__xludf.DUMMYFUNCTION("""COMPUTED_VALUE"""),"ME0020000525")</f>
        <v>ME0020000525</v>
      </c>
      <c r="D173" s="1" t="str">
        <f ca="1">IFERROR(__xludf.DUMMYFUNCTION("""COMPUTED_VALUE"""),"All/共用")</f>
        <v>All/共用</v>
      </c>
      <c r="E173" s="1" t="str">
        <f ca="1">IFERROR(__xludf.DUMMYFUNCTION("""COMPUTED_VALUE"""),"p2/庫存")</f>
        <v>p2/庫存</v>
      </c>
      <c r="F173" s="1">
        <f ca="1">IFERROR(__xludf.DUMMYFUNCTION("""COMPUTED_VALUE"""),1)</f>
        <v>1</v>
      </c>
      <c r="G173" s="1" t="str">
        <f ca="1">IFERROR(__xludf.DUMMYFUNCTION("""COMPUTED_VALUE"""),"2238E6686171")</f>
        <v>2238E6686171</v>
      </c>
      <c r="H173" s="1" t="str">
        <f ca="1">IFERROR(__xludf.DUMMYFUNCTION("""COMPUTED_VALUE"""),"P2_053")</f>
        <v>P2_053</v>
      </c>
      <c r="I173" s="1" t="str">
        <f ca="1">IFERROR(__xludf.DUMMYFUNCTION("""COMPUTED_VALUE"""),"Simon")</f>
        <v>Simon</v>
      </c>
    </row>
    <row r="174" spans="1:9" ht="12.7" x14ac:dyDescent="0.4">
      <c r="A174" s="2">
        <f ca="1">IFERROR(__xludf.DUMMYFUNCTION("""COMPUTED_VALUE"""),45278.0744525462)</f>
        <v>45278.0744525462</v>
      </c>
      <c r="B174" s="1" t="str">
        <f ca="1">IFERROR(__xludf.DUMMYFUNCTION("""COMPUTED_VALUE"""),"料件上線時間")</f>
        <v>料件上線時間</v>
      </c>
      <c r="C174" s="1" t="str">
        <f ca="1">IFERROR(__xludf.DUMMYFUNCTION("""COMPUTED_VALUE"""),"ME0020000525")</f>
        <v>ME0020000525</v>
      </c>
      <c r="D174" s="1" t="str">
        <f ca="1">IFERROR(__xludf.DUMMYFUNCTION("""COMPUTED_VALUE"""),"All/共用")</f>
        <v>All/共用</v>
      </c>
      <c r="E174" s="1" t="str">
        <f ca="1">IFERROR(__xludf.DUMMYFUNCTION("""COMPUTED_VALUE"""),"p2/庫存")</f>
        <v>p2/庫存</v>
      </c>
      <c r="F174" s="1">
        <f ca="1">IFERROR(__xludf.DUMMYFUNCTION("""COMPUTED_VALUE"""),1)</f>
        <v>1</v>
      </c>
      <c r="G174" s="1" t="str">
        <f ca="1">IFERROR(__xludf.DUMMYFUNCTION("""COMPUTED_VALUE"""),"2313E6C3783E")</f>
        <v>2313E6C3783E</v>
      </c>
      <c r="H174" s="1" t="str">
        <f ca="1">IFERROR(__xludf.DUMMYFUNCTION("""COMPUTED_VALUE"""),"P2_053")</f>
        <v>P2_053</v>
      </c>
      <c r="I174" s="1" t="str">
        <f ca="1">IFERROR(__xludf.DUMMYFUNCTION("""COMPUTED_VALUE"""),"Simon")</f>
        <v>Simon</v>
      </c>
    </row>
    <row r="175" spans="1:9" ht="12.7" x14ac:dyDescent="0.4">
      <c r="A175" s="2">
        <f ca="1">IFERROR(__xludf.DUMMYFUNCTION("""COMPUTED_VALUE"""),45279.7928048611)</f>
        <v>45279.792804861099</v>
      </c>
      <c r="B175" s="1" t="str">
        <f ca="1">IFERROR(__xludf.DUMMYFUNCTION("""COMPUTED_VALUE"""),"領料")</f>
        <v>領料</v>
      </c>
      <c r="C175" s="1" t="str">
        <f ca="1">IFERROR(__xludf.DUMMYFUNCTION("""COMPUTED_VALUE"""),"MM0260000157")</f>
        <v>MM0260000157</v>
      </c>
      <c r="D175" s="1" t="str">
        <f ca="1">IFERROR(__xludf.DUMMYFUNCTION("""COMPUTED_VALUE"""),"All/BA")</f>
        <v>All/BA</v>
      </c>
      <c r="E175" s="1" t="str">
        <f ca="1">IFERROR(__xludf.DUMMYFUNCTION("""COMPUTED_VALUE"""),"p2/庫存")</f>
        <v>p2/庫存</v>
      </c>
      <c r="F175" s="1">
        <f ca="1">IFERROR(__xludf.DUMMYFUNCTION("""COMPUTED_VALUE"""),2)</f>
        <v>2</v>
      </c>
      <c r="G175" s="1"/>
      <c r="H175" s="1" t="str">
        <f ca="1">IFERROR(__xludf.DUMMYFUNCTION("""COMPUTED_VALUE"""),"P2_043")</f>
        <v>P2_043</v>
      </c>
      <c r="I175" s="1" t="str">
        <f ca="1">IFERROR(__xludf.DUMMYFUNCTION("""COMPUTED_VALUE"""),"Chiao Yu")</f>
        <v>Chiao Yu</v>
      </c>
    </row>
    <row r="176" spans="1:9" ht="12.7" x14ac:dyDescent="0.4">
      <c r="A176" s="2">
        <f ca="1">IFERROR(__xludf.DUMMYFUNCTION("""COMPUTED_VALUE"""),45279.7947053009)</f>
        <v>45279.794705300897</v>
      </c>
      <c r="B176" s="1" t="str">
        <f ca="1">IFERROR(__xludf.DUMMYFUNCTION("""COMPUTED_VALUE"""),"料件上線時間")</f>
        <v>料件上線時間</v>
      </c>
      <c r="C176" s="1" t="str">
        <f ca="1">IFERROR(__xludf.DUMMYFUNCTION("""COMPUTED_VALUE"""),"ME0070000140")</f>
        <v>ME0070000140</v>
      </c>
      <c r="D176" s="1" t="str">
        <f ca="1">IFERROR(__xludf.DUMMYFUNCTION("""COMPUTED_VALUE"""),"All/BA")</f>
        <v>All/BA</v>
      </c>
      <c r="E176" s="1" t="str">
        <f ca="1">IFERROR(__xludf.DUMMYFUNCTION("""COMPUTED_VALUE"""),"p2/庫存")</f>
        <v>p2/庫存</v>
      </c>
      <c r="F176" s="1">
        <f ca="1">IFERROR(__xludf.DUMMYFUNCTION("""COMPUTED_VALUE"""),1)</f>
        <v>1</v>
      </c>
      <c r="G176" s="1" t="str">
        <f ca="1">IFERROR(__xludf.DUMMYFUNCTION("""COMPUTED_VALUE"""),"100A-2522G0010-2302")</f>
        <v>100A-2522G0010-2302</v>
      </c>
      <c r="H176" s="1" t="str">
        <f ca="1">IFERROR(__xludf.DUMMYFUNCTION("""COMPUTED_VALUE"""),"P2_043")</f>
        <v>P2_043</v>
      </c>
      <c r="I176" s="1" t="str">
        <f ca="1">IFERROR(__xludf.DUMMYFUNCTION("""COMPUTED_VALUE"""),"Chiao Yu")</f>
        <v>Chiao Yu</v>
      </c>
    </row>
    <row r="177" spans="1:9" ht="12.7" x14ac:dyDescent="0.4">
      <c r="A177" s="2">
        <f ca="1">IFERROR(__xludf.DUMMYFUNCTION("""COMPUTED_VALUE"""),45280.0604053703)</f>
        <v>45280.060405370299</v>
      </c>
      <c r="B177" s="1" t="str">
        <f ca="1">IFERROR(__xludf.DUMMYFUNCTION("""COMPUTED_VALUE"""),"送修")</f>
        <v>送修</v>
      </c>
      <c r="C177" s="1" t="str">
        <f ca="1">IFERROR(__xludf.DUMMYFUNCTION("""COMPUTED_VALUE"""),"ME0070000140")</f>
        <v>ME0070000140</v>
      </c>
      <c r="D177" s="1" t="str">
        <f ca="1">IFERROR(__xludf.DUMMYFUNCTION("""COMPUTED_VALUE"""),"All/BA")</f>
        <v>All/BA</v>
      </c>
      <c r="E177" s="1" t="str">
        <f ca="1">IFERROR(__xludf.DUMMYFUNCTION("""COMPUTED_VALUE"""),"p2/庫存")</f>
        <v>p2/庫存</v>
      </c>
      <c r="F177" s="1">
        <f ca="1">IFERROR(__xludf.DUMMYFUNCTION("""COMPUTED_VALUE"""),1)</f>
        <v>1</v>
      </c>
      <c r="G177" s="1" t="str">
        <f ca="1">IFERROR(__xludf.DUMMYFUNCTION("""COMPUTED_VALUE"""),"100A-2522C0116-2208")</f>
        <v>100A-2522C0116-2208</v>
      </c>
      <c r="H177" s="1" t="str">
        <f ca="1">IFERROR(__xludf.DUMMYFUNCTION("""COMPUTED_VALUE"""),"P2_043")</f>
        <v>P2_043</v>
      </c>
      <c r="I177" s="1" t="str">
        <f ca="1">IFERROR(__xludf.DUMMYFUNCTION("""COMPUTED_VALUE"""),"Chiao Yu")</f>
        <v>Chiao Yu</v>
      </c>
    </row>
    <row r="178" spans="1:9" ht="12.7" x14ac:dyDescent="0.4">
      <c r="A178" s="2">
        <f ca="1">IFERROR(__xludf.DUMMYFUNCTION("""COMPUTED_VALUE"""),45280.2861028935)</f>
        <v>45280.2861028935</v>
      </c>
      <c r="B178" s="1" t="str">
        <f ca="1">IFERROR(__xludf.DUMMYFUNCTION("""COMPUTED_VALUE"""),"料件上線時間")</f>
        <v>料件上線時間</v>
      </c>
      <c r="C178" s="1" t="str">
        <f ca="1">IFERROR(__xludf.DUMMYFUNCTION("""COMPUTED_VALUE"""),"ME0160000073")</f>
        <v>ME0160000073</v>
      </c>
      <c r="D178" s="1" t="str">
        <f ca="1">IFERROR(__xludf.DUMMYFUNCTION("""COMPUTED_VALUE"""),"All/BA")</f>
        <v>All/BA</v>
      </c>
      <c r="E178" s="1" t="str">
        <f ca="1">IFERROR(__xludf.DUMMYFUNCTION("""COMPUTED_VALUE"""),"p1/庫存")</f>
        <v>p1/庫存</v>
      </c>
      <c r="F178" s="1">
        <f ca="1">IFERROR(__xludf.DUMMYFUNCTION("""COMPUTED_VALUE"""),1)</f>
        <v>1</v>
      </c>
      <c r="G178" s="1" t="str">
        <f ca="1">IFERROR(__xludf.DUMMYFUNCTION("""COMPUTED_VALUE"""),"B2206368")</f>
        <v>B2206368</v>
      </c>
      <c r="H178" s="1" t="str">
        <f ca="1">IFERROR(__xludf.DUMMYFUNCTION("""COMPUTED_VALUE"""),"P1_016")</f>
        <v>P1_016</v>
      </c>
      <c r="I178" s="1" t="str">
        <f ca="1">IFERROR(__xludf.DUMMYFUNCTION("""COMPUTED_VALUE"""),"Simon")</f>
        <v>Simon</v>
      </c>
    </row>
    <row r="179" spans="1:9" ht="12.7" x14ac:dyDescent="0.4">
      <c r="A179" s="2">
        <f ca="1">IFERROR(__xludf.DUMMYFUNCTION("""COMPUTED_VALUE"""),45280.2884734838)</f>
        <v>45280.288473483801</v>
      </c>
      <c r="B179" s="1" t="str">
        <f ca="1">IFERROR(__xludf.DUMMYFUNCTION("""COMPUTED_VALUE"""),"料件上線時間")</f>
        <v>料件上線時間</v>
      </c>
      <c r="C179" s="1" t="str">
        <f ca="1">IFERROR(__xludf.DUMMYFUNCTION("""COMPUTED_VALUE"""),"ME0160000073")</f>
        <v>ME0160000073</v>
      </c>
      <c r="D179" s="1" t="str">
        <f ca="1">IFERROR(__xludf.DUMMYFUNCTION("""COMPUTED_VALUE"""),"All/BA")</f>
        <v>All/BA</v>
      </c>
      <c r="E179" s="1" t="str">
        <f ca="1">IFERROR(__xludf.DUMMYFUNCTION("""COMPUTED_VALUE"""),"p1/庫存")</f>
        <v>p1/庫存</v>
      </c>
      <c r="F179" s="1">
        <f ca="1">IFERROR(__xludf.DUMMYFUNCTION("""COMPUTED_VALUE"""),1)</f>
        <v>1</v>
      </c>
      <c r="G179" s="1" t="str">
        <f ca="1">IFERROR(__xludf.DUMMYFUNCTION("""COMPUTED_VALUE"""),"B2204360")</f>
        <v>B2204360</v>
      </c>
      <c r="H179" s="1" t="str">
        <f ca="1">IFERROR(__xludf.DUMMYFUNCTION("""COMPUTED_VALUE"""),"P1_018")</f>
        <v>P1_018</v>
      </c>
      <c r="I179" s="1" t="str">
        <f ca="1">IFERROR(__xludf.DUMMYFUNCTION("""COMPUTED_VALUE"""),"Simon")</f>
        <v>Simon</v>
      </c>
    </row>
    <row r="180" spans="1:9" ht="12.7" x14ac:dyDescent="0.4">
      <c r="A180" s="2">
        <f ca="1">IFERROR(__xludf.DUMMYFUNCTION("""COMPUTED_VALUE"""),45280.2896717245)</f>
        <v>45280.289671724502</v>
      </c>
      <c r="B180" s="1" t="str">
        <f ca="1">IFERROR(__xludf.DUMMYFUNCTION("""COMPUTED_VALUE"""),"料件上線時間")</f>
        <v>料件上線時間</v>
      </c>
      <c r="C180" s="1" t="str">
        <f ca="1">IFERROR(__xludf.DUMMYFUNCTION("""COMPUTED_VALUE"""),"ME0160000073")</f>
        <v>ME0160000073</v>
      </c>
      <c r="D180" s="1" t="str">
        <f ca="1">IFERROR(__xludf.DUMMYFUNCTION("""COMPUTED_VALUE"""),"All/BA")</f>
        <v>All/BA</v>
      </c>
      <c r="E180" s="1" t="str">
        <f ca="1">IFERROR(__xludf.DUMMYFUNCTION("""COMPUTED_VALUE"""),"p1/庫存")</f>
        <v>p1/庫存</v>
      </c>
      <c r="F180" s="1">
        <f ca="1">IFERROR(__xludf.DUMMYFUNCTION("""COMPUTED_VALUE"""),1)</f>
        <v>1</v>
      </c>
      <c r="G180" s="1" t="str">
        <f ca="1">IFERROR(__xludf.DUMMYFUNCTION("""COMPUTED_VALUE"""),"B2206365")</f>
        <v>B2206365</v>
      </c>
      <c r="H180" s="1" t="str">
        <f ca="1">IFERROR(__xludf.DUMMYFUNCTION("""COMPUTED_VALUE"""),"P1_019")</f>
        <v>P1_019</v>
      </c>
      <c r="I180" s="1" t="str">
        <f ca="1">IFERROR(__xludf.DUMMYFUNCTION("""COMPUTED_VALUE"""),"Simon")</f>
        <v>Simon</v>
      </c>
    </row>
    <row r="181" spans="1:9" ht="12.7" x14ac:dyDescent="0.4">
      <c r="A181" s="2">
        <f ca="1">IFERROR(__xludf.DUMMYFUNCTION("""COMPUTED_VALUE"""),45280.2906850578)</f>
        <v>45280.2906850578</v>
      </c>
      <c r="B181" s="1" t="str">
        <f ca="1">IFERROR(__xludf.DUMMYFUNCTION("""COMPUTED_VALUE"""),"料件上線時間")</f>
        <v>料件上線時間</v>
      </c>
      <c r="C181" s="1" t="str">
        <f ca="1">IFERROR(__xludf.DUMMYFUNCTION("""COMPUTED_VALUE"""),"ME0160000073")</f>
        <v>ME0160000073</v>
      </c>
      <c r="D181" s="1" t="str">
        <f ca="1">IFERROR(__xludf.DUMMYFUNCTION("""COMPUTED_VALUE"""),"All/BA")</f>
        <v>All/BA</v>
      </c>
      <c r="E181" s="1" t="str">
        <f ca="1">IFERROR(__xludf.DUMMYFUNCTION("""COMPUTED_VALUE"""),"p1/庫存")</f>
        <v>p1/庫存</v>
      </c>
      <c r="F181" s="1">
        <f ca="1">IFERROR(__xludf.DUMMYFUNCTION("""COMPUTED_VALUE"""),1)</f>
        <v>1</v>
      </c>
      <c r="G181" s="1" t="str">
        <f ca="1">IFERROR(__xludf.DUMMYFUNCTION("""COMPUTED_VALUE"""),"B2204358")</f>
        <v>B2204358</v>
      </c>
      <c r="H181" s="1" t="str">
        <f ca="1">IFERROR(__xludf.DUMMYFUNCTION("""COMPUTED_VALUE"""),"P1_020")</f>
        <v>P1_020</v>
      </c>
      <c r="I181" s="1" t="str">
        <f ca="1">IFERROR(__xludf.DUMMYFUNCTION("""COMPUTED_VALUE"""),"Simon")</f>
        <v>Simon</v>
      </c>
    </row>
    <row r="182" spans="1:9" ht="12.7" x14ac:dyDescent="0.4">
      <c r="A182" s="2">
        <f ca="1">IFERROR(__xludf.DUMMYFUNCTION("""COMPUTED_VALUE"""),45280.2915087268)</f>
        <v>45280.291508726797</v>
      </c>
      <c r="B182" s="1" t="str">
        <f ca="1">IFERROR(__xludf.DUMMYFUNCTION("""COMPUTED_VALUE"""),"料件上線時間")</f>
        <v>料件上線時間</v>
      </c>
      <c r="C182" s="1" t="str">
        <f ca="1">IFERROR(__xludf.DUMMYFUNCTION("""COMPUTED_VALUE"""),"ME0160000073")</f>
        <v>ME0160000073</v>
      </c>
      <c r="D182" s="1" t="str">
        <f ca="1">IFERROR(__xludf.DUMMYFUNCTION("""COMPUTED_VALUE"""),"All/BA")</f>
        <v>All/BA</v>
      </c>
      <c r="E182" s="1" t="str">
        <f ca="1">IFERROR(__xludf.DUMMYFUNCTION("""COMPUTED_VALUE"""),"p1/庫存")</f>
        <v>p1/庫存</v>
      </c>
      <c r="F182" s="1">
        <f ca="1">IFERROR(__xludf.DUMMYFUNCTION("""COMPUTED_VALUE"""),1)</f>
        <v>1</v>
      </c>
      <c r="G182" s="1" t="str">
        <f ca="1">IFERROR(__xludf.DUMMYFUNCTION("""COMPUTED_VALUE"""),"B2211404")</f>
        <v>B2211404</v>
      </c>
      <c r="H182" s="1" t="str">
        <f ca="1">IFERROR(__xludf.DUMMYFUNCTION("""COMPUTED_VALUE"""),"P1_021")</f>
        <v>P1_021</v>
      </c>
      <c r="I182" s="1" t="str">
        <f ca="1">IFERROR(__xludf.DUMMYFUNCTION("""COMPUTED_VALUE"""),"Simon")</f>
        <v>Simon</v>
      </c>
    </row>
    <row r="183" spans="1:9" ht="12.7" x14ac:dyDescent="0.4">
      <c r="A183" s="2">
        <f ca="1">IFERROR(__xludf.DUMMYFUNCTION("""COMPUTED_VALUE"""),45280.2922452083)</f>
        <v>45280.2922452083</v>
      </c>
      <c r="B183" s="1" t="str">
        <f ca="1">IFERROR(__xludf.DUMMYFUNCTION("""COMPUTED_VALUE"""),"料件上線時間")</f>
        <v>料件上線時間</v>
      </c>
      <c r="C183" s="1" t="str">
        <f ca="1">IFERROR(__xludf.DUMMYFUNCTION("""COMPUTED_VALUE"""),"ME0160000073")</f>
        <v>ME0160000073</v>
      </c>
      <c r="D183" s="1" t="str">
        <f ca="1">IFERROR(__xludf.DUMMYFUNCTION("""COMPUTED_VALUE"""),"All/BA")</f>
        <v>All/BA</v>
      </c>
      <c r="E183" s="1" t="str">
        <f ca="1">IFERROR(__xludf.DUMMYFUNCTION("""COMPUTED_VALUE"""),"p1/庫存")</f>
        <v>p1/庫存</v>
      </c>
      <c r="F183" s="1">
        <f ca="1">IFERROR(__xludf.DUMMYFUNCTION("""COMPUTED_VALUE"""),1)</f>
        <v>1</v>
      </c>
      <c r="G183" s="1" t="str">
        <f ca="1">IFERROR(__xludf.DUMMYFUNCTION("""COMPUTED_VALUE"""),"B2211413")</f>
        <v>B2211413</v>
      </c>
      <c r="H183" s="1" t="str">
        <f ca="1">IFERROR(__xludf.DUMMYFUNCTION("""COMPUTED_VALUE"""),"P1_022")</f>
        <v>P1_022</v>
      </c>
      <c r="I183" s="1" t="str">
        <f ca="1">IFERROR(__xludf.DUMMYFUNCTION("""COMPUTED_VALUE"""),"Simon")</f>
        <v>Simon</v>
      </c>
    </row>
    <row r="184" spans="1:9" ht="12.7" x14ac:dyDescent="0.4">
      <c r="A184" s="2">
        <f ca="1">IFERROR(__xludf.DUMMYFUNCTION("""COMPUTED_VALUE"""),45280.3192791319)</f>
        <v>45280.319279131902</v>
      </c>
      <c r="B184" s="1" t="str">
        <f ca="1">IFERROR(__xludf.DUMMYFUNCTION("""COMPUTED_VALUE"""),"料件上線時間")</f>
        <v>料件上線時間</v>
      </c>
      <c r="C184" s="1" t="str">
        <f ca="1">IFERROR(__xludf.DUMMYFUNCTION("""COMPUTED_VALUE"""),"ME0160000073")</f>
        <v>ME0160000073</v>
      </c>
      <c r="D184" s="1" t="str">
        <f ca="1">IFERROR(__xludf.DUMMYFUNCTION("""COMPUTED_VALUE"""),"All/BA")</f>
        <v>All/BA</v>
      </c>
      <c r="E184" s="1" t="str">
        <f ca="1">IFERROR(__xludf.DUMMYFUNCTION("""COMPUTED_VALUE"""),"p1/庫存")</f>
        <v>p1/庫存</v>
      </c>
      <c r="F184" s="1">
        <f ca="1">IFERROR(__xludf.DUMMYFUNCTION("""COMPUTED_VALUE"""),1)</f>
        <v>1</v>
      </c>
      <c r="G184" s="1" t="str">
        <f ca="1">IFERROR(__xludf.DUMMYFUNCTION("""COMPUTED_VALUE"""),"B2204354")</f>
        <v>B2204354</v>
      </c>
      <c r="H184" s="1" t="str">
        <f ca="1">IFERROR(__xludf.DUMMYFUNCTION("""COMPUTED_VALUE"""),"P1_023")</f>
        <v>P1_023</v>
      </c>
      <c r="I184" s="1" t="str">
        <f ca="1">IFERROR(__xludf.DUMMYFUNCTION("""COMPUTED_VALUE"""),"Simon")</f>
        <v>Simon</v>
      </c>
    </row>
    <row r="185" spans="1:9" ht="12.7" x14ac:dyDescent="0.4">
      <c r="A185" s="2">
        <f ca="1">IFERROR(__xludf.DUMMYFUNCTION("""COMPUTED_VALUE"""),45288.4459973032)</f>
        <v>45288.445997303199</v>
      </c>
      <c r="B185" s="1" t="str">
        <f ca="1">IFERROR(__xludf.DUMMYFUNCTION("""COMPUTED_VALUE"""),"進貨")</f>
        <v>進貨</v>
      </c>
      <c r="C185" s="1" t="str">
        <f ca="1">IFERROR(__xludf.DUMMYFUNCTION("""COMPUTED_VALUE"""),"ME0060000270")</f>
        <v>ME0060000270</v>
      </c>
      <c r="D185" s="1" t="str">
        <f ca="1">IFERROR(__xludf.DUMMYFUNCTION("""COMPUTED_VALUE"""),"All/共用")</f>
        <v>All/共用</v>
      </c>
      <c r="E185" s="1" t="str">
        <f ca="1">IFERROR(__xludf.DUMMYFUNCTION("""COMPUTED_VALUE"""),"p1/庫存")</f>
        <v>p1/庫存</v>
      </c>
      <c r="F185" s="1">
        <f ca="1">IFERROR(__xludf.DUMMYFUNCTION("""COMPUTED_VALUE"""),4)</f>
        <v>4</v>
      </c>
      <c r="G185" s="1"/>
      <c r="H185" s="1" t="str">
        <f ca="1">IFERROR(__xludf.DUMMYFUNCTION("""COMPUTED_VALUE"""),"P1")</f>
        <v>P1</v>
      </c>
      <c r="I185" s="1" t="str">
        <f ca="1">IFERROR(__xludf.DUMMYFUNCTION("""COMPUTED_VALUE"""),"Chiao Yu")</f>
        <v>Chiao Yu</v>
      </c>
    </row>
    <row r="186" spans="1:9" ht="12.7" x14ac:dyDescent="0.4">
      <c r="A186" s="2">
        <f ca="1">IFERROR(__xludf.DUMMYFUNCTION("""COMPUTED_VALUE"""),45288.4472982638)</f>
        <v>45288.447298263804</v>
      </c>
      <c r="B186" s="1" t="str">
        <f ca="1">IFERROR(__xludf.DUMMYFUNCTION("""COMPUTED_VALUE"""),"返修")</f>
        <v>返修</v>
      </c>
      <c r="C186" s="1" t="str">
        <f ca="1">IFERROR(__xludf.DUMMYFUNCTION("""COMPUTED_VALUE"""),"ME0060000270")</f>
        <v>ME0060000270</v>
      </c>
      <c r="D186" s="1" t="str">
        <f ca="1">IFERROR(__xludf.DUMMYFUNCTION("""COMPUTED_VALUE"""),"All/共用")</f>
        <v>All/共用</v>
      </c>
      <c r="E186" s="1" t="str">
        <f ca="1">IFERROR(__xludf.DUMMYFUNCTION("""COMPUTED_VALUE"""),"p2/庫存")</f>
        <v>p2/庫存</v>
      </c>
      <c r="F186" s="1">
        <f ca="1">IFERROR(__xludf.DUMMYFUNCTION("""COMPUTED_VALUE"""),1)</f>
        <v>1</v>
      </c>
      <c r="G186" s="1"/>
      <c r="H186" s="1" t="str">
        <f ca="1">IFERROR(__xludf.DUMMYFUNCTION("""COMPUTED_VALUE"""),"P2_058")</f>
        <v>P2_058</v>
      </c>
      <c r="I186" s="1" t="str">
        <f ca="1">IFERROR(__xludf.DUMMYFUNCTION("""COMPUTED_VALUE"""),"Chiao Yu")</f>
        <v>Chiao Yu</v>
      </c>
    </row>
    <row r="187" spans="1:9" ht="12.7" x14ac:dyDescent="0.4">
      <c r="A187" s="2">
        <f ca="1">IFERROR(__xludf.DUMMYFUNCTION("""COMPUTED_VALUE"""),45288.4478985763)</f>
        <v>45288.447898576298</v>
      </c>
      <c r="B187" s="1" t="str">
        <f ca="1">IFERROR(__xludf.DUMMYFUNCTION("""COMPUTED_VALUE"""),"進貨")</f>
        <v>進貨</v>
      </c>
      <c r="C187" s="1" t="str">
        <f ca="1">IFERROR(__xludf.DUMMYFUNCTION("""COMPUTED_VALUE"""),"ME0060000270")</f>
        <v>ME0060000270</v>
      </c>
      <c r="D187" s="1" t="str">
        <f ca="1">IFERROR(__xludf.DUMMYFUNCTION("""COMPUTED_VALUE"""),"All/共用")</f>
        <v>All/共用</v>
      </c>
      <c r="E187" s="1" t="str">
        <f ca="1">IFERROR(__xludf.DUMMYFUNCTION("""COMPUTED_VALUE"""),"p2/庫存")</f>
        <v>p2/庫存</v>
      </c>
      <c r="F187" s="1">
        <f ca="1">IFERROR(__xludf.DUMMYFUNCTION("""COMPUTED_VALUE"""),7)</f>
        <v>7</v>
      </c>
      <c r="G187" s="1"/>
      <c r="H187" s="1" t="str">
        <f ca="1">IFERROR(__xludf.DUMMYFUNCTION("""COMPUTED_VALUE"""),"P2")</f>
        <v>P2</v>
      </c>
      <c r="I187" s="1" t="str">
        <f ca="1">IFERROR(__xludf.DUMMYFUNCTION("""COMPUTED_VALUE"""),"Chiao Yu")</f>
        <v>Chiao Yu</v>
      </c>
    </row>
    <row r="188" spans="1:9" ht="12.7" x14ac:dyDescent="0.4">
      <c r="A188" s="2">
        <f ca="1">IFERROR(__xludf.DUMMYFUNCTION("""COMPUTED_VALUE"""),45290.0844727893)</f>
        <v>45290.084472789298</v>
      </c>
      <c r="B188" s="1" t="str">
        <f ca="1">IFERROR(__xludf.DUMMYFUNCTION("""COMPUTED_VALUE"""),"送修")</f>
        <v>送修</v>
      </c>
      <c r="C188" s="1" t="str">
        <f ca="1">IFERROR(__xludf.DUMMYFUNCTION("""COMPUTED_VALUE"""),"ME0160000073")</f>
        <v>ME0160000073</v>
      </c>
      <c r="D188" s="1" t="str">
        <f ca="1">IFERROR(__xludf.DUMMYFUNCTION("""COMPUTED_VALUE"""),"All/BA")</f>
        <v>All/BA</v>
      </c>
      <c r="E188" s="1" t="str">
        <f ca="1">IFERROR(__xludf.DUMMYFUNCTION("""COMPUTED_VALUE"""),"p1/庫存")</f>
        <v>p1/庫存</v>
      </c>
      <c r="F188" s="1">
        <f ca="1">IFERROR(__xludf.DUMMYFUNCTION("""COMPUTED_VALUE"""),1)</f>
        <v>1</v>
      </c>
      <c r="G188" s="1" t="str">
        <f ca="1">IFERROR(__xludf.DUMMYFUNCTION("""COMPUTED_VALUE"""),"B2206362")</f>
        <v>B2206362</v>
      </c>
      <c r="H188" s="1" t="str">
        <f ca="1">IFERROR(__xludf.DUMMYFUNCTION("""COMPUTED_VALUE"""),"P1_017")</f>
        <v>P1_017</v>
      </c>
      <c r="I188" s="1" t="str">
        <f ca="1">IFERROR(__xludf.DUMMYFUNCTION("""COMPUTED_VALUE"""),"Simon")</f>
        <v>Simon</v>
      </c>
    </row>
    <row r="189" spans="1:9" ht="12.7" x14ac:dyDescent="0.4">
      <c r="A189" s="2">
        <f ca="1">IFERROR(__xludf.DUMMYFUNCTION("""COMPUTED_VALUE"""),45290.0903622685)</f>
        <v>45290.0903622685</v>
      </c>
      <c r="B189" s="1" t="str">
        <f ca="1">IFERROR(__xludf.DUMMYFUNCTION("""COMPUTED_VALUE"""),"料件上線時間")</f>
        <v>料件上線時間</v>
      </c>
      <c r="C189" s="1" t="str">
        <f ca="1">IFERROR(__xludf.DUMMYFUNCTION("""COMPUTED_VALUE"""),"ME0160000073")</f>
        <v>ME0160000073</v>
      </c>
      <c r="D189" s="1" t="str">
        <f ca="1">IFERROR(__xludf.DUMMYFUNCTION("""COMPUTED_VALUE"""),"All/BA")</f>
        <v>All/BA</v>
      </c>
      <c r="E189" s="1" t="str">
        <f ca="1">IFERROR(__xludf.DUMMYFUNCTION("""COMPUTED_VALUE"""),"p1/庫存")</f>
        <v>p1/庫存</v>
      </c>
      <c r="F189" s="1">
        <f ca="1">IFERROR(__xludf.DUMMYFUNCTION("""COMPUTED_VALUE"""),1)</f>
        <v>1</v>
      </c>
      <c r="G189" s="1" t="str">
        <f ca="1">IFERROR(__xludf.DUMMYFUNCTION("""COMPUTED_VALUE"""),"B2206369")</f>
        <v>B2206369</v>
      </c>
      <c r="H189" s="1" t="str">
        <f ca="1">IFERROR(__xludf.DUMMYFUNCTION("""COMPUTED_VALUE"""),"P1_017")</f>
        <v>P1_017</v>
      </c>
      <c r="I189" s="1" t="str">
        <f ca="1">IFERROR(__xludf.DUMMYFUNCTION("""COMPUTED_VALUE"""),"Simon")</f>
        <v>Simon</v>
      </c>
    </row>
    <row r="190" spans="1:9" ht="12.7" x14ac:dyDescent="0.4">
      <c r="A190" s="2">
        <f ca="1">IFERROR(__xludf.DUMMYFUNCTION("""COMPUTED_VALUE"""),45294.3935251273)</f>
        <v>45294.3935251273</v>
      </c>
      <c r="B190" s="1" t="str">
        <f ca="1">IFERROR(__xludf.DUMMYFUNCTION("""COMPUTED_VALUE"""),"返修")</f>
        <v>返修</v>
      </c>
      <c r="C190" s="1" t="str">
        <f ca="1">IFERROR(__xludf.DUMMYFUNCTION("""COMPUTED_VALUE"""),"ME0020000525")</f>
        <v>ME0020000525</v>
      </c>
      <c r="D190" s="1" t="str">
        <f ca="1">IFERROR(__xludf.DUMMYFUNCTION("""COMPUTED_VALUE"""),"All/共用")</f>
        <v>All/共用</v>
      </c>
      <c r="E190" s="1" t="str">
        <f ca="1">IFERROR(__xludf.DUMMYFUNCTION("""COMPUTED_VALUE"""),"p2/庫存")</f>
        <v>p2/庫存</v>
      </c>
      <c r="F190" s="1">
        <f ca="1">IFERROR(__xludf.DUMMYFUNCTION("""COMPUTED_VALUE"""),1)</f>
        <v>1</v>
      </c>
      <c r="G190" s="1" t="str">
        <f ca="1">IFERROR(__xludf.DUMMYFUNCTION("""COMPUTED_VALUE"""),"2326E6E868D9")</f>
        <v>2326E6E868D9</v>
      </c>
      <c r="H190" s="1" t="str">
        <f ca="1">IFERROR(__xludf.DUMMYFUNCTION("""COMPUTED_VALUE"""),"P2_053")</f>
        <v>P2_053</v>
      </c>
      <c r="I190" s="1" t="str">
        <f ca="1">IFERROR(__xludf.DUMMYFUNCTION("""COMPUTED_VALUE"""),"Simon")</f>
        <v>Simon</v>
      </c>
    </row>
    <row r="191" spans="1:9" ht="12.7" x14ac:dyDescent="0.4">
      <c r="A191" s="2">
        <f ca="1">IFERROR(__xludf.DUMMYFUNCTION("""COMPUTED_VALUE"""),45294.3971896875)</f>
        <v>45294.397189687501</v>
      </c>
      <c r="B191" s="1" t="str">
        <f ca="1">IFERROR(__xludf.DUMMYFUNCTION("""COMPUTED_VALUE"""),"送修")</f>
        <v>送修</v>
      </c>
      <c r="C191" s="1" t="str">
        <f ca="1">IFERROR(__xludf.DUMMYFUNCTION("""COMPUTED_VALUE"""),"ME0060000270")</f>
        <v>ME0060000270</v>
      </c>
      <c r="D191" s="1" t="str">
        <f ca="1">IFERROR(__xludf.DUMMYFUNCTION("""COMPUTED_VALUE"""),"All/共用")</f>
        <v>All/共用</v>
      </c>
      <c r="E191" s="1" t="str">
        <f ca="1">IFERROR(__xludf.DUMMYFUNCTION("""COMPUTED_VALUE"""),"p2/庫存")</f>
        <v>p2/庫存</v>
      </c>
      <c r="F191" s="1">
        <f ca="1">IFERROR(__xludf.DUMMYFUNCTION("""COMPUTED_VALUE"""),1)</f>
        <v>1</v>
      </c>
      <c r="G191" s="1"/>
      <c r="H191" s="1" t="str">
        <f ca="1">IFERROR(__xludf.DUMMYFUNCTION("""COMPUTED_VALUE"""),"P2_037")</f>
        <v>P2_037</v>
      </c>
      <c r="I191" s="1" t="str">
        <f ca="1">IFERROR(__xludf.DUMMYFUNCTION("""COMPUTED_VALUE"""),"Simon")</f>
        <v>Simon</v>
      </c>
    </row>
    <row r="192" spans="1:9" ht="12.7" x14ac:dyDescent="0.4">
      <c r="A192" s="2">
        <f ca="1">IFERROR(__xludf.DUMMYFUNCTION("""COMPUTED_VALUE"""),45294.3984537731)</f>
        <v>45294.398453773101</v>
      </c>
      <c r="B192" s="1" t="str">
        <f ca="1">IFERROR(__xludf.DUMMYFUNCTION("""COMPUTED_VALUE"""),"送修")</f>
        <v>送修</v>
      </c>
      <c r="C192" s="1" t="str">
        <f ca="1">IFERROR(__xludf.DUMMYFUNCTION("""COMPUTED_VALUE"""),"ME0060000270")</f>
        <v>ME0060000270</v>
      </c>
      <c r="D192" s="1" t="str">
        <f ca="1">IFERROR(__xludf.DUMMYFUNCTION("""COMPUTED_VALUE"""),"All/共用")</f>
        <v>All/共用</v>
      </c>
      <c r="E192" s="1" t="str">
        <f ca="1">IFERROR(__xludf.DUMMYFUNCTION("""COMPUTED_VALUE"""),"p2/庫存")</f>
        <v>p2/庫存</v>
      </c>
      <c r="F192" s="1">
        <f ca="1">IFERROR(__xludf.DUMMYFUNCTION("""COMPUTED_VALUE"""),1)</f>
        <v>1</v>
      </c>
      <c r="G192" s="1"/>
      <c r="H192" s="1" t="str">
        <f ca="1">IFERROR(__xludf.DUMMYFUNCTION("""COMPUTED_VALUE"""),"P2_050")</f>
        <v>P2_050</v>
      </c>
      <c r="I192" s="1" t="str">
        <f ca="1">IFERROR(__xludf.DUMMYFUNCTION("""COMPUTED_VALUE"""),"Simon")</f>
        <v>Simon</v>
      </c>
    </row>
    <row r="193" spans="1:9" ht="12.7" x14ac:dyDescent="0.4">
      <c r="A193" s="2">
        <f ca="1">IFERROR(__xludf.DUMMYFUNCTION("""COMPUTED_VALUE"""),45294.4015418171)</f>
        <v>45294.401541817097</v>
      </c>
      <c r="B193" s="1" t="str">
        <f ca="1">IFERROR(__xludf.DUMMYFUNCTION("""COMPUTED_VALUE"""),"送修")</f>
        <v>送修</v>
      </c>
      <c r="C193" s="1" t="str">
        <f ca="1">IFERROR(__xludf.DUMMYFUNCTION("""COMPUTED_VALUE"""),"ME0060000270")</f>
        <v>ME0060000270</v>
      </c>
      <c r="D193" s="1" t="str">
        <f ca="1">IFERROR(__xludf.DUMMYFUNCTION("""COMPUTED_VALUE"""),"All/共用")</f>
        <v>All/共用</v>
      </c>
      <c r="E193" s="1" t="str">
        <f ca="1">IFERROR(__xludf.DUMMYFUNCTION("""COMPUTED_VALUE"""),"p2/庫存")</f>
        <v>p2/庫存</v>
      </c>
      <c r="F193" s="1">
        <f ca="1">IFERROR(__xludf.DUMMYFUNCTION("""COMPUTED_VALUE"""),1)</f>
        <v>1</v>
      </c>
      <c r="G193" s="1"/>
      <c r="H193" s="1" t="str">
        <f ca="1">IFERROR(__xludf.DUMMYFUNCTION("""COMPUTED_VALUE"""),"P2_059")</f>
        <v>P2_059</v>
      </c>
      <c r="I193" s="1" t="str">
        <f ca="1">IFERROR(__xludf.DUMMYFUNCTION("""COMPUTED_VALUE"""),"Simon")</f>
        <v>Simon</v>
      </c>
    </row>
    <row r="194" spans="1:9" ht="12.7" x14ac:dyDescent="0.4">
      <c r="A194" s="2">
        <f ca="1">IFERROR(__xludf.DUMMYFUNCTION("""COMPUTED_VALUE"""),45295.4253176388)</f>
        <v>45295.425317638801</v>
      </c>
      <c r="B194" s="1" t="str">
        <f ca="1">IFERROR(__xludf.DUMMYFUNCTION("""COMPUTED_VALUE"""),"庫存調整")</f>
        <v>庫存調整</v>
      </c>
      <c r="C194" s="1" t="str">
        <f ca="1">IFERROR(__xludf.DUMMYFUNCTION("""COMPUTED_VALUE"""),"ME0030000058")</f>
        <v>ME0030000058</v>
      </c>
      <c r="D194" s="1" t="str">
        <f ca="1">IFERROR(__xludf.DUMMYFUNCTION("""COMPUTED_VALUE"""),"All/共用")</f>
        <v>All/共用</v>
      </c>
      <c r="E194" s="1" t="str">
        <f ca="1">IFERROR(__xludf.DUMMYFUNCTION("""COMPUTED_VALUE"""),"p2/庫存")</f>
        <v>p2/庫存</v>
      </c>
      <c r="F194" s="1">
        <f ca="1">IFERROR(__xludf.DUMMYFUNCTION("""COMPUTED_VALUE"""),1)</f>
        <v>1</v>
      </c>
      <c r="G194" s="1"/>
      <c r="H194" s="1" t="str">
        <f ca="1">IFERROR(__xludf.DUMMYFUNCTION("""COMPUTED_VALUE"""),"P2")</f>
        <v>P2</v>
      </c>
      <c r="I194" s="1" t="str">
        <f ca="1">IFERROR(__xludf.DUMMYFUNCTION("""COMPUTED_VALUE"""),"Simon")</f>
        <v>Simon</v>
      </c>
    </row>
    <row r="195" spans="1:9" ht="12.7" x14ac:dyDescent="0.4">
      <c r="A195" s="2">
        <f ca="1">IFERROR(__xludf.DUMMYFUNCTION("""COMPUTED_VALUE"""),45295.4268993402)</f>
        <v>45295.4268993402</v>
      </c>
      <c r="B195" s="1" t="str">
        <f ca="1">IFERROR(__xludf.DUMMYFUNCTION("""COMPUTED_VALUE"""),"領料")</f>
        <v>領料</v>
      </c>
      <c r="C195" s="1" t="str">
        <f ca="1">IFERROR(__xludf.DUMMYFUNCTION("""COMPUTED_VALUE"""),"ME0030000058")</f>
        <v>ME0030000058</v>
      </c>
      <c r="D195" s="1" t="str">
        <f ca="1">IFERROR(__xludf.DUMMYFUNCTION("""COMPUTED_VALUE"""),"All/共用")</f>
        <v>All/共用</v>
      </c>
      <c r="E195" s="1" t="str">
        <f ca="1">IFERROR(__xludf.DUMMYFUNCTION("""COMPUTED_VALUE"""),"p2/庫存")</f>
        <v>p2/庫存</v>
      </c>
      <c r="F195" s="1">
        <f ca="1">IFERROR(__xludf.DUMMYFUNCTION("""COMPUTED_VALUE"""),1)</f>
        <v>1</v>
      </c>
      <c r="G195" s="1"/>
      <c r="H195" s="1" t="str">
        <f ca="1">IFERROR(__xludf.DUMMYFUNCTION("""COMPUTED_VALUE"""),"P2")</f>
        <v>P2</v>
      </c>
      <c r="I195" s="1" t="str">
        <f ca="1">IFERROR(__xludf.DUMMYFUNCTION("""COMPUTED_VALUE"""),"Simon")</f>
        <v>Simon</v>
      </c>
    </row>
    <row r="196" spans="1:9" ht="12.7" x14ac:dyDescent="0.4">
      <c r="A196" s="2">
        <f ca="1">IFERROR(__xludf.DUMMYFUNCTION("""COMPUTED_VALUE"""),45300.8706764814)</f>
        <v>45300.870676481398</v>
      </c>
      <c r="B196" s="1" t="str">
        <f ca="1">IFERROR(__xludf.DUMMYFUNCTION("""COMPUTED_VALUE"""),"料件上線時間")</f>
        <v>料件上線時間</v>
      </c>
      <c r="C196" s="1" t="str">
        <f ca="1">IFERROR(__xludf.DUMMYFUNCTION("""COMPUTED_VALUE"""),"ME0020000525")</f>
        <v>ME0020000525</v>
      </c>
      <c r="D196" s="1" t="str">
        <f ca="1">IFERROR(__xludf.DUMMYFUNCTION("""COMPUTED_VALUE"""),"All/共用")</f>
        <v>All/共用</v>
      </c>
      <c r="E196" s="1" t="str">
        <f ca="1">IFERROR(__xludf.DUMMYFUNCTION("""COMPUTED_VALUE"""),"p2/庫存")</f>
        <v>p2/庫存</v>
      </c>
      <c r="F196" s="1">
        <f ca="1">IFERROR(__xludf.DUMMYFUNCTION("""COMPUTED_VALUE"""),1)</f>
        <v>1</v>
      </c>
      <c r="G196" s="1" t="str">
        <f ca="1">IFERROR(__xludf.DUMMYFUNCTION("""COMPUTED_VALUE"""),"2313E6C36A8C")</f>
        <v>2313E6C36A8C</v>
      </c>
      <c r="H196" s="1" t="str">
        <f ca="1">IFERROR(__xludf.DUMMYFUNCTION("""COMPUTED_VALUE"""),"P2_037")</f>
        <v>P2_037</v>
      </c>
      <c r="I196" s="1" t="str">
        <f ca="1">IFERROR(__xludf.DUMMYFUNCTION("""COMPUTED_VALUE"""),"Uri")</f>
        <v>Uri</v>
      </c>
    </row>
    <row r="197" spans="1:9" ht="12.7" x14ac:dyDescent="0.4">
      <c r="A197" s="2">
        <f ca="1">IFERROR(__xludf.DUMMYFUNCTION("""COMPUTED_VALUE"""),45300.8729249652)</f>
        <v>45300.872924965202</v>
      </c>
      <c r="B197" s="1" t="str">
        <f ca="1">IFERROR(__xludf.DUMMYFUNCTION("""COMPUTED_VALUE"""),"送修")</f>
        <v>送修</v>
      </c>
      <c r="C197" s="1" t="str">
        <f ca="1">IFERROR(__xludf.DUMMYFUNCTION("""COMPUTED_VALUE"""),"ME0020000525")</f>
        <v>ME0020000525</v>
      </c>
      <c r="D197" s="1" t="str">
        <f ca="1">IFERROR(__xludf.DUMMYFUNCTION("""COMPUTED_VALUE"""),"All/共用")</f>
        <v>All/共用</v>
      </c>
      <c r="E197" s="1" t="str">
        <f ca="1">IFERROR(__xludf.DUMMYFUNCTION("""COMPUTED_VALUE"""),"p2/庫存")</f>
        <v>p2/庫存</v>
      </c>
      <c r="F197" s="1">
        <f ca="1">IFERROR(__xludf.DUMMYFUNCTION("""COMPUTED_VALUE"""),1)</f>
        <v>1</v>
      </c>
      <c r="G197" s="1" t="str">
        <f ca="1">IFERROR(__xludf.DUMMYFUNCTION("""COMPUTED_VALUE"""),"2213E62215DE")</f>
        <v>2213E62215DE</v>
      </c>
      <c r="H197" s="1" t="str">
        <f ca="1">IFERROR(__xludf.DUMMYFUNCTION("""COMPUTED_VALUE"""),"P2_037")</f>
        <v>P2_037</v>
      </c>
      <c r="I197" s="1" t="str">
        <f ca="1">IFERROR(__xludf.DUMMYFUNCTION("""COMPUTED_VALUE"""),"Uri")</f>
        <v>Uri</v>
      </c>
    </row>
    <row r="198" spans="1:9" ht="12.7" x14ac:dyDescent="0.4">
      <c r="A198" s="2">
        <f ca="1">IFERROR(__xludf.DUMMYFUNCTION("""COMPUTED_VALUE"""),45300.8782456712)</f>
        <v>45300.8782456712</v>
      </c>
      <c r="B198" s="1" t="str">
        <f ca="1">IFERROR(__xludf.DUMMYFUNCTION("""COMPUTED_VALUE"""),"領料")</f>
        <v>領料</v>
      </c>
      <c r="C198" s="1" t="str">
        <f ca="1">IFERROR(__xludf.DUMMYFUNCTION("""COMPUTED_VALUE"""),"ME0030000058")</f>
        <v>ME0030000058</v>
      </c>
      <c r="D198" s="1" t="str">
        <f ca="1">IFERROR(__xludf.DUMMYFUNCTION("""COMPUTED_VALUE"""),"All/共用")</f>
        <v>All/共用</v>
      </c>
      <c r="E198" s="1" t="str">
        <f ca="1">IFERROR(__xludf.DUMMYFUNCTION("""COMPUTED_VALUE"""),"p2/庫存")</f>
        <v>p2/庫存</v>
      </c>
      <c r="F198" s="1">
        <f ca="1">IFERROR(__xludf.DUMMYFUNCTION("""COMPUTED_VALUE"""),1)</f>
        <v>1</v>
      </c>
      <c r="G198" s="1"/>
      <c r="H198" s="1" t="str">
        <f ca="1">IFERROR(__xludf.DUMMYFUNCTION("""COMPUTED_VALUE"""),"P2")</f>
        <v>P2</v>
      </c>
      <c r="I198" s="1" t="str">
        <f ca="1">IFERROR(__xludf.DUMMYFUNCTION("""COMPUTED_VALUE"""),"Chiao Yu")</f>
        <v>Chiao Yu</v>
      </c>
    </row>
    <row r="199" spans="1:9" ht="12.7" x14ac:dyDescent="0.4">
      <c r="A199" s="2">
        <f ca="1">IFERROR(__xludf.DUMMYFUNCTION("""COMPUTED_VALUE"""),45301.8753358796)</f>
        <v>45301.875335879602</v>
      </c>
      <c r="B199" s="1" t="str">
        <f ca="1">IFERROR(__xludf.DUMMYFUNCTION("""COMPUTED_VALUE"""),"送修")</f>
        <v>送修</v>
      </c>
      <c r="C199" s="1" t="str">
        <f ca="1">IFERROR(__xludf.DUMMYFUNCTION("""COMPUTED_VALUE"""),"A00100000731")</f>
        <v>A00100000731</v>
      </c>
      <c r="D199" s="1" t="str">
        <f ca="1">IFERROR(__xludf.DUMMYFUNCTION("""COMPUTED_VALUE"""),"All/BA")</f>
        <v>All/BA</v>
      </c>
      <c r="E199" s="1" t="str">
        <f ca="1">IFERROR(__xludf.DUMMYFUNCTION("""COMPUTED_VALUE"""),"p1/庫存")</f>
        <v>p1/庫存</v>
      </c>
      <c r="F199" s="1">
        <f ca="1">IFERROR(__xludf.DUMMYFUNCTION("""COMPUTED_VALUE"""),1)</f>
        <v>1</v>
      </c>
      <c r="G199" s="1" t="str">
        <f ca="1">IFERROR(__xludf.DUMMYFUNCTION("""COMPUTED_VALUE"""),"09F523")</f>
        <v>09F523</v>
      </c>
      <c r="H199" s="1" t="str">
        <f ca="1">IFERROR(__xludf.DUMMYFUNCTION("""COMPUTED_VALUE"""),"P2_032")</f>
        <v>P2_032</v>
      </c>
      <c r="I199" s="1" t="str">
        <f ca="1">IFERROR(__xludf.DUMMYFUNCTION("""COMPUTED_VALUE"""),"Jason")</f>
        <v>Jason</v>
      </c>
    </row>
    <row r="200" spans="1:9" ht="12.7" x14ac:dyDescent="0.4">
      <c r="A200" s="2">
        <f ca="1">IFERROR(__xludf.DUMMYFUNCTION("""COMPUTED_VALUE"""),45301.8760713078)</f>
        <v>45301.876071307801</v>
      </c>
      <c r="B200" s="1" t="str">
        <f ca="1">IFERROR(__xludf.DUMMYFUNCTION("""COMPUTED_VALUE"""),"送修")</f>
        <v>送修</v>
      </c>
      <c r="C200" s="1" t="str">
        <f ca="1">IFERROR(__xludf.DUMMYFUNCTION("""COMPUTED_VALUE"""),"A00100000731")</f>
        <v>A00100000731</v>
      </c>
      <c r="D200" s="1" t="str">
        <f ca="1">IFERROR(__xludf.DUMMYFUNCTION("""COMPUTED_VALUE"""),"All/BA")</f>
        <v>All/BA</v>
      </c>
      <c r="E200" s="1" t="str">
        <f ca="1">IFERROR(__xludf.DUMMYFUNCTION("""COMPUTED_VALUE"""),"p1/庫存")</f>
        <v>p1/庫存</v>
      </c>
      <c r="F200" s="1">
        <f ca="1">IFERROR(__xludf.DUMMYFUNCTION("""COMPUTED_VALUE"""),1)</f>
        <v>1</v>
      </c>
      <c r="G200" s="1" t="str">
        <f ca="1">IFERROR(__xludf.DUMMYFUNCTION("""COMPUTED_VALUE"""),"03F459")</f>
        <v>03F459</v>
      </c>
      <c r="H200" s="1" t="str">
        <f ca="1">IFERROR(__xludf.DUMMYFUNCTION("""COMPUTED_VALUE"""),"P2_052")</f>
        <v>P2_052</v>
      </c>
      <c r="I200" s="1" t="str">
        <f ca="1">IFERROR(__xludf.DUMMYFUNCTION("""COMPUTED_VALUE"""),"Chiao Yu")</f>
        <v>Chiao Yu</v>
      </c>
    </row>
    <row r="201" spans="1:9" ht="12.7" x14ac:dyDescent="0.4">
      <c r="A201" s="2">
        <f ca="1">IFERROR(__xludf.DUMMYFUNCTION("""COMPUTED_VALUE"""),45301.8778225231)</f>
        <v>45301.8778225231</v>
      </c>
      <c r="B201" s="1" t="str">
        <f ca="1">IFERROR(__xludf.DUMMYFUNCTION("""COMPUTED_VALUE"""),"料件上線時間")</f>
        <v>料件上線時間</v>
      </c>
      <c r="C201" s="1" t="str">
        <f ca="1">IFERROR(__xludf.DUMMYFUNCTION("""COMPUTED_VALUE"""),"A00100000731")</f>
        <v>A00100000731</v>
      </c>
      <c r="D201" s="1" t="str">
        <f ca="1">IFERROR(__xludf.DUMMYFUNCTION("""COMPUTED_VALUE"""),"All/BA")</f>
        <v>All/BA</v>
      </c>
      <c r="E201" s="1" t="str">
        <f ca="1">IFERROR(__xludf.DUMMYFUNCTION("""COMPUTED_VALUE"""),"p1/庫存")</f>
        <v>p1/庫存</v>
      </c>
      <c r="F201" s="1">
        <f ca="1">IFERROR(__xludf.DUMMYFUNCTION("""COMPUTED_VALUE"""),1)</f>
        <v>1</v>
      </c>
      <c r="G201" s="1" t="str">
        <f ca="1">IFERROR(__xludf.DUMMYFUNCTION("""COMPUTED_VALUE"""),"10F499")</f>
        <v>10F499</v>
      </c>
      <c r="H201" s="1" t="str">
        <f ca="1">IFERROR(__xludf.DUMMYFUNCTION("""COMPUTED_VALUE"""),"P2_032")</f>
        <v>P2_032</v>
      </c>
      <c r="I201" s="1" t="str">
        <f ca="1">IFERROR(__xludf.DUMMYFUNCTION("""COMPUTED_VALUE"""),"Jason")</f>
        <v>Jason</v>
      </c>
    </row>
    <row r="202" spans="1:9" ht="12.7" x14ac:dyDescent="0.4">
      <c r="A202" s="2">
        <f ca="1">IFERROR(__xludf.DUMMYFUNCTION("""COMPUTED_VALUE"""),45301.8788061689)</f>
        <v>45301.878806168897</v>
      </c>
      <c r="B202" s="1" t="str">
        <f ca="1">IFERROR(__xludf.DUMMYFUNCTION("""COMPUTED_VALUE"""),"料件上線時間")</f>
        <v>料件上線時間</v>
      </c>
      <c r="C202" s="1" t="str">
        <f ca="1">IFERROR(__xludf.DUMMYFUNCTION("""COMPUTED_VALUE"""),"A00100000731")</f>
        <v>A00100000731</v>
      </c>
      <c r="D202" s="1" t="str">
        <f ca="1">IFERROR(__xludf.DUMMYFUNCTION("""COMPUTED_VALUE"""),"All/BA")</f>
        <v>All/BA</v>
      </c>
      <c r="E202" s="1" t="str">
        <f ca="1">IFERROR(__xludf.DUMMYFUNCTION("""COMPUTED_VALUE"""),"p1/庫存")</f>
        <v>p1/庫存</v>
      </c>
      <c r="F202" s="1">
        <f ca="1">IFERROR(__xludf.DUMMYFUNCTION("""COMPUTED_VALUE"""),1)</f>
        <v>1</v>
      </c>
      <c r="G202" s="1" t="str">
        <f ca="1">IFERROR(__xludf.DUMMYFUNCTION("""COMPUTED_VALUE"""),"06F149")</f>
        <v>06F149</v>
      </c>
      <c r="H202" s="1" t="str">
        <f ca="1">IFERROR(__xludf.DUMMYFUNCTION("""COMPUTED_VALUE"""),"P2_052")</f>
        <v>P2_052</v>
      </c>
      <c r="I202" s="1" t="str">
        <f ca="1">IFERROR(__xludf.DUMMYFUNCTION("""COMPUTED_VALUE"""),"Chiao Yu")</f>
        <v>Chiao Yu</v>
      </c>
    </row>
    <row r="203" spans="1:9" ht="12.7" x14ac:dyDescent="0.4">
      <c r="A203" s="2">
        <f ca="1">IFERROR(__xludf.DUMMYFUNCTION("""COMPUTED_VALUE"""),45303.8583101273)</f>
        <v>45303.858310127303</v>
      </c>
      <c r="B203" s="1" t="str">
        <f ca="1">IFERROR(__xludf.DUMMYFUNCTION("""COMPUTED_VALUE"""),"返修")</f>
        <v>返修</v>
      </c>
      <c r="C203" s="1" t="str">
        <f ca="1">IFERROR(__xludf.DUMMYFUNCTION("""COMPUTED_VALUE"""),"A00100000731")</f>
        <v>A00100000731</v>
      </c>
      <c r="D203" s="1" t="str">
        <f ca="1">IFERROR(__xludf.DUMMYFUNCTION("""COMPUTED_VALUE"""),"All/BA")</f>
        <v>All/BA</v>
      </c>
      <c r="E203" s="1" t="str">
        <f ca="1">IFERROR(__xludf.DUMMYFUNCTION("""COMPUTED_VALUE"""),"p1/庫存")</f>
        <v>p1/庫存</v>
      </c>
      <c r="F203" s="1">
        <f ca="1">IFERROR(__xludf.DUMMYFUNCTION("""COMPUTED_VALUE"""),1)</f>
        <v>1</v>
      </c>
      <c r="G203" s="1" t="str">
        <f ca="1">IFERROR(__xludf.DUMMYFUNCTION("""COMPUTED_VALUE"""),"09F523")</f>
        <v>09F523</v>
      </c>
      <c r="H203" s="1" t="str">
        <f ca="1">IFERROR(__xludf.DUMMYFUNCTION("""COMPUTED_VALUE"""),"P2_032")</f>
        <v>P2_032</v>
      </c>
      <c r="I203" s="1" t="str">
        <f ca="1">IFERROR(__xludf.DUMMYFUNCTION("""COMPUTED_VALUE"""),"Chiao Yu")</f>
        <v>Chiao Yu</v>
      </c>
    </row>
    <row r="204" spans="1:9" ht="12.7" x14ac:dyDescent="0.4">
      <c r="A204" s="2">
        <f ca="1">IFERROR(__xludf.DUMMYFUNCTION("""COMPUTED_VALUE"""),45303.859553125)</f>
        <v>45303.859553125003</v>
      </c>
      <c r="B204" s="1" t="str">
        <f ca="1">IFERROR(__xludf.DUMMYFUNCTION("""COMPUTED_VALUE"""),"返修")</f>
        <v>返修</v>
      </c>
      <c r="C204" s="1" t="str">
        <f ca="1">IFERROR(__xludf.DUMMYFUNCTION("""COMPUTED_VALUE"""),"A00100000731")</f>
        <v>A00100000731</v>
      </c>
      <c r="D204" s="1" t="str">
        <f ca="1">IFERROR(__xludf.DUMMYFUNCTION("""COMPUTED_VALUE"""),"All/BA")</f>
        <v>All/BA</v>
      </c>
      <c r="E204" s="1" t="str">
        <f ca="1">IFERROR(__xludf.DUMMYFUNCTION("""COMPUTED_VALUE"""),"p1/庫存")</f>
        <v>p1/庫存</v>
      </c>
      <c r="F204" s="1">
        <f ca="1">IFERROR(__xludf.DUMMYFUNCTION("""COMPUTED_VALUE"""),1)</f>
        <v>1</v>
      </c>
      <c r="G204" s="1" t="str">
        <f ca="1">IFERROR(__xludf.DUMMYFUNCTION("""COMPUTED_VALUE"""),"03F459")</f>
        <v>03F459</v>
      </c>
      <c r="H204" s="1" t="str">
        <f ca="1">IFERROR(__xludf.DUMMYFUNCTION("""COMPUTED_VALUE"""),"P2_052")</f>
        <v>P2_052</v>
      </c>
      <c r="I204" s="1" t="str">
        <f ca="1">IFERROR(__xludf.DUMMYFUNCTION("""COMPUTED_VALUE"""),"Chiao Yu")</f>
        <v>Chiao Yu</v>
      </c>
    </row>
    <row r="205" spans="1:9" ht="12.7" x14ac:dyDescent="0.4">
      <c r="A205" s="2">
        <f ca="1">IFERROR(__xludf.DUMMYFUNCTION("""COMPUTED_VALUE"""),45307.9276143518)</f>
        <v>45307.9276143518</v>
      </c>
      <c r="B205" s="1" t="str">
        <f ca="1">IFERROR(__xludf.DUMMYFUNCTION("""COMPUTED_VALUE"""),"送修")</f>
        <v>送修</v>
      </c>
      <c r="C205" s="1" t="str">
        <f ca="1">IFERROR(__xludf.DUMMYFUNCTION("""COMPUTED_VALUE"""),"TEST")</f>
        <v>TEST</v>
      </c>
      <c r="D205" s="1" t="str">
        <f ca="1">IFERROR(__xludf.DUMMYFUNCTION("""COMPUTED_VALUE"""),"All/共用")</f>
        <v>All/共用</v>
      </c>
      <c r="E205" s="1" t="str">
        <f ca="1">IFERROR(__xludf.DUMMYFUNCTION("""COMPUTED_VALUE"""),"p2/庫存")</f>
        <v>p2/庫存</v>
      </c>
      <c r="F205" s="1">
        <f ca="1">IFERROR(__xludf.DUMMYFUNCTION("""COMPUTED_VALUE"""),0)</f>
        <v>0</v>
      </c>
      <c r="G205" s="1"/>
      <c r="H205" s="1" t="str">
        <f ca="1">IFERROR(__xludf.DUMMYFUNCTION("""COMPUTED_VALUE"""),"P2_050")</f>
        <v>P2_050</v>
      </c>
      <c r="I205" s="1" t="str">
        <f ca="1">IFERROR(__xludf.DUMMYFUNCTION("""COMPUTED_VALUE"""),"Barry")</f>
        <v>Barry</v>
      </c>
    </row>
    <row r="206" spans="1:9" ht="12.7" x14ac:dyDescent="0.4">
      <c r="A206" s="2">
        <f ca="1">IFERROR(__xludf.DUMMYFUNCTION("""COMPUTED_VALUE"""),45307.9293513194)</f>
        <v>45307.929351319399</v>
      </c>
      <c r="B206" s="1" t="str">
        <f ca="1">IFERROR(__xludf.DUMMYFUNCTION("""COMPUTED_VALUE"""),"送修")</f>
        <v>送修</v>
      </c>
      <c r="C206" s="1" t="str">
        <f ca="1">IFERROR(__xludf.DUMMYFUNCTION("""COMPUTED_VALUE"""),"AGT000000005")</f>
        <v>AGT000000005</v>
      </c>
      <c r="D206" s="1" t="str">
        <f ca="1">IFERROR(__xludf.DUMMYFUNCTION("""COMPUTED_VALUE"""),"All/共用")</f>
        <v>All/共用</v>
      </c>
      <c r="E206" s="1" t="str">
        <f ca="1">IFERROR(__xludf.DUMMYFUNCTION("""COMPUTED_VALUE"""),"p2/庫存")</f>
        <v>p2/庫存</v>
      </c>
      <c r="F206" s="1">
        <f ca="1">IFERROR(__xludf.DUMMYFUNCTION("""COMPUTED_VALUE"""),1)</f>
        <v>1</v>
      </c>
      <c r="G206" s="1"/>
      <c r="H206" s="1" t="str">
        <f ca="1">IFERROR(__xludf.DUMMYFUNCTION("""COMPUTED_VALUE"""),"P2_050")</f>
        <v>P2_050</v>
      </c>
      <c r="I206" s="1" t="str">
        <f ca="1">IFERROR(__xludf.DUMMYFUNCTION("""COMPUTED_VALUE"""),"Barry")</f>
        <v>Barry</v>
      </c>
    </row>
    <row r="207" spans="1:9" ht="12.7" x14ac:dyDescent="0.4">
      <c r="A207" s="2">
        <f ca="1">IFERROR(__xludf.DUMMYFUNCTION("""COMPUTED_VALUE"""),45308.2901101273)</f>
        <v>45308.290110127302</v>
      </c>
      <c r="B207" s="1" t="str">
        <f ca="1">IFERROR(__xludf.DUMMYFUNCTION("""COMPUTED_VALUE"""),"領料")</f>
        <v>領料</v>
      </c>
      <c r="C207" s="1" t="str">
        <f ca="1">IFERROR(__xludf.DUMMYFUNCTION("""COMPUTED_VALUE"""),"ME0270001256")</f>
        <v>ME0270001256</v>
      </c>
      <c r="D207" s="1" t="str">
        <f ca="1">IFERROR(__xludf.DUMMYFUNCTION("""COMPUTED_VALUE"""),"All/共用")</f>
        <v>All/共用</v>
      </c>
      <c r="E207" s="1" t="str">
        <f ca="1">IFERROR(__xludf.DUMMYFUNCTION("""COMPUTED_VALUE"""),"p2/庫存")</f>
        <v>p2/庫存</v>
      </c>
      <c r="F207" s="1">
        <f ca="1">IFERROR(__xludf.DUMMYFUNCTION("""COMPUTED_VALUE"""),1)</f>
        <v>1</v>
      </c>
      <c r="G207" s="1"/>
      <c r="H207" s="1" t="str">
        <f ca="1">IFERROR(__xludf.DUMMYFUNCTION("""COMPUTED_VALUE"""),"P2_2005")</f>
        <v>P2_2005</v>
      </c>
      <c r="I207" s="1" t="str">
        <f ca="1">IFERROR(__xludf.DUMMYFUNCTION("""COMPUTED_VALUE"""),"Chiao Yu")</f>
        <v>Chiao Yu</v>
      </c>
    </row>
    <row r="208" spans="1:9" ht="12.7" x14ac:dyDescent="0.4">
      <c r="A208" s="2">
        <f ca="1">IFERROR(__xludf.DUMMYFUNCTION("""COMPUTED_VALUE"""),45308.3883315625)</f>
        <v>45308.388331562499</v>
      </c>
      <c r="B208" s="1" t="str">
        <f ca="1">IFERROR(__xludf.DUMMYFUNCTION("""COMPUTED_VALUE"""),"領料")</f>
        <v>領料</v>
      </c>
      <c r="C208" s="1" t="str">
        <f ca="1">IFERROR(__xludf.DUMMYFUNCTION("""COMPUTED_VALUE"""),"MM0260000199")</f>
        <v>MM0260000199</v>
      </c>
      <c r="D208" s="1" t="str">
        <f ca="1">IFERROR(__xludf.DUMMYFUNCTION("""COMPUTED_VALUE"""),"All/RL")</f>
        <v>All/RL</v>
      </c>
      <c r="E208" s="1" t="str">
        <f ca="1">IFERROR(__xludf.DUMMYFUNCTION("""COMPUTED_VALUE"""),"p2/庫存")</f>
        <v>p2/庫存</v>
      </c>
      <c r="F208" s="1">
        <f ca="1">IFERROR(__xludf.DUMMYFUNCTION("""COMPUTED_VALUE"""),1)</f>
        <v>1</v>
      </c>
      <c r="G208" s="1"/>
      <c r="H208" s="1" t="str">
        <f ca="1">IFERROR(__xludf.DUMMYFUNCTION("""COMPUTED_VALUE"""),"P2_1001")</f>
        <v>P2_1001</v>
      </c>
      <c r="I208" s="1" t="str">
        <f ca="1">IFERROR(__xludf.DUMMYFUNCTION("""COMPUTED_VALUE"""),"Simon")</f>
        <v>Simon</v>
      </c>
    </row>
    <row r="209" spans="1:9" ht="12.7" x14ac:dyDescent="0.4">
      <c r="A209" s="2">
        <f ca="1">IFERROR(__xludf.DUMMYFUNCTION("""COMPUTED_VALUE"""),45308.3918395949)</f>
        <v>45308.3918395949</v>
      </c>
      <c r="B209" s="1" t="str">
        <f ca="1">IFERROR(__xludf.DUMMYFUNCTION("""COMPUTED_VALUE"""),"領料")</f>
        <v>領料</v>
      </c>
      <c r="C209" s="1" t="str">
        <f ca="1">IFERROR(__xludf.DUMMYFUNCTION("""COMPUTED_VALUE"""),"MM0260000199")</f>
        <v>MM0260000199</v>
      </c>
      <c r="D209" s="1" t="str">
        <f ca="1">IFERROR(__xludf.DUMMYFUNCTION("""COMPUTED_VALUE"""),"All/RL")</f>
        <v>All/RL</v>
      </c>
      <c r="E209" s="1" t="str">
        <f ca="1">IFERROR(__xludf.DUMMYFUNCTION("""COMPUTED_VALUE"""),"p2/庫存")</f>
        <v>p2/庫存</v>
      </c>
      <c r="F209" s="1">
        <f ca="1">IFERROR(__xludf.DUMMYFUNCTION("""COMPUTED_VALUE"""),1)</f>
        <v>1</v>
      </c>
      <c r="G209" s="1"/>
      <c r="H209" s="1" t="str">
        <f ca="1">IFERROR(__xludf.DUMMYFUNCTION("""COMPUTED_VALUE"""),"P2_1002")</f>
        <v>P2_1002</v>
      </c>
      <c r="I209" s="1" t="str">
        <f ca="1">IFERROR(__xludf.DUMMYFUNCTION("""COMPUTED_VALUE"""),"Simon")</f>
        <v>Simon</v>
      </c>
    </row>
    <row r="210" spans="1:9" ht="12.7" x14ac:dyDescent="0.4">
      <c r="A210" s="2">
        <f ca="1">IFERROR(__xludf.DUMMYFUNCTION("""COMPUTED_VALUE"""),45308.398560324)</f>
        <v>45308.398560324</v>
      </c>
      <c r="B210" s="1" t="str">
        <f ca="1">IFERROR(__xludf.DUMMYFUNCTION("""COMPUTED_VALUE"""),"領料")</f>
        <v>領料</v>
      </c>
      <c r="C210" s="1" t="str">
        <f ca="1">IFERROR(__xludf.DUMMYFUNCTION("""COMPUTED_VALUE"""),"MM0260000200")</f>
        <v>MM0260000200</v>
      </c>
      <c r="D210" s="1" t="str">
        <f ca="1">IFERROR(__xludf.DUMMYFUNCTION("""COMPUTED_VALUE"""),"All/RL")</f>
        <v>All/RL</v>
      </c>
      <c r="E210" s="1" t="str">
        <f ca="1">IFERROR(__xludf.DUMMYFUNCTION("""COMPUTED_VALUE"""),"p2/庫存")</f>
        <v>p2/庫存</v>
      </c>
      <c r="F210" s="1">
        <f ca="1">IFERROR(__xludf.DUMMYFUNCTION("""COMPUTED_VALUE"""),2)</f>
        <v>2</v>
      </c>
      <c r="G210" s="1"/>
      <c r="H210" s="1" t="str">
        <f ca="1">IFERROR(__xludf.DUMMYFUNCTION("""COMPUTED_VALUE"""),"P2")</f>
        <v>P2</v>
      </c>
      <c r="I210" s="1" t="str">
        <f ca="1">IFERROR(__xludf.DUMMYFUNCTION("""COMPUTED_VALUE"""),"Simon")</f>
        <v>Simon</v>
      </c>
    </row>
    <row r="211" spans="1:9" ht="12.7" x14ac:dyDescent="0.4">
      <c r="A211" s="2">
        <f ca="1">IFERROR(__xludf.DUMMYFUNCTION("""COMPUTED_VALUE"""),45308.4257562731)</f>
        <v>45308.4257562731</v>
      </c>
      <c r="B211" s="1" t="str">
        <f ca="1">IFERROR(__xludf.DUMMYFUNCTION("""COMPUTED_VALUE"""),"領料")</f>
        <v>領料</v>
      </c>
      <c r="C211" s="1" t="str">
        <f ca="1">IFERROR(__xludf.DUMMYFUNCTION("""COMPUTED_VALUE"""),"MM0260000249")</f>
        <v>MM0260000249</v>
      </c>
      <c r="D211" s="1" t="str">
        <f ca="1">IFERROR(__xludf.DUMMYFUNCTION("""COMPUTED_VALUE"""),"All/RL")</f>
        <v>All/RL</v>
      </c>
      <c r="E211" s="1" t="str">
        <f ca="1">IFERROR(__xludf.DUMMYFUNCTION("""COMPUTED_VALUE"""),"p2/庫存")</f>
        <v>p2/庫存</v>
      </c>
      <c r="F211" s="1">
        <f ca="1">IFERROR(__xludf.DUMMYFUNCTION("""COMPUTED_VALUE"""),2)</f>
        <v>2</v>
      </c>
      <c r="G211" s="1"/>
      <c r="H211" s="1" t="str">
        <f ca="1">IFERROR(__xludf.DUMMYFUNCTION("""COMPUTED_VALUE"""),"P2")</f>
        <v>P2</v>
      </c>
      <c r="I211" s="1" t="str">
        <f ca="1">IFERROR(__xludf.DUMMYFUNCTION("""COMPUTED_VALUE"""),"Simon")</f>
        <v>Simon</v>
      </c>
    </row>
    <row r="212" spans="1:9" ht="12.7" x14ac:dyDescent="0.4">
      <c r="A212" s="2">
        <f ca="1">IFERROR(__xludf.DUMMYFUNCTION("""COMPUTED_VALUE"""),45309.2534592939)</f>
        <v>45309.253459293897</v>
      </c>
      <c r="B212" s="1" t="str">
        <f ca="1">IFERROR(__xludf.DUMMYFUNCTION("""COMPUTED_VALUE"""),"送修")</f>
        <v>送修</v>
      </c>
      <c r="C212" s="1" t="str">
        <f ca="1">IFERROR(__xludf.DUMMYFUNCTION("""COMPUTED_VALUE"""),"A00100000731")</f>
        <v>A00100000731</v>
      </c>
      <c r="D212" s="1" t="str">
        <f ca="1">IFERROR(__xludf.DUMMYFUNCTION("""COMPUTED_VALUE"""),"All/BA")</f>
        <v>All/BA</v>
      </c>
      <c r="E212" s="1" t="str">
        <f ca="1">IFERROR(__xludf.DUMMYFUNCTION("""COMPUTED_VALUE"""),"p2/庫存")</f>
        <v>p2/庫存</v>
      </c>
      <c r="F212" s="1">
        <f ca="1">IFERROR(__xludf.DUMMYFUNCTION("""COMPUTED_VALUE"""),1)</f>
        <v>1</v>
      </c>
      <c r="G212" s="1" t="str">
        <f ca="1">IFERROR(__xludf.DUMMYFUNCTION("""COMPUTED_VALUE"""),"09F306")</f>
        <v>09F306</v>
      </c>
      <c r="H212" s="1" t="str">
        <f ca="1">IFERROR(__xludf.DUMMYFUNCTION("""COMPUTED_VALUE"""),"P2_2001")</f>
        <v>P2_2001</v>
      </c>
      <c r="I212" s="1" t="str">
        <f ca="1">IFERROR(__xludf.DUMMYFUNCTION("""COMPUTED_VALUE"""),"Chiao Yu")</f>
        <v>Chiao Yu</v>
      </c>
    </row>
    <row r="213" spans="1:9" ht="12.7" x14ac:dyDescent="0.4">
      <c r="A213" s="2">
        <f ca="1">IFERROR(__xludf.DUMMYFUNCTION("""COMPUTED_VALUE"""),45309.2545687731)</f>
        <v>45309.254568773104</v>
      </c>
      <c r="B213" s="1" t="str">
        <f ca="1">IFERROR(__xludf.DUMMYFUNCTION("""COMPUTED_VALUE"""),"料件上線時間")</f>
        <v>料件上線時間</v>
      </c>
      <c r="C213" s="1" t="str">
        <f ca="1">IFERROR(__xludf.DUMMYFUNCTION("""COMPUTED_VALUE"""),"A00100000731")</f>
        <v>A00100000731</v>
      </c>
      <c r="D213" s="1" t="str">
        <f ca="1">IFERROR(__xludf.DUMMYFUNCTION("""COMPUTED_VALUE"""),"All/BA")</f>
        <v>All/BA</v>
      </c>
      <c r="E213" s="1" t="str">
        <f ca="1">IFERROR(__xludf.DUMMYFUNCTION("""COMPUTED_VALUE"""),"p2/庫存")</f>
        <v>p2/庫存</v>
      </c>
      <c r="F213" s="1">
        <f ca="1">IFERROR(__xludf.DUMMYFUNCTION("""COMPUTED_VALUE"""),1)</f>
        <v>1</v>
      </c>
      <c r="G213" s="1" t="str">
        <f ca="1">IFERROR(__xludf.DUMMYFUNCTION("""COMPUTED_VALUE"""),"09F524")</f>
        <v>09F524</v>
      </c>
      <c r="H213" s="1" t="str">
        <f ca="1">IFERROR(__xludf.DUMMYFUNCTION("""COMPUTED_VALUE"""),"P2_2001")</f>
        <v>P2_2001</v>
      </c>
      <c r="I213" s="1" t="str">
        <f ca="1">IFERROR(__xludf.DUMMYFUNCTION("""COMPUTED_VALUE"""),"Chiao Yu")</f>
        <v>Chiao Yu</v>
      </c>
    </row>
    <row r="214" spans="1:9" ht="12.7" x14ac:dyDescent="0.4">
      <c r="A214" s="2">
        <f ca="1">IFERROR(__xludf.DUMMYFUNCTION("""COMPUTED_VALUE"""),45309.804203912)</f>
        <v>45309.804203911997</v>
      </c>
      <c r="B214" s="1" t="str">
        <f ca="1">IFERROR(__xludf.DUMMYFUNCTION("""COMPUTED_VALUE"""),"庫存調整")</f>
        <v>庫存調整</v>
      </c>
      <c r="C214" s="1" t="str">
        <f ca="1">IFERROR(__xludf.DUMMYFUNCTION("""COMPUTED_VALUE"""),"A00100000731")</f>
        <v>A00100000731</v>
      </c>
      <c r="D214" s="1" t="str">
        <f ca="1">IFERROR(__xludf.DUMMYFUNCTION("""COMPUTED_VALUE"""),"All/BA")</f>
        <v>All/BA</v>
      </c>
      <c r="E214" s="1" t="str">
        <f ca="1">IFERROR(__xludf.DUMMYFUNCTION("""COMPUTED_VALUE"""),"p1/庫存")</f>
        <v>p1/庫存</v>
      </c>
      <c r="F214" s="1">
        <f ca="1">IFERROR(__xludf.DUMMYFUNCTION("""COMPUTED_VALUE"""),-1)</f>
        <v>-1</v>
      </c>
      <c r="G214" s="1"/>
      <c r="H214" s="1" t="str">
        <f ca="1">IFERROR(__xludf.DUMMYFUNCTION("""COMPUTED_VALUE"""),"P1")</f>
        <v>P1</v>
      </c>
      <c r="I214" s="1" t="str">
        <f ca="1">IFERROR(__xludf.DUMMYFUNCTION("""COMPUTED_VALUE"""),"Simon")</f>
        <v>Simon</v>
      </c>
    </row>
    <row r="215" spans="1:9" ht="12.7" x14ac:dyDescent="0.4">
      <c r="A215" s="2">
        <f ca="1">IFERROR(__xludf.DUMMYFUNCTION("""COMPUTED_VALUE"""),45309.8069440393)</f>
        <v>45309.806944039301</v>
      </c>
      <c r="B215" s="1" t="str">
        <f ca="1">IFERROR(__xludf.DUMMYFUNCTION("""COMPUTED_VALUE"""),"庫存調整")</f>
        <v>庫存調整</v>
      </c>
      <c r="C215" s="1" t="str">
        <f ca="1">IFERROR(__xludf.DUMMYFUNCTION("""COMPUTED_VALUE"""),"A00100000731")</f>
        <v>A00100000731</v>
      </c>
      <c r="D215" s="1" t="str">
        <f ca="1">IFERROR(__xludf.DUMMYFUNCTION("""COMPUTED_VALUE"""),"All/BA")</f>
        <v>All/BA</v>
      </c>
      <c r="E215" s="1" t="str">
        <f ca="1">IFERROR(__xludf.DUMMYFUNCTION("""COMPUTED_VALUE"""),"p2/庫存")</f>
        <v>p2/庫存</v>
      </c>
      <c r="F215" s="1">
        <f ca="1">IFERROR(__xludf.DUMMYFUNCTION("""COMPUTED_VALUE"""),1)</f>
        <v>1</v>
      </c>
      <c r="G215" s="1"/>
      <c r="H215" s="1" t="str">
        <f ca="1">IFERROR(__xludf.DUMMYFUNCTION("""COMPUTED_VALUE"""),"P2")</f>
        <v>P2</v>
      </c>
      <c r="I215" s="1" t="str">
        <f ca="1">IFERROR(__xludf.DUMMYFUNCTION("""COMPUTED_VALUE"""),"Simon")</f>
        <v>Simon</v>
      </c>
    </row>
    <row r="216" spans="1:9" ht="12.7" x14ac:dyDescent="0.4">
      <c r="A216" s="2">
        <f ca="1">IFERROR(__xludf.DUMMYFUNCTION("""COMPUTED_VALUE"""),45309.8123219675)</f>
        <v>45309.812321967504</v>
      </c>
      <c r="B216" s="1" t="str">
        <f ca="1">IFERROR(__xludf.DUMMYFUNCTION("""COMPUTED_VALUE"""),"送修")</f>
        <v>送修</v>
      </c>
      <c r="C216" s="1" t="str">
        <f ca="1">IFERROR(__xludf.DUMMYFUNCTION("""COMPUTED_VALUE"""),"A00100000731")</f>
        <v>A00100000731</v>
      </c>
      <c r="D216" s="1" t="str">
        <f ca="1">IFERROR(__xludf.DUMMYFUNCTION("""COMPUTED_VALUE"""),"All/BA")</f>
        <v>All/BA</v>
      </c>
      <c r="E216" s="1" t="str">
        <f ca="1">IFERROR(__xludf.DUMMYFUNCTION("""COMPUTED_VALUE"""),"p1/庫存")</f>
        <v>p1/庫存</v>
      </c>
      <c r="F216" s="1">
        <f ca="1">IFERROR(__xludf.DUMMYFUNCTION("""COMPUTED_VALUE"""),1)</f>
        <v>1</v>
      </c>
      <c r="G216" s="1" t="str">
        <f ca="1">IFERROR(__xludf.DUMMYFUNCTION("""COMPUTED_VALUE"""),"03F459")</f>
        <v>03F459</v>
      </c>
      <c r="H216" s="1" t="str">
        <f ca="1">IFERROR(__xludf.DUMMYFUNCTION("""COMPUTED_VALUE"""),"P2_052")</f>
        <v>P2_052</v>
      </c>
      <c r="I216" s="1" t="str">
        <f ca="1">IFERROR(__xludf.DUMMYFUNCTION("""COMPUTED_VALUE"""),"Simon")</f>
        <v>Simon</v>
      </c>
    </row>
    <row r="217" spans="1:9" ht="12.7" x14ac:dyDescent="0.4">
      <c r="A217" s="2">
        <f ca="1">IFERROR(__xludf.DUMMYFUNCTION("""COMPUTED_VALUE"""),45310.2433300463)</f>
        <v>45310.243330046302</v>
      </c>
      <c r="B217" s="1" t="str">
        <f ca="1">IFERROR(__xludf.DUMMYFUNCTION("""COMPUTED_VALUE"""),"送修")</f>
        <v>送修</v>
      </c>
      <c r="C217" s="1" t="str">
        <f ca="1">IFERROR(__xludf.DUMMYFUNCTION("""COMPUTED_VALUE"""),"A00100000731")</f>
        <v>A00100000731</v>
      </c>
      <c r="D217" s="1" t="str">
        <f ca="1">IFERROR(__xludf.DUMMYFUNCTION("""COMPUTED_VALUE"""),"All/BA")</f>
        <v>All/BA</v>
      </c>
      <c r="E217" s="1" t="str">
        <f ca="1">IFERROR(__xludf.DUMMYFUNCTION("""COMPUTED_VALUE"""),"p2/庫存")</f>
        <v>p2/庫存</v>
      </c>
      <c r="F217" s="1">
        <f ca="1">IFERROR(__xludf.DUMMYFUNCTION("""COMPUTED_VALUE"""),1)</f>
        <v>1</v>
      </c>
      <c r="G217" s="1" t="str">
        <f ca="1">IFERROR(__xludf.DUMMYFUNCTION("""COMPUTED_VALUE"""),"10F497")</f>
        <v>10F497</v>
      </c>
      <c r="H217" s="1" t="str">
        <f ca="1">IFERROR(__xludf.DUMMYFUNCTION("""COMPUTED_VALUE"""),"P2_033")</f>
        <v>P2_033</v>
      </c>
      <c r="I217" s="1" t="str">
        <f ca="1">IFERROR(__xludf.DUMMYFUNCTION("""COMPUTED_VALUE"""),"Chiao Yu")</f>
        <v>Chiao Yu</v>
      </c>
    </row>
    <row r="218" spans="1:9" ht="12.7" x14ac:dyDescent="0.4">
      <c r="A218" s="2">
        <f ca="1">IFERROR(__xludf.DUMMYFUNCTION("""COMPUTED_VALUE"""),45310.244341875)</f>
        <v>45310.244341874997</v>
      </c>
      <c r="B218" s="1" t="str">
        <f ca="1">IFERROR(__xludf.DUMMYFUNCTION("""COMPUTED_VALUE"""),"料件上線時間")</f>
        <v>料件上線時間</v>
      </c>
      <c r="C218" s="1" t="str">
        <f ca="1">IFERROR(__xludf.DUMMYFUNCTION("""COMPUTED_VALUE"""),"A00100000731")</f>
        <v>A00100000731</v>
      </c>
      <c r="D218" s="1" t="str">
        <f ca="1">IFERROR(__xludf.DUMMYFUNCTION("""COMPUTED_VALUE"""),"All/BA")</f>
        <v>All/BA</v>
      </c>
      <c r="E218" s="1" t="str">
        <f ca="1">IFERROR(__xludf.DUMMYFUNCTION("""COMPUTED_VALUE"""),"p2/庫存")</f>
        <v>p2/庫存</v>
      </c>
      <c r="F218" s="1">
        <f ca="1">IFERROR(__xludf.DUMMYFUNCTION("""COMPUTED_VALUE"""),1)</f>
        <v>1</v>
      </c>
      <c r="G218" s="1" t="str">
        <f ca="1">IFERROR(__xludf.DUMMYFUNCTION("""COMPUTED_VALUE"""),"01G104")</f>
        <v>01G104</v>
      </c>
      <c r="H218" s="1" t="str">
        <f ca="1">IFERROR(__xludf.DUMMYFUNCTION("""COMPUTED_VALUE"""),"P2_033")</f>
        <v>P2_033</v>
      </c>
      <c r="I218" s="1" t="str">
        <f ca="1">IFERROR(__xludf.DUMMYFUNCTION("""COMPUTED_VALUE"""),"Chiao Yu")</f>
        <v>Chiao Yu</v>
      </c>
    </row>
    <row r="219" spans="1:9" ht="12.7" x14ac:dyDescent="0.4">
      <c r="A219" s="2">
        <f ca="1">IFERROR(__xludf.DUMMYFUNCTION("""COMPUTED_VALUE"""),45314.8707825694)</f>
        <v>45314.8707825694</v>
      </c>
      <c r="B219" s="1" t="str">
        <f ca="1">IFERROR(__xludf.DUMMYFUNCTION("""COMPUTED_VALUE"""),"返修")</f>
        <v>返修</v>
      </c>
      <c r="C219" s="1" t="str">
        <f ca="1">IFERROR(__xludf.DUMMYFUNCTION("""COMPUTED_VALUE"""),"A00100000731")</f>
        <v>A00100000731</v>
      </c>
      <c r="D219" s="1" t="str">
        <f ca="1">IFERROR(__xludf.DUMMYFUNCTION("""COMPUTED_VALUE"""),"All/BA, All/共用")</f>
        <v>All/BA, All/共用</v>
      </c>
      <c r="E219" s="1" t="str">
        <f ca="1">IFERROR(__xludf.DUMMYFUNCTION("""COMPUTED_VALUE"""),"p2/庫存")</f>
        <v>p2/庫存</v>
      </c>
      <c r="F219" s="1">
        <f ca="1">IFERROR(__xludf.DUMMYFUNCTION("""COMPUTED_VALUE"""),1)</f>
        <v>1</v>
      </c>
      <c r="G219" s="1" t="str">
        <f ca="1">IFERROR(__xludf.DUMMYFUNCTION("""COMPUTED_VALUE"""),"09F306")</f>
        <v>09F306</v>
      </c>
      <c r="H219" s="1" t="str">
        <f ca="1">IFERROR(__xludf.DUMMYFUNCTION("""COMPUTED_VALUE"""),"P2_2001")</f>
        <v>P2_2001</v>
      </c>
      <c r="I219" s="1" t="str">
        <f ca="1">IFERROR(__xludf.DUMMYFUNCTION("""COMPUTED_VALUE"""),"Chiao Yu")</f>
        <v>Chiao Yu</v>
      </c>
    </row>
    <row r="220" spans="1:9" ht="12.7" x14ac:dyDescent="0.4">
      <c r="A220" s="2">
        <f ca="1">IFERROR(__xludf.DUMMYFUNCTION("""COMPUTED_VALUE"""),45314.8722761458)</f>
        <v>45314.872276145798</v>
      </c>
      <c r="B220" s="1" t="str">
        <f ca="1">IFERROR(__xludf.DUMMYFUNCTION("""COMPUTED_VALUE"""),"返修")</f>
        <v>返修</v>
      </c>
      <c r="C220" s="1" t="str">
        <f ca="1">IFERROR(__xludf.DUMMYFUNCTION("""COMPUTED_VALUE"""),"A00100000731")</f>
        <v>A00100000731</v>
      </c>
      <c r="D220" s="1" t="str">
        <f ca="1">IFERROR(__xludf.DUMMYFUNCTION("""COMPUTED_VALUE"""),"All/BA")</f>
        <v>All/BA</v>
      </c>
      <c r="E220" s="1" t="str">
        <f ca="1">IFERROR(__xludf.DUMMYFUNCTION("""COMPUTED_VALUE"""),"p1/庫存")</f>
        <v>p1/庫存</v>
      </c>
      <c r="F220" s="1">
        <f ca="1">IFERROR(__xludf.DUMMYFUNCTION("""COMPUTED_VALUE"""),1)</f>
        <v>1</v>
      </c>
      <c r="G220" s="1" t="str">
        <f ca="1">IFERROR(__xludf.DUMMYFUNCTION("""COMPUTED_VALUE"""),"03F459")</f>
        <v>03F459</v>
      </c>
      <c r="H220" s="1" t="str">
        <f ca="1">IFERROR(__xludf.DUMMYFUNCTION("""COMPUTED_VALUE"""),"P2_052")</f>
        <v>P2_052</v>
      </c>
      <c r="I220" s="1" t="str">
        <f ca="1">IFERROR(__xludf.DUMMYFUNCTION("""COMPUTED_VALUE"""),"Chiao Yu")</f>
        <v>Chiao Yu</v>
      </c>
    </row>
    <row r="221" spans="1:9" ht="12.7" x14ac:dyDescent="0.4">
      <c r="A221" s="2">
        <f ca="1">IFERROR(__xludf.DUMMYFUNCTION("""COMPUTED_VALUE"""),45314.8738474884)</f>
        <v>45314.873847488401</v>
      </c>
      <c r="B221" s="1" t="str">
        <f ca="1">IFERROR(__xludf.DUMMYFUNCTION("""COMPUTED_VALUE"""),"返修")</f>
        <v>返修</v>
      </c>
      <c r="C221" s="1" t="str">
        <f ca="1">IFERROR(__xludf.DUMMYFUNCTION("""COMPUTED_VALUE"""),"A00100000731")</f>
        <v>A00100000731</v>
      </c>
      <c r="D221" s="1" t="str">
        <f ca="1">IFERROR(__xludf.DUMMYFUNCTION("""COMPUTED_VALUE"""),"All/BA")</f>
        <v>All/BA</v>
      </c>
      <c r="E221" s="1" t="str">
        <f ca="1">IFERROR(__xludf.DUMMYFUNCTION("""COMPUTED_VALUE"""),"p1/庫存")</f>
        <v>p1/庫存</v>
      </c>
      <c r="F221" s="1">
        <f ca="1">IFERROR(__xludf.DUMMYFUNCTION("""COMPUTED_VALUE"""),1)</f>
        <v>1</v>
      </c>
      <c r="G221" s="1" t="str">
        <f ca="1">IFERROR(__xludf.DUMMYFUNCTION("""COMPUTED_VALUE"""),"10F497")</f>
        <v>10F497</v>
      </c>
      <c r="H221" s="1" t="str">
        <f ca="1">IFERROR(__xludf.DUMMYFUNCTION("""COMPUTED_VALUE"""),"P2_033")</f>
        <v>P2_033</v>
      </c>
      <c r="I221" s="1" t="str">
        <f ca="1">IFERROR(__xludf.DUMMYFUNCTION("""COMPUTED_VALUE"""),"Chiao Yu")</f>
        <v>Chiao Yu</v>
      </c>
    </row>
    <row r="222" spans="1:9" ht="12.7" x14ac:dyDescent="0.4">
      <c r="A222" s="2">
        <f ca="1">IFERROR(__xludf.DUMMYFUNCTION("""COMPUTED_VALUE"""),45315.3129561342)</f>
        <v>45315.312956134199</v>
      </c>
      <c r="B222" s="1" t="str">
        <f ca="1">IFERROR(__xludf.DUMMYFUNCTION("""COMPUTED_VALUE"""),"返修")</f>
        <v>返修</v>
      </c>
      <c r="C222" s="1" t="str">
        <f ca="1">IFERROR(__xludf.DUMMYFUNCTION("""COMPUTED_VALUE"""),"ME0020000525")</f>
        <v>ME0020000525</v>
      </c>
      <c r="D222" s="1" t="str">
        <f ca="1">IFERROR(__xludf.DUMMYFUNCTION("""COMPUTED_VALUE"""),"All/共用")</f>
        <v>All/共用</v>
      </c>
      <c r="E222" s="1" t="str">
        <f ca="1">IFERROR(__xludf.DUMMYFUNCTION("""COMPUTED_VALUE"""),"p2/庫存")</f>
        <v>p2/庫存</v>
      </c>
      <c r="F222" s="1">
        <f ca="1">IFERROR(__xludf.DUMMYFUNCTION("""COMPUTED_VALUE"""),1)</f>
        <v>1</v>
      </c>
      <c r="G222" s="1" t="str">
        <f ca="1">IFERROR(__xludf.DUMMYFUNCTION("""COMPUTED_VALUE"""),"2349E886F1C6")</f>
        <v>2349E886F1C6</v>
      </c>
      <c r="H222" s="1" t="str">
        <f ca="1">IFERROR(__xludf.DUMMYFUNCTION("""COMPUTED_VALUE"""),"P2_037")</f>
        <v>P2_037</v>
      </c>
      <c r="I222" s="1" t="str">
        <f ca="1">IFERROR(__xludf.DUMMYFUNCTION("""COMPUTED_VALUE"""),"Chiao Yu")</f>
        <v>Chiao Yu</v>
      </c>
    </row>
    <row r="223" spans="1:9" ht="12.7" x14ac:dyDescent="0.4">
      <c r="A223" s="2">
        <f ca="1">IFERROR(__xludf.DUMMYFUNCTION("""COMPUTED_VALUE"""),45315.3697044213)</f>
        <v>45315.369704421297</v>
      </c>
      <c r="B223" s="1" t="str">
        <f ca="1">IFERROR(__xludf.DUMMYFUNCTION("""COMPUTED_VALUE"""),"領料")</f>
        <v>領料</v>
      </c>
      <c r="C223" s="1" t="str">
        <f ca="1">IFERROR(__xludf.DUMMYFUNCTION("""COMPUTED_VALUE"""),"MM0260000077")</f>
        <v>MM0260000077</v>
      </c>
      <c r="D223" s="1" t="str">
        <f ca="1">IFERROR(__xludf.DUMMYFUNCTION("""COMPUTED_VALUE"""),"All/BA")</f>
        <v>All/BA</v>
      </c>
      <c r="E223" s="1" t="str">
        <f ca="1">IFERROR(__xludf.DUMMYFUNCTION("""COMPUTED_VALUE"""),"p1/庫存")</f>
        <v>p1/庫存</v>
      </c>
      <c r="F223" s="1">
        <f ca="1">IFERROR(__xludf.DUMMYFUNCTION("""COMPUTED_VALUE"""),20)</f>
        <v>20</v>
      </c>
      <c r="G223" s="1"/>
      <c r="H223" s="1" t="str">
        <f ca="1">IFERROR(__xludf.DUMMYFUNCTION("""COMPUTED_VALUE"""),"P1")</f>
        <v>P1</v>
      </c>
      <c r="I223" s="1" t="str">
        <f ca="1">IFERROR(__xludf.DUMMYFUNCTION("""COMPUTED_VALUE"""),"Simon")</f>
        <v>Simon</v>
      </c>
    </row>
    <row r="224" spans="1:9" ht="12.7" x14ac:dyDescent="0.4">
      <c r="A224" s="2">
        <f ca="1">IFERROR(__xludf.DUMMYFUNCTION("""COMPUTED_VALUE"""),45315.3717497685)</f>
        <v>45315.371749768499</v>
      </c>
      <c r="B224" s="1" t="str">
        <f ca="1">IFERROR(__xludf.DUMMYFUNCTION("""COMPUTED_VALUE"""),"料件上線時間")</f>
        <v>料件上線時間</v>
      </c>
      <c r="C224" s="1" t="str">
        <f ca="1">IFERROR(__xludf.DUMMYFUNCTION("""COMPUTED_VALUE"""),"ME0160000073")</f>
        <v>ME0160000073</v>
      </c>
      <c r="D224" s="1" t="str">
        <f ca="1">IFERROR(__xludf.DUMMYFUNCTION("""COMPUTED_VALUE"""),"All/BA")</f>
        <v>All/BA</v>
      </c>
      <c r="E224" s="1" t="str">
        <f ca="1">IFERROR(__xludf.DUMMYFUNCTION("""COMPUTED_VALUE"""),"p1/庫存")</f>
        <v>p1/庫存</v>
      </c>
      <c r="F224" s="1">
        <f ca="1">IFERROR(__xludf.DUMMYFUNCTION("""COMPUTED_VALUE"""),1)</f>
        <v>1</v>
      </c>
      <c r="G224" s="1" t="str">
        <f ca="1">IFERROR(__xludf.DUMMYFUNCTION("""COMPUTED_VALUE"""),"B2002353")</f>
        <v>B2002353</v>
      </c>
      <c r="H224" s="1" t="str">
        <f ca="1">IFERROR(__xludf.DUMMYFUNCTION("""COMPUTED_VALUE"""),"P1_025")</f>
        <v>P1_025</v>
      </c>
      <c r="I224" s="1" t="str">
        <f ca="1">IFERROR(__xludf.DUMMYFUNCTION("""COMPUTED_VALUE"""),"Simon")</f>
        <v>Simon</v>
      </c>
    </row>
    <row r="225" spans="1:9" ht="12.7" x14ac:dyDescent="0.4">
      <c r="A225" s="2">
        <f ca="1">IFERROR(__xludf.DUMMYFUNCTION("""COMPUTED_VALUE"""),45315.3733543171)</f>
        <v>45315.373354317097</v>
      </c>
      <c r="B225" s="1" t="str">
        <f ca="1">IFERROR(__xludf.DUMMYFUNCTION("""COMPUTED_VALUE"""),"料件上線時間")</f>
        <v>料件上線時間</v>
      </c>
      <c r="C225" s="1" t="str">
        <f ca="1">IFERROR(__xludf.DUMMYFUNCTION("""COMPUTED_VALUE"""),"ME0160000073")</f>
        <v>ME0160000073</v>
      </c>
      <c r="D225" s="1" t="str">
        <f ca="1">IFERROR(__xludf.DUMMYFUNCTION("""COMPUTED_VALUE"""),"All/BA")</f>
        <v>All/BA</v>
      </c>
      <c r="E225" s="1" t="str">
        <f ca="1">IFERROR(__xludf.DUMMYFUNCTION("""COMPUTED_VALUE"""),"p1/庫存")</f>
        <v>p1/庫存</v>
      </c>
      <c r="F225" s="1">
        <f ca="1">IFERROR(__xludf.DUMMYFUNCTION("""COMPUTED_VALUE"""),1)</f>
        <v>1</v>
      </c>
      <c r="G225" s="1" t="str">
        <f ca="1">IFERROR(__xludf.DUMMYFUNCTION("""COMPUTED_VALUE"""),"B1912340")</f>
        <v>B1912340</v>
      </c>
      <c r="H225" s="1" t="str">
        <f ca="1">IFERROR(__xludf.DUMMYFUNCTION("""COMPUTED_VALUE"""),"P1_026")</f>
        <v>P1_026</v>
      </c>
      <c r="I225" s="1" t="str">
        <f ca="1">IFERROR(__xludf.DUMMYFUNCTION("""COMPUTED_VALUE"""),"Simon")</f>
        <v>Simon</v>
      </c>
    </row>
    <row r="226" spans="1:9" ht="12.7" x14ac:dyDescent="0.4">
      <c r="A226" s="2">
        <f ca="1">IFERROR(__xludf.DUMMYFUNCTION("""COMPUTED_VALUE"""),45315.3746168518)</f>
        <v>45315.374616851797</v>
      </c>
      <c r="B226" s="1" t="str">
        <f ca="1">IFERROR(__xludf.DUMMYFUNCTION("""COMPUTED_VALUE"""),"料件上線時間")</f>
        <v>料件上線時間</v>
      </c>
      <c r="C226" s="1" t="str">
        <f ca="1">IFERROR(__xludf.DUMMYFUNCTION("""COMPUTED_VALUE"""),"ME0160000073")</f>
        <v>ME0160000073</v>
      </c>
      <c r="D226" s="1" t="str">
        <f ca="1">IFERROR(__xludf.DUMMYFUNCTION("""COMPUTED_VALUE"""),"All/BA")</f>
        <v>All/BA</v>
      </c>
      <c r="E226" s="1" t="str">
        <f ca="1">IFERROR(__xludf.DUMMYFUNCTION("""COMPUTED_VALUE"""),"p1/庫存")</f>
        <v>p1/庫存</v>
      </c>
      <c r="F226" s="1">
        <f ca="1">IFERROR(__xludf.DUMMYFUNCTION("""COMPUTED_VALUE"""),1)</f>
        <v>1</v>
      </c>
      <c r="G226" s="1" t="str">
        <f ca="1">IFERROR(__xludf.DUMMYFUNCTION("""COMPUTED_VALUE"""),"B1408054")</f>
        <v>B1408054</v>
      </c>
      <c r="H226" s="1" t="str">
        <f ca="1">IFERROR(__xludf.DUMMYFUNCTION("""COMPUTED_VALUE"""),"P1_027")</f>
        <v>P1_027</v>
      </c>
      <c r="I226" s="1" t="str">
        <f ca="1">IFERROR(__xludf.DUMMYFUNCTION("""COMPUTED_VALUE"""),"Chiao Yu")</f>
        <v>Chiao Yu</v>
      </c>
    </row>
    <row r="227" spans="1:9" ht="12.7" x14ac:dyDescent="0.4">
      <c r="A227" s="2">
        <f ca="1">IFERROR(__xludf.DUMMYFUNCTION("""COMPUTED_VALUE"""),45315.3756797222)</f>
        <v>45315.375679722201</v>
      </c>
      <c r="B227" s="1" t="str">
        <f ca="1">IFERROR(__xludf.DUMMYFUNCTION("""COMPUTED_VALUE"""),"料件上線時間")</f>
        <v>料件上線時間</v>
      </c>
      <c r="C227" s="1" t="str">
        <f ca="1">IFERROR(__xludf.DUMMYFUNCTION("""COMPUTED_VALUE"""),"ME0160000073")</f>
        <v>ME0160000073</v>
      </c>
      <c r="D227" s="1" t="str">
        <f ca="1">IFERROR(__xludf.DUMMYFUNCTION("""COMPUTED_VALUE"""),"All/BA")</f>
        <v>All/BA</v>
      </c>
      <c r="E227" s="1" t="str">
        <f ca="1">IFERROR(__xludf.DUMMYFUNCTION("""COMPUTED_VALUE"""),"p1/庫存")</f>
        <v>p1/庫存</v>
      </c>
      <c r="F227" s="1">
        <f ca="1">IFERROR(__xludf.DUMMYFUNCTION("""COMPUTED_VALUE"""),1)</f>
        <v>1</v>
      </c>
      <c r="G227" s="1" t="str">
        <f ca="1">IFERROR(__xludf.DUMMYFUNCTION("""COMPUTED_VALUE"""),"B2002347")</f>
        <v>B2002347</v>
      </c>
      <c r="H227" s="1" t="str">
        <f ca="1">IFERROR(__xludf.DUMMYFUNCTION("""COMPUTED_VALUE"""),"P1_028")</f>
        <v>P1_028</v>
      </c>
      <c r="I227" s="1" t="str">
        <f ca="1">IFERROR(__xludf.DUMMYFUNCTION("""COMPUTED_VALUE"""),"Chiao Yu")</f>
        <v>Chiao Yu</v>
      </c>
    </row>
    <row r="228" spans="1:9" ht="12.7" x14ac:dyDescent="0.4">
      <c r="A228" s="2">
        <f ca="1">IFERROR(__xludf.DUMMYFUNCTION("""COMPUTED_VALUE"""),45315.3772831134)</f>
        <v>45315.377283113397</v>
      </c>
      <c r="B228" s="1" t="str">
        <f ca="1">IFERROR(__xludf.DUMMYFUNCTION("""COMPUTED_VALUE"""),"料件上線時間")</f>
        <v>料件上線時間</v>
      </c>
      <c r="C228" s="1" t="str">
        <f ca="1">IFERROR(__xludf.DUMMYFUNCTION("""COMPUTED_VALUE"""),"ME0160000073")</f>
        <v>ME0160000073</v>
      </c>
      <c r="D228" s="1" t="str">
        <f ca="1">IFERROR(__xludf.DUMMYFUNCTION("""COMPUTED_VALUE"""),"All/BA")</f>
        <v>All/BA</v>
      </c>
      <c r="E228" s="1" t="str">
        <f ca="1">IFERROR(__xludf.DUMMYFUNCTION("""COMPUTED_VALUE"""),"p1/庫存")</f>
        <v>p1/庫存</v>
      </c>
      <c r="F228" s="1">
        <f ca="1">IFERROR(__xludf.DUMMYFUNCTION("""COMPUTED_VALUE"""),1)</f>
        <v>1</v>
      </c>
      <c r="G228" s="1" t="str">
        <f ca="1">IFERROR(__xludf.DUMMYFUNCTION("""COMPUTED_VALUE"""),"B2211386")</f>
        <v>B2211386</v>
      </c>
      <c r="H228" s="1" t="str">
        <f ca="1">IFERROR(__xludf.DUMMYFUNCTION("""COMPUTED_VALUE"""),"P1_029")</f>
        <v>P1_029</v>
      </c>
      <c r="I228" s="1" t="str">
        <f ca="1">IFERROR(__xludf.DUMMYFUNCTION("""COMPUTED_VALUE"""),"Jason")</f>
        <v>Jason</v>
      </c>
    </row>
    <row r="229" spans="1:9" ht="12.7" x14ac:dyDescent="0.4">
      <c r="A229" s="2">
        <f ca="1">IFERROR(__xludf.DUMMYFUNCTION("""COMPUTED_VALUE"""),45315.3781056713)</f>
        <v>45315.378105671298</v>
      </c>
      <c r="B229" s="1" t="str">
        <f ca="1">IFERROR(__xludf.DUMMYFUNCTION("""COMPUTED_VALUE"""),"料件上線時間")</f>
        <v>料件上線時間</v>
      </c>
      <c r="C229" s="1" t="str">
        <f ca="1">IFERROR(__xludf.DUMMYFUNCTION("""COMPUTED_VALUE"""),"ME0160000073")</f>
        <v>ME0160000073</v>
      </c>
      <c r="D229" s="1" t="str">
        <f ca="1">IFERROR(__xludf.DUMMYFUNCTION("""COMPUTED_VALUE"""),"All/BA")</f>
        <v>All/BA</v>
      </c>
      <c r="E229" s="1" t="str">
        <f ca="1">IFERROR(__xludf.DUMMYFUNCTION("""COMPUTED_VALUE"""),"p1/庫存")</f>
        <v>p1/庫存</v>
      </c>
      <c r="F229" s="1">
        <f ca="1">IFERROR(__xludf.DUMMYFUNCTION("""COMPUTED_VALUE"""),1)</f>
        <v>1</v>
      </c>
      <c r="G229" s="1" t="str">
        <f ca="1">IFERROR(__xludf.DUMMYFUNCTION("""COMPUTED_VALUE"""),"B1501152")</f>
        <v>B1501152</v>
      </c>
      <c r="H229" s="1" t="str">
        <f ca="1">IFERROR(__xludf.DUMMYFUNCTION("""COMPUTED_VALUE"""),"P1_030")</f>
        <v>P1_030</v>
      </c>
      <c r="I229" s="1" t="str">
        <f ca="1">IFERROR(__xludf.DUMMYFUNCTION("""COMPUTED_VALUE"""),"Jason")</f>
        <v>Jason</v>
      </c>
    </row>
    <row r="230" spans="1:9" ht="12.7" x14ac:dyDescent="0.4">
      <c r="A230" s="2">
        <f ca="1">IFERROR(__xludf.DUMMYFUNCTION("""COMPUTED_VALUE"""),45315.4202959027)</f>
        <v>45315.420295902702</v>
      </c>
      <c r="B230" s="1" t="str">
        <f ca="1">IFERROR(__xludf.DUMMYFUNCTION("""COMPUTED_VALUE"""),"送修")</f>
        <v>送修</v>
      </c>
      <c r="C230" s="1" t="str">
        <f ca="1">IFERROR(__xludf.DUMMYFUNCTION("""COMPUTED_VALUE"""),"ME0060000270")</f>
        <v>ME0060000270</v>
      </c>
      <c r="D230" s="1" t="str">
        <f ca="1">IFERROR(__xludf.DUMMYFUNCTION("""COMPUTED_VALUE"""),"All/共用")</f>
        <v>All/共用</v>
      </c>
      <c r="E230" s="1" t="str">
        <f ca="1">IFERROR(__xludf.DUMMYFUNCTION("""COMPUTED_VALUE"""),"p1/庫存")</f>
        <v>p1/庫存</v>
      </c>
      <c r="F230" s="1">
        <f ca="1">IFERROR(__xludf.DUMMYFUNCTION("""COMPUTED_VALUE"""),1)</f>
        <v>1</v>
      </c>
      <c r="G230" s="1"/>
      <c r="H230" s="1" t="str">
        <f ca="1">IFERROR(__xludf.DUMMYFUNCTION("""COMPUTED_VALUE"""),"P1_026")</f>
        <v>P1_026</v>
      </c>
      <c r="I230" s="1" t="str">
        <f ca="1">IFERROR(__xludf.DUMMYFUNCTION("""COMPUTED_VALUE"""),"Simon")</f>
        <v>Simon</v>
      </c>
    </row>
    <row r="231" spans="1:9" ht="12.7" x14ac:dyDescent="0.4">
      <c r="A231" s="2">
        <f ca="1">IFERROR(__xludf.DUMMYFUNCTION("""COMPUTED_VALUE"""),45315.4210419675)</f>
        <v>45315.4210419675</v>
      </c>
      <c r="B231" s="1" t="str">
        <f ca="1">IFERROR(__xludf.DUMMYFUNCTION("""COMPUTED_VALUE"""),"送修")</f>
        <v>送修</v>
      </c>
      <c r="C231" s="1" t="str">
        <f ca="1">IFERROR(__xludf.DUMMYFUNCTION("""COMPUTED_VALUE"""),"ME0060000270")</f>
        <v>ME0060000270</v>
      </c>
      <c r="D231" s="1" t="str">
        <f ca="1">IFERROR(__xludf.DUMMYFUNCTION("""COMPUTED_VALUE"""),"All/共用")</f>
        <v>All/共用</v>
      </c>
      <c r="E231" s="1" t="str">
        <f ca="1">IFERROR(__xludf.DUMMYFUNCTION("""COMPUTED_VALUE"""),"p1/庫存")</f>
        <v>p1/庫存</v>
      </c>
      <c r="F231" s="1">
        <f ca="1">IFERROR(__xludf.DUMMYFUNCTION("""COMPUTED_VALUE"""),1)</f>
        <v>1</v>
      </c>
      <c r="G231" s="1"/>
      <c r="H231" s="1" t="str">
        <f ca="1">IFERROR(__xludf.DUMMYFUNCTION("""COMPUTED_VALUE"""),"P1_026")</f>
        <v>P1_026</v>
      </c>
      <c r="I231" s="1" t="str">
        <f ca="1">IFERROR(__xludf.DUMMYFUNCTION("""COMPUTED_VALUE"""),"Simon")</f>
        <v>Simon</v>
      </c>
    </row>
    <row r="232" spans="1:9" ht="12.7" x14ac:dyDescent="0.4">
      <c r="A232" s="2">
        <f ca="1">IFERROR(__xludf.DUMMYFUNCTION("""COMPUTED_VALUE"""),45322.3968192939)</f>
        <v>45322.396819293899</v>
      </c>
      <c r="B232" s="1" t="str">
        <f ca="1">IFERROR(__xludf.DUMMYFUNCTION("""COMPUTED_VALUE"""),"領料")</f>
        <v>領料</v>
      </c>
      <c r="C232" s="1" t="str">
        <f ca="1">IFERROR(__xludf.DUMMYFUNCTION("""COMPUTED_VALUE"""),"MM0260000077")</f>
        <v>MM0260000077</v>
      </c>
      <c r="D232" s="1" t="str">
        <f ca="1">IFERROR(__xludf.DUMMYFUNCTION("""COMPUTED_VALUE"""),"All/BA")</f>
        <v>All/BA</v>
      </c>
      <c r="E232" s="1" t="str">
        <f ca="1">IFERROR(__xludf.DUMMYFUNCTION("""COMPUTED_VALUE"""),"p1/庫存")</f>
        <v>p1/庫存</v>
      </c>
      <c r="F232" s="1">
        <f ca="1">IFERROR(__xludf.DUMMYFUNCTION("""COMPUTED_VALUE"""),40)</f>
        <v>40</v>
      </c>
      <c r="G232" s="1"/>
      <c r="H232" s="1" t="str">
        <f ca="1">IFERROR(__xludf.DUMMYFUNCTION("""COMPUTED_VALUE"""),"P1")</f>
        <v>P1</v>
      </c>
      <c r="I232" s="1" t="str">
        <f ca="1">IFERROR(__xludf.DUMMYFUNCTION("""COMPUTED_VALUE"""),"Simon")</f>
        <v>Simon</v>
      </c>
    </row>
    <row r="233" spans="1:9" ht="12.7" x14ac:dyDescent="0.4">
      <c r="A233" s="2">
        <f ca="1">IFERROR(__xludf.DUMMYFUNCTION("""COMPUTED_VALUE"""),45325.2982486805)</f>
        <v>45325.298248680498</v>
      </c>
      <c r="B233" s="1" t="str">
        <f ca="1">IFERROR(__xludf.DUMMYFUNCTION("""COMPUTED_VALUE"""),"送修")</f>
        <v>送修</v>
      </c>
      <c r="C233" s="1" t="str">
        <f ca="1">IFERROR(__xludf.DUMMYFUNCTION("""COMPUTED_VALUE"""),"A00700000825")</f>
        <v>A00700000825</v>
      </c>
      <c r="D233" s="1" t="str">
        <f ca="1">IFERROR(__xludf.DUMMYFUNCTION("""COMPUTED_VALUE"""),"All/RL")</f>
        <v>All/RL</v>
      </c>
      <c r="E233" s="1" t="str">
        <f ca="1">IFERROR(__xludf.DUMMYFUNCTION("""COMPUTED_VALUE"""),"p2/庫存")</f>
        <v>p2/庫存</v>
      </c>
      <c r="F233" s="1">
        <f ca="1">IFERROR(__xludf.DUMMYFUNCTION("""COMPUTED_VALUE"""),1)</f>
        <v>1</v>
      </c>
      <c r="G233" s="1"/>
      <c r="H233" s="1" t="str">
        <f ca="1">IFERROR(__xludf.DUMMYFUNCTION("""COMPUTED_VALUE"""),"P2")</f>
        <v>P2</v>
      </c>
      <c r="I233" s="1" t="str">
        <f ca="1">IFERROR(__xludf.DUMMYFUNCTION("""COMPUTED_VALUE"""),"Chiao Yu")</f>
        <v>Chiao Yu</v>
      </c>
    </row>
    <row r="234" spans="1:9" ht="12.7" x14ac:dyDescent="0.4">
      <c r="A234" s="2">
        <f ca="1">IFERROR(__xludf.DUMMYFUNCTION("""COMPUTED_VALUE"""),45329.4092807175)</f>
        <v>45329.409280717497</v>
      </c>
      <c r="B234" s="1" t="str">
        <f ca="1">IFERROR(__xludf.DUMMYFUNCTION("""COMPUTED_VALUE"""),"庫存調整")</f>
        <v>庫存調整</v>
      </c>
      <c r="C234" s="1" t="str">
        <f ca="1">IFERROR(__xludf.DUMMYFUNCTION("""COMPUTED_VALUE"""),"ME0070000140")</f>
        <v>ME0070000140</v>
      </c>
      <c r="D234" s="1" t="str">
        <f ca="1">IFERROR(__xludf.DUMMYFUNCTION("""COMPUTED_VALUE"""),"All/BA")</f>
        <v>All/BA</v>
      </c>
      <c r="E234" s="1" t="str">
        <f ca="1">IFERROR(__xludf.DUMMYFUNCTION("""COMPUTED_VALUE"""),"p2/庫存")</f>
        <v>p2/庫存</v>
      </c>
      <c r="F234" s="1">
        <f ca="1">IFERROR(__xludf.DUMMYFUNCTION("""COMPUTED_VALUE"""),1)</f>
        <v>1</v>
      </c>
      <c r="G234" s="1" t="str">
        <f ca="1">IFERROR(__xludf.DUMMYFUNCTION("""COMPUTED_VALUE"""),"100A-2523D0042-2401")</f>
        <v>100A-2523D0042-2401</v>
      </c>
      <c r="H234" s="1" t="str">
        <f ca="1">IFERROR(__xludf.DUMMYFUNCTION("""COMPUTED_VALUE"""),"P2")</f>
        <v>P2</v>
      </c>
      <c r="I234" s="1" t="str">
        <f ca="1">IFERROR(__xludf.DUMMYFUNCTION("""COMPUTED_VALUE"""),"Simon")</f>
        <v>Simon</v>
      </c>
    </row>
    <row r="235" spans="1:9" ht="12.7" x14ac:dyDescent="0.4">
      <c r="A235" s="2">
        <f ca="1">IFERROR(__xludf.DUMMYFUNCTION("""COMPUTED_VALUE"""),45339.6304923611)</f>
        <v>45339.630492361102</v>
      </c>
      <c r="B235" s="1" t="str">
        <f ca="1">IFERROR(__xludf.DUMMYFUNCTION("""COMPUTED_VALUE"""),"領料")</f>
        <v>領料</v>
      </c>
      <c r="C235" s="1" t="str">
        <f ca="1">IFERROR(__xludf.DUMMYFUNCTION("""COMPUTED_VALUE"""),"ME0020000554")</f>
        <v>ME0020000554</v>
      </c>
      <c r="D235" s="1" t="str">
        <f ca="1">IFERROR(__xludf.DUMMYFUNCTION("""COMPUTED_VALUE"""),"All/共用")</f>
        <v>All/共用</v>
      </c>
      <c r="E235" s="1" t="str">
        <f ca="1">IFERROR(__xludf.DUMMYFUNCTION("""COMPUTED_VALUE"""),"p1/庫存")</f>
        <v>p1/庫存</v>
      </c>
      <c r="F235" s="1">
        <f ca="1">IFERROR(__xludf.DUMMYFUNCTION("""COMPUTED_VALUE"""),2)</f>
        <v>2</v>
      </c>
      <c r="G235" s="1"/>
      <c r="H235" s="1" t="str">
        <f ca="1">IFERROR(__xludf.DUMMYFUNCTION("""COMPUTED_VALUE"""),"P1")</f>
        <v>P1</v>
      </c>
      <c r="I235" s="1" t="str">
        <f ca="1">IFERROR(__xludf.DUMMYFUNCTION("""COMPUTED_VALUE"""),"Simon")</f>
        <v>Simon</v>
      </c>
    </row>
    <row r="236" spans="1:9" ht="12.7" x14ac:dyDescent="0.4">
      <c r="A236" s="2">
        <f ca="1">IFERROR(__xludf.DUMMYFUNCTION("""COMPUTED_VALUE"""),45341.8491736921)</f>
        <v>45341.849173692099</v>
      </c>
      <c r="B236" s="1" t="str">
        <f ca="1">IFERROR(__xludf.DUMMYFUNCTION("""COMPUTED_VALUE"""),"返修")</f>
        <v>返修</v>
      </c>
      <c r="C236" s="1" t="str">
        <f ca="1">IFERROR(__xludf.DUMMYFUNCTION("""COMPUTED_VALUE"""),"A00700000825")</f>
        <v>A00700000825</v>
      </c>
      <c r="D236" s="1" t="str">
        <f ca="1">IFERROR(__xludf.DUMMYFUNCTION("""COMPUTED_VALUE"""),"All/RL")</f>
        <v>All/RL</v>
      </c>
      <c r="E236" s="1" t="str">
        <f ca="1">IFERROR(__xludf.DUMMYFUNCTION("""COMPUTED_VALUE"""),"p2/庫存")</f>
        <v>p2/庫存</v>
      </c>
      <c r="F236" s="1">
        <f ca="1">IFERROR(__xludf.DUMMYFUNCTION("""COMPUTED_VALUE"""),1)</f>
        <v>1</v>
      </c>
      <c r="G236" s="1"/>
      <c r="H236" s="1" t="str">
        <f ca="1">IFERROR(__xludf.DUMMYFUNCTION("""COMPUTED_VALUE"""),"P2備品")</f>
        <v>P2備品</v>
      </c>
      <c r="I236" s="1" t="str">
        <f ca="1">IFERROR(__xludf.DUMMYFUNCTION("""COMPUTED_VALUE"""),"Chiao Yu")</f>
        <v>Chiao Yu</v>
      </c>
    </row>
    <row r="237" spans="1:9" ht="12.7" x14ac:dyDescent="0.4">
      <c r="A237" s="2">
        <f ca="1">IFERROR(__xludf.DUMMYFUNCTION("""COMPUTED_VALUE"""),45344.4458686111)</f>
        <v>45344.445868611103</v>
      </c>
      <c r="B237" s="1" t="str">
        <f ca="1">IFERROR(__xludf.DUMMYFUNCTION("""COMPUTED_VALUE"""),"進貨")</f>
        <v>進貨</v>
      </c>
      <c r="C237" s="1" t="str">
        <f ca="1">IFERROR(__xludf.DUMMYFUNCTION("""COMPUTED_VALUE"""),"MM0260000199")</f>
        <v>MM0260000199</v>
      </c>
      <c r="D237" s="1" t="str">
        <f ca="1">IFERROR(__xludf.DUMMYFUNCTION("""COMPUTED_VALUE"""),"All/RL")</f>
        <v>All/RL</v>
      </c>
      <c r="E237" s="1" t="str">
        <f ca="1">IFERROR(__xludf.DUMMYFUNCTION("""COMPUTED_VALUE"""),"p2/庫存")</f>
        <v>p2/庫存</v>
      </c>
      <c r="F237" s="1">
        <f ca="1">IFERROR(__xludf.DUMMYFUNCTION("""COMPUTED_VALUE"""),2)</f>
        <v>2</v>
      </c>
      <c r="G237" s="1"/>
      <c r="H237" s="1" t="str">
        <f ca="1">IFERROR(__xludf.DUMMYFUNCTION("""COMPUTED_VALUE"""),"P2")</f>
        <v>P2</v>
      </c>
      <c r="I237" s="1" t="str">
        <f ca="1">IFERROR(__xludf.DUMMYFUNCTION("""COMPUTED_VALUE"""),"Simon")</f>
        <v>Simon</v>
      </c>
    </row>
    <row r="238" spans="1:9" ht="12.7" x14ac:dyDescent="0.4">
      <c r="A238" s="2">
        <f ca="1">IFERROR(__xludf.DUMMYFUNCTION("""COMPUTED_VALUE"""),45344.4475819444)</f>
        <v>45344.447581944398</v>
      </c>
      <c r="B238" s="1" t="str">
        <f ca="1">IFERROR(__xludf.DUMMYFUNCTION("""COMPUTED_VALUE"""),"進貨")</f>
        <v>進貨</v>
      </c>
      <c r="C238" s="1" t="str">
        <f ca="1">IFERROR(__xludf.DUMMYFUNCTION("""COMPUTED_VALUE"""),"MM0260000200")</f>
        <v>MM0260000200</v>
      </c>
      <c r="D238" s="1" t="str">
        <f ca="1">IFERROR(__xludf.DUMMYFUNCTION("""COMPUTED_VALUE"""),"All/RL")</f>
        <v>All/RL</v>
      </c>
      <c r="E238" s="1" t="str">
        <f ca="1">IFERROR(__xludf.DUMMYFUNCTION("""COMPUTED_VALUE"""),"p2/庫存")</f>
        <v>p2/庫存</v>
      </c>
      <c r="F238" s="1">
        <f ca="1">IFERROR(__xludf.DUMMYFUNCTION("""COMPUTED_VALUE"""),2)</f>
        <v>2</v>
      </c>
      <c r="G238" s="1"/>
      <c r="H238" s="1" t="str">
        <f ca="1">IFERROR(__xludf.DUMMYFUNCTION("""COMPUTED_VALUE"""),"P2")</f>
        <v>P2</v>
      </c>
      <c r="I238" s="1" t="str">
        <f ca="1">IFERROR(__xludf.DUMMYFUNCTION("""COMPUTED_VALUE"""),"Simon")</f>
        <v>Simon</v>
      </c>
    </row>
    <row r="239" spans="1:9" ht="12.7" x14ac:dyDescent="0.4">
      <c r="A239" s="2">
        <f ca="1">IFERROR(__xludf.DUMMYFUNCTION("""COMPUTED_VALUE"""),45344.4487739583)</f>
        <v>45344.448773958298</v>
      </c>
      <c r="B239" s="1" t="str">
        <f ca="1">IFERROR(__xludf.DUMMYFUNCTION("""COMPUTED_VALUE"""),"進貨")</f>
        <v>進貨</v>
      </c>
      <c r="C239" s="1" t="str">
        <f ca="1">IFERROR(__xludf.DUMMYFUNCTION("""COMPUTED_VALUE"""),"ME0270001256")</f>
        <v>ME0270001256</v>
      </c>
      <c r="D239" s="1" t="str">
        <f ca="1">IFERROR(__xludf.DUMMYFUNCTION("""COMPUTED_VALUE"""),"All/共用")</f>
        <v>All/共用</v>
      </c>
      <c r="E239" s="1" t="str">
        <f ca="1">IFERROR(__xludf.DUMMYFUNCTION("""COMPUTED_VALUE"""),"p2/庫存")</f>
        <v>p2/庫存</v>
      </c>
      <c r="F239" s="1">
        <f ca="1">IFERROR(__xludf.DUMMYFUNCTION("""COMPUTED_VALUE"""),1)</f>
        <v>1</v>
      </c>
      <c r="G239" s="1"/>
      <c r="H239" s="1" t="str">
        <f ca="1">IFERROR(__xludf.DUMMYFUNCTION("""COMPUTED_VALUE"""),"P2")</f>
        <v>P2</v>
      </c>
      <c r="I239" s="1" t="str">
        <f ca="1">IFERROR(__xludf.DUMMYFUNCTION("""COMPUTED_VALUE"""),"Simon")</f>
        <v>Simon</v>
      </c>
    </row>
    <row r="240" spans="1:9" ht="12.7" x14ac:dyDescent="0.4">
      <c r="A240" s="2">
        <f ca="1">IFERROR(__xludf.DUMMYFUNCTION("""COMPUTED_VALUE"""),45344.4503705902)</f>
        <v>45344.450370590203</v>
      </c>
      <c r="B240" s="1" t="str">
        <f ca="1">IFERROR(__xludf.DUMMYFUNCTION("""COMPUTED_VALUE"""),"進貨")</f>
        <v>進貨</v>
      </c>
      <c r="C240" s="1" t="str">
        <f ca="1">IFERROR(__xludf.DUMMYFUNCTION("""COMPUTED_VALUE"""),"MM0260000249")</f>
        <v>MM0260000249</v>
      </c>
      <c r="D240" s="1" t="str">
        <f ca="1">IFERROR(__xludf.DUMMYFUNCTION("""COMPUTED_VALUE"""),"All/RL")</f>
        <v>All/RL</v>
      </c>
      <c r="E240" s="1" t="str">
        <f ca="1">IFERROR(__xludf.DUMMYFUNCTION("""COMPUTED_VALUE"""),"p2/庫存")</f>
        <v>p2/庫存</v>
      </c>
      <c r="F240" s="1">
        <f ca="1">IFERROR(__xludf.DUMMYFUNCTION("""COMPUTED_VALUE"""),2)</f>
        <v>2</v>
      </c>
      <c r="G240" s="1"/>
      <c r="H240" s="1" t="str">
        <f ca="1">IFERROR(__xludf.DUMMYFUNCTION("""COMPUTED_VALUE"""),"P2")</f>
        <v>P2</v>
      </c>
      <c r="I240" s="1" t="str">
        <f ca="1">IFERROR(__xludf.DUMMYFUNCTION("""COMPUTED_VALUE"""),"Simon")</f>
        <v>Simon</v>
      </c>
    </row>
    <row r="241" spans="1:9" ht="12.7" x14ac:dyDescent="0.4">
      <c r="A241" s="2">
        <f ca="1">IFERROR(__xludf.DUMMYFUNCTION("""COMPUTED_VALUE"""),45344.4523824305)</f>
        <v>45344.4523824305</v>
      </c>
      <c r="B241" s="1" t="str">
        <f ca="1">IFERROR(__xludf.DUMMYFUNCTION("""COMPUTED_VALUE"""),"進貨")</f>
        <v>進貨</v>
      </c>
      <c r="C241" s="1" t="str">
        <f ca="1">IFERROR(__xludf.DUMMYFUNCTION("""COMPUTED_VALUE"""),"MM0260000149")</f>
        <v>MM0260000149</v>
      </c>
      <c r="D241" s="1" t="str">
        <f ca="1">IFERROR(__xludf.DUMMYFUNCTION("""COMPUTED_VALUE"""),"All/BA")</f>
        <v>All/BA</v>
      </c>
      <c r="E241" s="1" t="str">
        <f ca="1">IFERROR(__xludf.DUMMYFUNCTION("""COMPUTED_VALUE"""),"p2/庫存")</f>
        <v>p2/庫存</v>
      </c>
      <c r="F241" s="1">
        <f ca="1">IFERROR(__xludf.DUMMYFUNCTION("""COMPUTED_VALUE"""),62)</f>
        <v>62</v>
      </c>
      <c r="G241" s="1"/>
      <c r="H241" s="1" t="str">
        <f ca="1">IFERROR(__xludf.DUMMYFUNCTION("""COMPUTED_VALUE"""),"P2")</f>
        <v>P2</v>
      </c>
      <c r="I241" s="1" t="str">
        <f ca="1">IFERROR(__xludf.DUMMYFUNCTION("""COMPUTED_VALUE"""),"Simon")</f>
        <v>Simon</v>
      </c>
    </row>
    <row r="242" spans="1:9" ht="12.7" x14ac:dyDescent="0.4">
      <c r="A242" s="2">
        <f ca="1">IFERROR(__xludf.DUMMYFUNCTION("""COMPUTED_VALUE"""),45344.4536827893)</f>
        <v>45344.453682789303</v>
      </c>
      <c r="B242" s="1" t="str">
        <f ca="1">IFERROR(__xludf.DUMMYFUNCTION("""COMPUTED_VALUE"""),"進貨")</f>
        <v>進貨</v>
      </c>
      <c r="C242" s="1" t="str">
        <f ca="1">IFERROR(__xludf.DUMMYFUNCTION("""COMPUTED_VALUE"""),"MM0260000147")</f>
        <v>MM0260000147</v>
      </c>
      <c r="D242" s="1" t="str">
        <f ca="1">IFERROR(__xludf.DUMMYFUNCTION("""COMPUTED_VALUE"""),"All/BA")</f>
        <v>All/BA</v>
      </c>
      <c r="E242" s="1" t="str">
        <f ca="1">IFERROR(__xludf.DUMMYFUNCTION("""COMPUTED_VALUE"""),"p2/庫存")</f>
        <v>p2/庫存</v>
      </c>
      <c r="F242" s="1">
        <f ca="1">IFERROR(__xludf.DUMMYFUNCTION("""COMPUTED_VALUE"""),62)</f>
        <v>62</v>
      </c>
      <c r="G242" s="1"/>
      <c r="H242" s="1" t="str">
        <f ca="1">IFERROR(__xludf.DUMMYFUNCTION("""COMPUTED_VALUE"""),"P2")</f>
        <v>P2</v>
      </c>
      <c r="I242" s="1" t="str">
        <f ca="1">IFERROR(__xludf.DUMMYFUNCTION("""COMPUTED_VALUE"""),"Simon")</f>
        <v>Simon</v>
      </c>
    </row>
    <row r="243" spans="1:9" ht="12.7" x14ac:dyDescent="0.4">
      <c r="A243" s="2">
        <f ca="1">IFERROR(__xludf.DUMMYFUNCTION("""COMPUTED_VALUE"""),45344.4568728472)</f>
        <v>45344.4568728472</v>
      </c>
      <c r="B243" s="1" t="str">
        <f ca="1">IFERROR(__xludf.DUMMYFUNCTION("""COMPUTED_VALUE"""),"進貨")</f>
        <v>進貨</v>
      </c>
      <c r="C243" s="1" t="str">
        <f ca="1">IFERROR(__xludf.DUMMYFUNCTION("""COMPUTED_VALUE"""),"MM0260000258")</f>
        <v>MM0260000258</v>
      </c>
      <c r="D243" s="1" t="str">
        <f ca="1">IFERROR(__xludf.DUMMYFUNCTION("""COMPUTED_VALUE"""),"All/BA")</f>
        <v>All/BA</v>
      </c>
      <c r="E243" s="1" t="str">
        <f ca="1">IFERROR(__xludf.DUMMYFUNCTION("""COMPUTED_VALUE"""),"p2/庫存")</f>
        <v>p2/庫存</v>
      </c>
      <c r="F243" s="1">
        <f ca="1">IFERROR(__xludf.DUMMYFUNCTION("""COMPUTED_VALUE"""),62)</f>
        <v>62</v>
      </c>
      <c r="G243" s="1"/>
      <c r="H243" s="1" t="str">
        <f ca="1">IFERROR(__xludf.DUMMYFUNCTION("""COMPUTED_VALUE"""),"P2")</f>
        <v>P2</v>
      </c>
      <c r="I243" s="1" t="str">
        <f ca="1">IFERROR(__xludf.DUMMYFUNCTION("""COMPUTED_VALUE"""),"Simon")</f>
        <v>Simon</v>
      </c>
    </row>
    <row r="244" spans="1:9" ht="12.7" x14ac:dyDescent="0.4">
      <c r="A244" s="2">
        <f ca="1">IFERROR(__xludf.DUMMYFUNCTION("""COMPUTED_VALUE"""),45344.4634248495)</f>
        <v>45344.463424849499</v>
      </c>
      <c r="B244" s="1" t="str">
        <f ca="1">IFERROR(__xludf.DUMMYFUNCTION("""COMPUTED_VALUE"""),"進貨")</f>
        <v>進貨</v>
      </c>
      <c r="C244" s="1" t="str">
        <f ca="1">IFERROR(__xludf.DUMMYFUNCTION("""COMPUTED_VALUE"""),"MM0010000272")</f>
        <v>MM0010000272</v>
      </c>
      <c r="D244" s="1" t="str">
        <f ca="1">IFERROR(__xludf.DUMMYFUNCTION("""COMPUTED_VALUE"""),"All/RL")</f>
        <v>All/RL</v>
      </c>
      <c r="E244" s="1" t="str">
        <f ca="1">IFERROR(__xludf.DUMMYFUNCTION("""COMPUTED_VALUE"""),"p2/庫存")</f>
        <v>p2/庫存</v>
      </c>
      <c r="F244" s="1">
        <f ca="1">IFERROR(__xludf.DUMMYFUNCTION("""COMPUTED_VALUE"""),1)</f>
        <v>1</v>
      </c>
      <c r="G244" s="1"/>
      <c r="H244" s="1" t="str">
        <f ca="1">IFERROR(__xludf.DUMMYFUNCTION("""COMPUTED_VALUE"""),"P2")</f>
        <v>P2</v>
      </c>
      <c r="I244" s="1" t="str">
        <f ca="1">IFERROR(__xludf.DUMMYFUNCTION("""COMPUTED_VALUE"""),"Simon")</f>
        <v>Simon</v>
      </c>
    </row>
    <row r="245" spans="1:9" ht="12.7" x14ac:dyDescent="0.4">
      <c r="A245" s="2">
        <f ca="1">IFERROR(__xludf.DUMMYFUNCTION("""COMPUTED_VALUE"""),45344.5329351736)</f>
        <v>45344.5329351736</v>
      </c>
      <c r="B245" s="1" t="str">
        <f ca="1">IFERROR(__xludf.DUMMYFUNCTION("""COMPUTED_VALUE"""),"進貨")</f>
        <v>進貨</v>
      </c>
      <c r="C245" s="1" t="str">
        <f ca="1">IFERROR(__xludf.DUMMYFUNCTION("""COMPUTED_VALUE"""),"AGT000000003")</f>
        <v>AGT000000003</v>
      </c>
      <c r="D245" s="1" t="str">
        <f ca="1">IFERROR(__xludf.DUMMYFUNCTION("""COMPUTED_VALUE"""),"All/共用")</f>
        <v>All/共用</v>
      </c>
      <c r="E245" s="1" t="str">
        <f ca="1">IFERROR(__xludf.DUMMYFUNCTION("""COMPUTED_VALUE"""),"p2/庫存")</f>
        <v>p2/庫存</v>
      </c>
      <c r="F245" s="1">
        <f ca="1">IFERROR(__xludf.DUMMYFUNCTION("""COMPUTED_VALUE"""),1)</f>
        <v>1</v>
      </c>
      <c r="G245" s="1"/>
      <c r="H245" s="1" t="str">
        <f ca="1">IFERROR(__xludf.DUMMYFUNCTION("""COMPUTED_VALUE"""),"P2")</f>
        <v>P2</v>
      </c>
      <c r="I245" s="1" t="str">
        <f ca="1">IFERROR(__xludf.DUMMYFUNCTION("""COMPUTED_VALUE"""),"Simon")</f>
        <v>Simon</v>
      </c>
    </row>
    <row r="246" spans="1:9" ht="12.7" x14ac:dyDescent="0.4">
      <c r="A246" s="2">
        <f ca="1">IFERROR(__xludf.DUMMYFUNCTION("""COMPUTED_VALUE"""),45344.5349105208)</f>
        <v>45344.534910520801</v>
      </c>
      <c r="B246" s="1" t="str">
        <f ca="1">IFERROR(__xludf.DUMMYFUNCTION("""COMPUTED_VALUE"""),"進貨")</f>
        <v>進貨</v>
      </c>
      <c r="C246" s="1" t="str">
        <f ca="1">IFERROR(__xludf.DUMMYFUNCTION("""COMPUTED_VALUE"""),"ME0020000592")</f>
        <v>ME0020000592</v>
      </c>
      <c r="D246" s="1" t="str">
        <f ca="1">IFERROR(__xludf.DUMMYFUNCTION("""COMPUTED_VALUE"""),"All/共用")</f>
        <v>All/共用</v>
      </c>
      <c r="E246" s="1" t="str">
        <f ca="1">IFERROR(__xludf.DUMMYFUNCTION("""COMPUTED_VALUE"""),"p2/庫存")</f>
        <v>p2/庫存</v>
      </c>
      <c r="F246" s="1">
        <f ca="1">IFERROR(__xludf.DUMMYFUNCTION("""COMPUTED_VALUE"""),1)</f>
        <v>1</v>
      </c>
      <c r="G246" s="1"/>
      <c r="H246" s="1" t="str">
        <f ca="1">IFERROR(__xludf.DUMMYFUNCTION("""COMPUTED_VALUE"""),"P2")</f>
        <v>P2</v>
      </c>
      <c r="I246" s="1" t="str">
        <f ca="1">IFERROR(__xludf.DUMMYFUNCTION("""COMPUTED_VALUE"""),"Simon")</f>
        <v>Simon</v>
      </c>
    </row>
    <row r="247" spans="1:9" ht="12.7" x14ac:dyDescent="0.4">
      <c r="A247" s="2">
        <f ca="1">IFERROR(__xludf.DUMMYFUNCTION("""COMPUTED_VALUE"""),45350.4493066203)</f>
        <v>45350.449306620299</v>
      </c>
      <c r="B247" s="1" t="str">
        <f ca="1">IFERROR(__xludf.DUMMYFUNCTION("""COMPUTED_VALUE"""),"送修")</f>
        <v>送修</v>
      </c>
      <c r="C247" s="1" t="str">
        <f ca="1">IFERROR(__xludf.DUMMYFUNCTION("""COMPUTED_VALUE"""),"ME0070000140")</f>
        <v>ME0070000140</v>
      </c>
      <c r="D247" s="1" t="str">
        <f ca="1">IFERROR(__xludf.DUMMYFUNCTION("""COMPUTED_VALUE"""),"All/BA")</f>
        <v>All/BA</v>
      </c>
      <c r="E247" s="1" t="str">
        <f ca="1">IFERROR(__xludf.DUMMYFUNCTION("""COMPUTED_VALUE"""),"p2/庫存")</f>
        <v>p2/庫存</v>
      </c>
      <c r="F247" s="1">
        <f ca="1">IFERROR(__xludf.DUMMYFUNCTION("""COMPUTED_VALUE"""),1)</f>
        <v>1</v>
      </c>
      <c r="G247" s="1" t="str">
        <f ca="1">IFERROR(__xludf.DUMMYFUNCTION("""COMPUTED_VALUE"""),"100A-2522C0140-2208")</f>
        <v>100A-2522C0140-2208</v>
      </c>
      <c r="H247" s="1" t="str">
        <f ca="1">IFERROR(__xludf.DUMMYFUNCTION("""COMPUTED_VALUE"""),"P2_039")</f>
        <v>P2_039</v>
      </c>
      <c r="I247" s="1" t="str">
        <f ca="1">IFERROR(__xludf.DUMMYFUNCTION("""COMPUTED_VALUE"""),"Simon")</f>
        <v>Simon</v>
      </c>
    </row>
    <row r="248" spans="1:9" ht="12.7" x14ac:dyDescent="0.4">
      <c r="A248" s="2">
        <f ca="1">IFERROR(__xludf.DUMMYFUNCTION("""COMPUTED_VALUE"""),45350.4532694328)</f>
        <v>45350.453269432801</v>
      </c>
      <c r="B248" s="1" t="str">
        <f ca="1">IFERROR(__xludf.DUMMYFUNCTION("""COMPUTED_VALUE"""),"料件上線時間")</f>
        <v>料件上線時間</v>
      </c>
      <c r="C248" s="1" t="str">
        <f ca="1">IFERROR(__xludf.DUMMYFUNCTION("""COMPUTED_VALUE"""),"ME0070000140")</f>
        <v>ME0070000140</v>
      </c>
      <c r="D248" s="1" t="str">
        <f ca="1">IFERROR(__xludf.DUMMYFUNCTION("""COMPUTED_VALUE"""),"All/BA")</f>
        <v>All/BA</v>
      </c>
      <c r="E248" s="1" t="str">
        <f ca="1">IFERROR(__xludf.DUMMYFUNCTION("""COMPUTED_VALUE"""),"p2/庫存")</f>
        <v>p2/庫存</v>
      </c>
      <c r="F248" s="1">
        <f ca="1">IFERROR(__xludf.DUMMYFUNCTION("""COMPUTED_VALUE"""),1)</f>
        <v>1</v>
      </c>
      <c r="G248" s="1" t="str">
        <f ca="1">IFERROR(__xludf.DUMMYFUNCTION("""COMPUTED_VALUE"""),"待補，BARRY 忘記")</f>
        <v>待補，BARRY 忘記</v>
      </c>
      <c r="H248" s="1" t="str">
        <f ca="1">IFERROR(__xludf.DUMMYFUNCTION("""COMPUTED_VALUE"""),"P2_039")</f>
        <v>P2_039</v>
      </c>
      <c r="I248" s="1" t="str">
        <f ca="1">IFERROR(__xludf.DUMMYFUNCTION("""COMPUTED_VALUE"""),"Barry")</f>
        <v>Barry</v>
      </c>
    </row>
    <row r="249" spans="1:9" ht="12.7" x14ac:dyDescent="0.4">
      <c r="A249" s="2">
        <f ca="1">IFERROR(__xludf.DUMMYFUNCTION("""COMPUTED_VALUE"""),45350.4571681134)</f>
        <v>45350.457168113397</v>
      </c>
      <c r="B249" s="1" t="str">
        <f ca="1">IFERROR(__xludf.DUMMYFUNCTION("""COMPUTED_VALUE"""),"領料")</f>
        <v>領料</v>
      </c>
      <c r="C249" s="1" t="str">
        <f ca="1">IFERROR(__xludf.DUMMYFUNCTION("""COMPUTED_VALUE"""),"MM0260000077")</f>
        <v>MM0260000077</v>
      </c>
      <c r="D249" s="1" t="str">
        <f ca="1">IFERROR(__xludf.DUMMYFUNCTION("""COMPUTED_VALUE"""),"All/BA")</f>
        <v>All/BA</v>
      </c>
      <c r="E249" s="1" t="str">
        <f ca="1">IFERROR(__xludf.DUMMYFUNCTION("""COMPUTED_VALUE"""),"p2/庫存")</f>
        <v>p2/庫存</v>
      </c>
      <c r="F249" s="1">
        <f ca="1">IFERROR(__xludf.DUMMYFUNCTION("""COMPUTED_VALUE"""),1)</f>
        <v>1</v>
      </c>
      <c r="G249" s="1"/>
      <c r="H249" s="1" t="str">
        <f ca="1">IFERROR(__xludf.DUMMYFUNCTION("""COMPUTED_VALUE"""),"P2_039")</f>
        <v>P2_039</v>
      </c>
      <c r="I249" s="1" t="str">
        <f ca="1">IFERROR(__xludf.DUMMYFUNCTION("""COMPUTED_VALUE"""),"Barry")</f>
        <v>Barry</v>
      </c>
    </row>
    <row r="250" spans="1:9" ht="12.7" x14ac:dyDescent="0.4">
      <c r="A250" s="2">
        <f ca="1">IFERROR(__xludf.DUMMYFUNCTION("""COMPUTED_VALUE"""),45350.8254702199)</f>
        <v>45350.825470219897</v>
      </c>
      <c r="B250" s="1" t="str">
        <f ca="1">IFERROR(__xludf.DUMMYFUNCTION("""COMPUTED_VALUE"""),"進貨")</f>
        <v>進貨</v>
      </c>
      <c r="C250" s="1" t="str">
        <f ca="1">IFERROR(__xludf.DUMMYFUNCTION("""COMPUTED_VALUE"""),"ME0010000383")</f>
        <v>ME0010000383</v>
      </c>
      <c r="D250" s="1" t="str">
        <f ca="1">IFERROR(__xludf.DUMMYFUNCTION("""COMPUTED_VALUE"""),"All/共用")</f>
        <v>All/共用</v>
      </c>
      <c r="E250" s="1" t="str">
        <f ca="1">IFERROR(__xludf.DUMMYFUNCTION("""COMPUTED_VALUE"""),"p2/庫存")</f>
        <v>p2/庫存</v>
      </c>
      <c r="F250" s="1">
        <f ca="1">IFERROR(__xludf.DUMMYFUNCTION("""COMPUTED_VALUE"""),1)</f>
        <v>1</v>
      </c>
      <c r="G250" s="1"/>
      <c r="H250" s="1" t="str">
        <f ca="1">IFERROR(__xludf.DUMMYFUNCTION("""COMPUTED_VALUE"""),"P2")</f>
        <v>P2</v>
      </c>
      <c r="I250" s="1" t="str">
        <f ca="1">IFERROR(__xludf.DUMMYFUNCTION("""COMPUTED_VALUE"""),"Simon")</f>
        <v>Simon</v>
      </c>
    </row>
    <row r="251" spans="1:9" ht="12.7" x14ac:dyDescent="0.4">
      <c r="A251" s="2">
        <f ca="1">IFERROR(__xludf.DUMMYFUNCTION("""COMPUTED_VALUE"""),45352.108338368)</f>
        <v>45352.108338368002</v>
      </c>
      <c r="B251" s="1" t="str">
        <f ca="1">IFERROR(__xludf.DUMMYFUNCTION("""COMPUTED_VALUE"""),"料件上線時間")</f>
        <v>料件上線時間</v>
      </c>
      <c r="C251" s="1" t="str">
        <f ca="1">IFERROR(__xludf.DUMMYFUNCTION("""COMPUTED_VALUE"""),"ME0160000073")</f>
        <v>ME0160000073</v>
      </c>
      <c r="D251" s="1" t="str">
        <f ca="1">IFERROR(__xludf.DUMMYFUNCTION("""COMPUTED_VALUE"""),"All/BA")</f>
        <v>All/BA</v>
      </c>
      <c r="E251" s="1" t="str">
        <f ca="1">IFERROR(__xludf.DUMMYFUNCTION("""COMPUTED_VALUE"""),"p2/庫存")</f>
        <v>p2/庫存</v>
      </c>
      <c r="F251" s="1">
        <f ca="1">IFERROR(__xludf.DUMMYFUNCTION("""COMPUTED_VALUE"""),1)</f>
        <v>1</v>
      </c>
      <c r="G251" s="1" t="str">
        <f ca="1">IFERROR(__xludf.DUMMYFUNCTION("""COMPUTED_VALUE"""),"B1502190")</f>
        <v>B1502190</v>
      </c>
      <c r="H251" s="1" t="str">
        <f ca="1">IFERROR(__xludf.DUMMYFUNCTION("""COMPUTED_VALUE"""),"P2_046")</f>
        <v>P2_046</v>
      </c>
      <c r="I251" s="1" t="str">
        <f ca="1">IFERROR(__xludf.DUMMYFUNCTION("""COMPUTED_VALUE"""),"Chiao Yu")</f>
        <v>Chiao Yu</v>
      </c>
    </row>
    <row r="252" spans="1:9" ht="12.7" x14ac:dyDescent="0.4">
      <c r="A252" s="2">
        <f ca="1">IFERROR(__xludf.DUMMYFUNCTION("""COMPUTED_VALUE"""),45352.1099449305)</f>
        <v>45352.109944930497</v>
      </c>
      <c r="B252" s="1" t="str">
        <f ca="1">IFERROR(__xludf.DUMMYFUNCTION("""COMPUTED_VALUE"""),"自行維修")</f>
        <v>自行維修</v>
      </c>
      <c r="C252" s="1" t="str">
        <f ca="1">IFERROR(__xludf.DUMMYFUNCTION("""COMPUTED_VALUE"""),"ME0160000073")</f>
        <v>ME0160000073</v>
      </c>
      <c r="D252" s="1" t="str">
        <f ca="1">IFERROR(__xludf.DUMMYFUNCTION("""COMPUTED_VALUE"""),"All/BA")</f>
        <v>All/BA</v>
      </c>
      <c r="E252" s="1" t="str">
        <f ca="1">IFERROR(__xludf.DUMMYFUNCTION("""COMPUTED_VALUE"""),"p2/庫存")</f>
        <v>p2/庫存</v>
      </c>
      <c r="F252" s="1">
        <f ca="1">IFERROR(__xludf.DUMMYFUNCTION("""COMPUTED_VALUE"""),1)</f>
        <v>1</v>
      </c>
      <c r="G252" s="1" t="str">
        <f ca="1">IFERROR(__xludf.DUMMYFUNCTION("""COMPUTED_VALUE"""),"B2211409")</f>
        <v>B2211409</v>
      </c>
      <c r="H252" s="1" t="str">
        <f ca="1">IFERROR(__xludf.DUMMYFUNCTION("""COMPUTED_VALUE"""),"P2_046")</f>
        <v>P2_046</v>
      </c>
      <c r="I252" s="1" t="str">
        <f ca="1">IFERROR(__xludf.DUMMYFUNCTION("""COMPUTED_VALUE"""),"Chiao Yu")</f>
        <v>Chiao Yu</v>
      </c>
    </row>
    <row r="253" spans="1:9" ht="12.7" x14ac:dyDescent="0.4">
      <c r="A253" s="2">
        <f ca="1">IFERROR(__xludf.DUMMYFUNCTION("""COMPUTED_VALUE"""),45352.1679869791)</f>
        <v>45352.167986979097</v>
      </c>
      <c r="B253" s="1" t="str">
        <f ca="1">IFERROR(__xludf.DUMMYFUNCTION("""COMPUTED_VALUE"""),"庫存調整")</f>
        <v>庫存調整</v>
      </c>
      <c r="C253" s="1" t="str">
        <f ca="1">IFERROR(__xludf.DUMMYFUNCTION("""COMPUTED_VALUE"""),"ME0160000073")</f>
        <v>ME0160000073</v>
      </c>
      <c r="D253" s="1" t="str">
        <f ca="1">IFERROR(__xludf.DUMMYFUNCTION("""COMPUTED_VALUE"""),"All/BA")</f>
        <v>All/BA</v>
      </c>
      <c r="E253" s="1" t="str">
        <f ca="1">IFERROR(__xludf.DUMMYFUNCTION("""COMPUTED_VALUE"""),"p1/庫存")</f>
        <v>p1/庫存</v>
      </c>
      <c r="F253" s="1">
        <f ca="1">IFERROR(__xludf.DUMMYFUNCTION("""COMPUTED_VALUE"""),-1)</f>
        <v>-1</v>
      </c>
      <c r="G253" s="1"/>
      <c r="H253" s="1" t="str">
        <f ca="1">IFERROR(__xludf.DUMMYFUNCTION("""COMPUTED_VALUE"""),"P1")</f>
        <v>P1</v>
      </c>
      <c r="I253" s="1" t="str">
        <f ca="1">IFERROR(__xludf.DUMMYFUNCTION("""COMPUTED_VALUE"""),"Chiao Yu")</f>
        <v>Chiao Yu</v>
      </c>
    </row>
    <row r="254" spans="1:9" ht="12.7" x14ac:dyDescent="0.4">
      <c r="A254" s="2">
        <f ca="1">IFERROR(__xludf.DUMMYFUNCTION("""COMPUTED_VALUE"""),45352.1683184606)</f>
        <v>45352.168318460601</v>
      </c>
      <c r="B254" s="1" t="str">
        <f ca="1">IFERROR(__xludf.DUMMYFUNCTION("""COMPUTED_VALUE"""),"庫存調整")</f>
        <v>庫存調整</v>
      </c>
      <c r="C254" s="1" t="str">
        <f ca="1">IFERROR(__xludf.DUMMYFUNCTION("""COMPUTED_VALUE"""),"ME0160000073")</f>
        <v>ME0160000073</v>
      </c>
      <c r="D254" s="1" t="str">
        <f ca="1">IFERROR(__xludf.DUMMYFUNCTION("""COMPUTED_VALUE"""),"All/BA")</f>
        <v>All/BA</v>
      </c>
      <c r="E254" s="1" t="str">
        <f ca="1">IFERROR(__xludf.DUMMYFUNCTION("""COMPUTED_VALUE"""),"p2/庫存")</f>
        <v>p2/庫存</v>
      </c>
      <c r="F254" s="1">
        <f ca="1">IFERROR(__xludf.DUMMYFUNCTION("""COMPUTED_VALUE"""),1)</f>
        <v>1</v>
      </c>
      <c r="G254" s="1"/>
      <c r="H254" s="1" t="str">
        <f ca="1">IFERROR(__xludf.DUMMYFUNCTION("""COMPUTED_VALUE"""),"P2")</f>
        <v>P2</v>
      </c>
      <c r="I254" s="1" t="str">
        <f ca="1">IFERROR(__xludf.DUMMYFUNCTION("""COMPUTED_VALUE"""),"Chiao Yu")</f>
        <v>Chiao Yu</v>
      </c>
    </row>
    <row r="255" spans="1:9" ht="12.7" x14ac:dyDescent="0.4">
      <c r="A255" s="2">
        <f ca="1">IFERROR(__xludf.DUMMYFUNCTION("""COMPUTED_VALUE"""),45352.3713042824)</f>
        <v>45352.371304282402</v>
      </c>
      <c r="B255" s="1" t="str">
        <f ca="1">IFERROR(__xludf.DUMMYFUNCTION("""COMPUTED_VALUE"""),"返修")</f>
        <v>返修</v>
      </c>
      <c r="C255" s="1" t="str">
        <f ca="1">IFERROR(__xludf.DUMMYFUNCTION("""COMPUTED_VALUE"""),"ME0160000073")</f>
        <v>ME0160000073</v>
      </c>
      <c r="D255" s="1" t="str">
        <f ca="1">IFERROR(__xludf.DUMMYFUNCTION("""COMPUTED_VALUE"""),"All/BA")</f>
        <v>All/BA</v>
      </c>
      <c r="E255" s="1" t="str">
        <f ca="1">IFERROR(__xludf.DUMMYFUNCTION("""COMPUTED_VALUE"""),"p2/庫存")</f>
        <v>p2/庫存</v>
      </c>
      <c r="F255" s="1">
        <f ca="1">IFERROR(__xludf.DUMMYFUNCTION("""COMPUTED_VALUE"""),1)</f>
        <v>1</v>
      </c>
      <c r="G255" s="1" t="str">
        <f ca="1">IFERROR(__xludf.DUMMYFUNCTION("""COMPUTED_VALUE"""),"B2211409")</f>
        <v>B2211409</v>
      </c>
      <c r="H255" s="1" t="str">
        <f ca="1">IFERROR(__xludf.DUMMYFUNCTION("""COMPUTED_VALUE"""),"P2_046")</f>
        <v>P2_046</v>
      </c>
      <c r="I255" s="1" t="str">
        <f ca="1">IFERROR(__xludf.DUMMYFUNCTION("""COMPUTED_VALUE"""),"Chiao Yu")</f>
        <v>Chiao Yu</v>
      </c>
    </row>
    <row r="256" spans="1:9" ht="12.7" x14ac:dyDescent="0.4">
      <c r="A256" s="2">
        <f ca="1">IFERROR(__xludf.DUMMYFUNCTION("""COMPUTED_VALUE"""),45352.3739692129)</f>
        <v>45352.373969212902</v>
      </c>
      <c r="B256" s="1" t="str">
        <f ca="1">IFERROR(__xludf.DUMMYFUNCTION("""COMPUTED_VALUE"""),"送修")</f>
        <v>送修</v>
      </c>
      <c r="C256" s="1" t="str">
        <f ca="1">IFERROR(__xludf.DUMMYFUNCTION("""COMPUTED_VALUE"""),"ME0160000073")</f>
        <v>ME0160000073</v>
      </c>
      <c r="D256" s="1" t="str">
        <f ca="1">IFERROR(__xludf.DUMMYFUNCTION("""COMPUTED_VALUE"""),"All/BA")</f>
        <v>All/BA</v>
      </c>
      <c r="E256" s="1" t="str">
        <f ca="1">IFERROR(__xludf.DUMMYFUNCTION("""COMPUTED_VALUE"""),"p2/庫存")</f>
        <v>p2/庫存</v>
      </c>
      <c r="F256" s="1">
        <f ca="1">IFERROR(__xludf.DUMMYFUNCTION("""COMPUTED_VALUE"""),1)</f>
        <v>1</v>
      </c>
      <c r="G256" s="1" t="str">
        <f ca="1">IFERROR(__xludf.DUMMYFUNCTION("""COMPUTED_VALUE"""),"B2211409")</f>
        <v>B2211409</v>
      </c>
      <c r="H256" s="1" t="str">
        <f ca="1">IFERROR(__xludf.DUMMYFUNCTION("""COMPUTED_VALUE"""),"P2_046")</f>
        <v>P2_046</v>
      </c>
      <c r="I256" s="1" t="str">
        <f ca="1">IFERROR(__xludf.DUMMYFUNCTION("""COMPUTED_VALUE"""),"Chiao Yu")</f>
        <v>Chiao Yu</v>
      </c>
    </row>
    <row r="257" spans="1:9" ht="12.7" x14ac:dyDescent="0.4">
      <c r="A257" s="2">
        <f ca="1">IFERROR(__xludf.DUMMYFUNCTION("""COMPUTED_VALUE"""),45352.4753379513)</f>
        <v>45352.475337951299</v>
      </c>
      <c r="B257" s="1" t="str">
        <f ca="1">IFERROR(__xludf.DUMMYFUNCTION("""COMPUTED_VALUE"""),"返修")</f>
        <v>返修</v>
      </c>
      <c r="C257" s="1" t="str">
        <f ca="1">IFERROR(__xludf.DUMMYFUNCTION("""COMPUTED_VALUE"""),"ME0160000073")</f>
        <v>ME0160000073</v>
      </c>
      <c r="D257" s="1" t="str">
        <f ca="1">IFERROR(__xludf.DUMMYFUNCTION("""COMPUTED_VALUE"""),"All/BA")</f>
        <v>All/BA</v>
      </c>
      <c r="E257" s="1" t="str">
        <f ca="1">IFERROR(__xludf.DUMMYFUNCTION("""COMPUTED_VALUE"""),"p1/庫存")</f>
        <v>p1/庫存</v>
      </c>
      <c r="F257" s="1">
        <f ca="1">IFERROR(__xludf.DUMMYFUNCTION("""COMPUTED_VALUE"""),1)</f>
        <v>1</v>
      </c>
      <c r="G257" s="1" t="str">
        <f ca="1">IFERROR(__xludf.DUMMYFUNCTION("""COMPUTED_VALUE"""),"B2211409")</f>
        <v>B2211409</v>
      </c>
      <c r="H257" s="1" t="str">
        <f ca="1">IFERROR(__xludf.DUMMYFUNCTION("""COMPUTED_VALUE"""),"P2_046")</f>
        <v>P2_046</v>
      </c>
      <c r="I257" s="1" t="str">
        <f ca="1">IFERROR(__xludf.DUMMYFUNCTION("""COMPUTED_VALUE"""),"Chiao Yu")</f>
        <v>Chiao Yu</v>
      </c>
    </row>
    <row r="258" spans="1:9" ht="12.7" x14ac:dyDescent="0.4">
      <c r="A258" s="2">
        <f ca="1">IFERROR(__xludf.DUMMYFUNCTION("""COMPUTED_VALUE"""),45357.3953778125)</f>
        <v>45357.3953778125</v>
      </c>
      <c r="B258" s="1" t="str">
        <f ca="1">IFERROR(__xludf.DUMMYFUNCTION("""COMPUTED_VALUE"""),"庫存調整")</f>
        <v>庫存調整</v>
      </c>
      <c r="C258" s="1" t="str">
        <f ca="1">IFERROR(__xludf.DUMMYFUNCTION("""COMPUTED_VALUE"""),"MM0040003484")</f>
        <v>MM0040003484</v>
      </c>
      <c r="D258" s="1" t="str">
        <f ca="1">IFERROR(__xludf.DUMMYFUNCTION("""COMPUTED_VALUE"""),"All/BA")</f>
        <v>All/BA</v>
      </c>
      <c r="E258" s="1" t="str">
        <f ca="1">IFERROR(__xludf.DUMMYFUNCTION("""COMPUTED_VALUE"""),"p1/庫存")</f>
        <v>p1/庫存</v>
      </c>
      <c r="F258" s="1">
        <f ca="1">IFERROR(__xludf.DUMMYFUNCTION("""COMPUTED_VALUE"""),10)</f>
        <v>10</v>
      </c>
      <c r="G258" s="1"/>
      <c r="H258" s="1" t="str">
        <f ca="1">IFERROR(__xludf.DUMMYFUNCTION("""COMPUTED_VALUE"""),"P1")</f>
        <v>P1</v>
      </c>
      <c r="I258" s="1" t="str">
        <f ca="1">IFERROR(__xludf.DUMMYFUNCTION("""COMPUTED_VALUE"""),"Simon")</f>
        <v>Simon</v>
      </c>
    </row>
    <row r="259" spans="1:9" ht="12.7" x14ac:dyDescent="0.4">
      <c r="A259" s="2">
        <f ca="1">IFERROR(__xludf.DUMMYFUNCTION("""COMPUTED_VALUE"""),45364.3970998611)</f>
        <v>45364.397099861097</v>
      </c>
      <c r="B259" s="1" t="str">
        <f ca="1">IFERROR(__xludf.DUMMYFUNCTION("""COMPUTED_VALUE"""),"送修")</f>
        <v>送修</v>
      </c>
      <c r="C259" s="1" t="str">
        <f ca="1">IFERROR(__xludf.DUMMYFUNCTION("""COMPUTED_VALUE"""),"ME0060000270")</f>
        <v>ME0060000270</v>
      </c>
      <c r="D259" s="1" t="str">
        <f ca="1">IFERROR(__xludf.DUMMYFUNCTION("""COMPUTED_VALUE"""),"All/共用")</f>
        <v>All/共用</v>
      </c>
      <c r="E259" s="1" t="str">
        <f ca="1">IFERROR(__xludf.DUMMYFUNCTION("""COMPUTED_VALUE"""),"p2/庫存")</f>
        <v>p2/庫存</v>
      </c>
      <c r="F259" s="1">
        <f ca="1">IFERROR(__xludf.DUMMYFUNCTION("""COMPUTED_VALUE"""),1)</f>
        <v>1</v>
      </c>
      <c r="G259" s="1"/>
      <c r="H259" s="1" t="str">
        <f ca="1">IFERROR(__xludf.DUMMYFUNCTION("""COMPUTED_VALUE"""),"P2_039")</f>
        <v>P2_039</v>
      </c>
      <c r="I259" s="1" t="str">
        <f ca="1">IFERROR(__xludf.DUMMYFUNCTION("""COMPUTED_VALUE"""),"Chiao Yu")</f>
        <v>Chiao Yu</v>
      </c>
    </row>
    <row r="260" spans="1:9" ht="12.7" x14ac:dyDescent="0.4">
      <c r="A260" s="2">
        <f ca="1">IFERROR(__xludf.DUMMYFUNCTION("""COMPUTED_VALUE"""),45364.3979298379)</f>
        <v>45364.397929837898</v>
      </c>
      <c r="B260" s="1" t="str">
        <f ca="1">IFERROR(__xludf.DUMMYFUNCTION("""COMPUTED_VALUE"""),"送修")</f>
        <v>送修</v>
      </c>
      <c r="C260" s="1" t="str">
        <f ca="1">IFERROR(__xludf.DUMMYFUNCTION("""COMPUTED_VALUE"""),"ME0060000270")</f>
        <v>ME0060000270</v>
      </c>
      <c r="D260" s="1" t="str">
        <f ca="1">IFERROR(__xludf.DUMMYFUNCTION("""COMPUTED_VALUE"""),"All/共用")</f>
        <v>All/共用</v>
      </c>
      <c r="E260" s="1" t="str">
        <f ca="1">IFERROR(__xludf.DUMMYFUNCTION("""COMPUTED_VALUE"""),"p2/庫存")</f>
        <v>p2/庫存</v>
      </c>
      <c r="F260" s="1">
        <f ca="1">IFERROR(__xludf.DUMMYFUNCTION("""COMPUTED_VALUE"""),1)</f>
        <v>1</v>
      </c>
      <c r="G260" s="1"/>
      <c r="H260" s="1" t="str">
        <f ca="1">IFERROR(__xludf.DUMMYFUNCTION("""COMPUTED_VALUE"""),"P2_039")</f>
        <v>P2_039</v>
      </c>
      <c r="I260" s="1" t="str">
        <f ca="1">IFERROR(__xludf.DUMMYFUNCTION("""COMPUTED_VALUE"""),"Chiao Yu")</f>
        <v>Chiao Yu</v>
      </c>
    </row>
    <row r="261" spans="1:9" ht="12.7" x14ac:dyDescent="0.4">
      <c r="A261" s="2">
        <f ca="1">IFERROR(__xludf.DUMMYFUNCTION("""COMPUTED_VALUE"""),45364.3987377314)</f>
        <v>45364.398737731397</v>
      </c>
      <c r="B261" s="1" t="str">
        <f ca="1">IFERROR(__xludf.DUMMYFUNCTION("""COMPUTED_VALUE"""),"送修")</f>
        <v>送修</v>
      </c>
      <c r="C261" s="1" t="str">
        <f ca="1">IFERROR(__xludf.DUMMYFUNCTION("""COMPUTED_VALUE"""),"ME0060000270")</f>
        <v>ME0060000270</v>
      </c>
      <c r="D261" s="1" t="str">
        <f ca="1">IFERROR(__xludf.DUMMYFUNCTION("""COMPUTED_VALUE"""),"All/共用")</f>
        <v>All/共用</v>
      </c>
      <c r="E261" s="1" t="str">
        <f ca="1">IFERROR(__xludf.DUMMYFUNCTION("""COMPUTED_VALUE"""),"p2/庫存")</f>
        <v>p2/庫存</v>
      </c>
      <c r="F261" s="1">
        <f ca="1">IFERROR(__xludf.DUMMYFUNCTION("""COMPUTED_VALUE"""),1)</f>
        <v>1</v>
      </c>
      <c r="G261" s="1"/>
      <c r="H261" s="1" t="str">
        <f ca="1">IFERROR(__xludf.DUMMYFUNCTION("""COMPUTED_VALUE"""),"P2_041")</f>
        <v>P2_041</v>
      </c>
      <c r="I261" s="1" t="str">
        <f ca="1">IFERROR(__xludf.DUMMYFUNCTION("""COMPUTED_VALUE"""),"Chiao Yu")</f>
        <v>Chiao Yu</v>
      </c>
    </row>
    <row r="262" spans="1:9" ht="12.7" x14ac:dyDescent="0.4">
      <c r="A262" s="2">
        <f ca="1">IFERROR(__xludf.DUMMYFUNCTION("""COMPUTED_VALUE"""),45364.399440787)</f>
        <v>45364.399440786998</v>
      </c>
      <c r="B262" s="1" t="str">
        <f ca="1">IFERROR(__xludf.DUMMYFUNCTION("""COMPUTED_VALUE"""),"送修")</f>
        <v>送修</v>
      </c>
      <c r="C262" s="1" t="str">
        <f ca="1">IFERROR(__xludf.DUMMYFUNCTION("""COMPUTED_VALUE"""),"ME0060000270")</f>
        <v>ME0060000270</v>
      </c>
      <c r="D262" s="1" t="str">
        <f ca="1">IFERROR(__xludf.DUMMYFUNCTION("""COMPUTED_VALUE"""),"All/共用")</f>
        <v>All/共用</v>
      </c>
      <c r="E262" s="1" t="str">
        <f ca="1">IFERROR(__xludf.DUMMYFUNCTION("""COMPUTED_VALUE"""),"p2/庫存")</f>
        <v>p2/庫存</v>
      </c>
      <c r="F262" s="1">
        <f ca="1">IFERROR(__xludf.DUMMYFUNCTION("""COMPUTED_VALUE"""),1)</f>
        <v>1</v>
      </c>
      <c r="G262" s="1"/>
      <c r="H262" s="1" t="str">
        <f ca="1">IFERROR(__xludf.DUMMYFUNCTION("""COMPUTED_VALUE"""),"P2_043")</f>
        <v>P2_043</v>
      </c>
      <c r="I262" s="1" t="str">
        <f ca="1">IFERROR(__xludf.DUMMYFUNCTION("""COMPUTED_VALUE"""),"Chiao Yu")</f>
        <v>Chiao Yu</v>
      </c>
    </row>
    <row r="263" spans="1:9" ht="12.7" x14ac:dyDescent="0.4">
      <c r="A263" s="2">
        <f ca="1">IFERROR(__xludf.DUMMYFUNCTION("""COMPUTED_VALUE"""),45366.0821381365)</f>
        <v>45366.082138136502</v>
      </c>
      <c r="B263" s="1" t="str">
        <f ca="1">IFERROR(__xludf.DUMMYFUNCTION("""COMPUTED_VALUE"""),"送修")</f>
        <v>送修</v>
      </c>
      <c r="C263" s="1" t="str">
        <f ca="1">IFERROR(__xludf.DUMMYFUNCTION("""COMPUTED_VALUE"""),"ME0020000525")</f>
        <v>ME0020000525</v>
      </c>
      <c r="D263" s="1" t="str">
        <f ca="1">IFERROR(__xludf.DUMMYFUNCTION("""COMPUTED_VALUE"""),"All/共用")</f>
        <v>All/共用</v>
      </c>
      <c r="E263" s="1" t="str">
        <f ca="1">IFERROR(__xludf.DUMMYFUNCTION("""COMPUTED_VALUE"""),"p2/庫存")</f>
        <v>p2/庫存</v>
      </c>
      <c r="F263" s="1">
        <f ca="1">IFERROR(__xludf.DUMMYFUNCTION("""COMPUTED_VALUE"""),1)</f>
        <v>1</v>
      </c>
      <c r="G263" s="1" t="str">
        <f ca="1">IFERROR(__xludf.DUMMYFUNCTION("""COMPUTED_VALUE"""),"2238E66842FE")</f>
        <v>2238E66842FE</v>
      </c>
      <c r="H263" s="1" t="str">
        <f ca="1">IFERROR(__xludf.DUMMYFUNCTION("""COMPUTED_VALUE"""),"P2_1001")</f>
        <v>P2_1001</v>
      </c>
      <c r="I263" s="1" t="str">
        <f ca="1">IFERROR(__xludf.DUMMYFUNCTION("""COMPUTED_VALUE"""),"Chiao Yu")</f>
        <v>Chiao Yu</v>
      </c>
    </row>
    <row r="264" spans="1:9" ht="12.7" x14ac:dyDescent="0.4">
      <c r="A264" s="2">
        <f ca="1">IFERROR(__xludf.DUMMYFUNCTION("""COMPUTED_VALUE"""),45366.083446412)</f>
        <v>45366.083446411998</v>
      </c>
      <c r="B264" s="1" t="str">
        <f ca="1">IFERROR(__xludf.DUMMYFUNCTION("""COMPUTED_VALUE"""),"料件上線時間")</f>
        <v>料件上線時間</v>
      </c>
      <c r="C264" s="1" t="str">
        <f ca="1">IFERROR(__xludf.DUMMYFUNCTION("""COMPUTED_VALUE"""),"ME0020000525")</f>
        <v>ME0020000525</v>
      </c>
      <c r="D264" s="1" t="str">
        <f ca="1">IFERROR(__xludf.DUMMYFUNCTION("""COMPUTED_VALUE"""),"All/共用")</f>
        <v>All/共用</v>
      </c>
      <c r="E264" s="1" t="str">
        <f ca="1">IFERROR(__xludf.DUMMYFUNCTION("""COMPUTED_VALUE"""),"p2/庫存")</f>
        <v>p2/庫存</v>
      </c>
      <c r="F264" s="1">
        <f ca="1">IFERROR(__xludf.DUMMYFUNCTION("""COMPUTED_VALUE"""),1)</f>
        <v>1</v>
      </c>
      <c r="G264" s="1"/>
      <c r="H264" s="1" t="str">
        <f ca="1">IFERROR(__xludf.DUMMYFUNCTION("""COMPUTED_VALUE"""),"P2_1001")</f>
        <v>P2_1001</v>
      </c>
      <c r="I264" s="1" t="str">
        <f ca="1">IFERROR(__xludf.DUMMYFUNCTION("""COMPUTED_VALUE"""),"Chiao Yu")</f>
        <v>Chiao Yu</v>
      </c>
    </row>
    <row r="265" spans="1:9" ht="12.7" x14ac:dyDescent="0.4">
      <c r="A265" s="2">
        <f ca="1">IFERROR(__xludf.DUMMYFUNCTION("""COMPUTED_VALUE"""),45366.3197702893)</f>
        <v>45366.319770289301</v>
      </c>
      <c r="B265" s="1" t="str">
        <f ca="1">IFERROR(__xludf.DUMMYFUNCTION("""COMPUTED_VALUE"""),"送修")</f>
        <v>送修</v>
      </c>
      <c r="C265" s="1" t="str">
        <f ca="1">IFERROR(__xludf.DUMMYFUNCTION("""COMPUTED_VALUE"""),"ME0060000270")</f>
        <v>ME0060000270</v>
      </c>
      <c r="D265" s="1" t="str">
        <f ca="1">IFERROR(__xludf.DUMMYFUNCTION("""COMPUTED_VALUE"""),"All/共用")</f>
        <v>All/共用</v>
      </c>
      <c r="E265" s="1" t="str">
        <f ca="1">IFERROR(__xludf.DUMMYFUNCTION("""COMPUTED_VALUE"""),"p2/庫存")</f>
        <v>p2/庫存</v>
      </c>
      <c r="F265" s="1">
        <f ca="1">IFERROR(__xludf.DUMMYFUNCTION("""COMPUTED_VALUE"""),1)</f>
        <v>1</v>
      </c>
      <c r="G265" s="1"/>
      <c r="H265" s="1" t="str">
        <f ca="1">IFERROR(__xludf.DUMMYFUNCTION("""COMPUTED_VALUE"""),"P2_046")</f>
        <v>P2_046</v>
      </c>
      <c r="I265" s="1" t="str">
        <f ca="1">IFERROR(__xludf.DUMMYFUNCTION("""COMPUTED_VALUE"""),"Chiao Yu")</f>
        <v>Chiao Yu</v>
      </c>
    </row>
    <row r="266" spans="1:9" ht="12.7" x14ac:dyDescent="0.4">
      <c r="A266" s="2">
        <f ca="1">IFERROR(__xludf.DUMMYFUNCTION("""COMPUTED_VALUE"""),45366.3204235532)</f>
        <v>45366.320423553203</v>
      </c>
      <c r="B266" s="1" t="str">
        <f ca="1">IFERROR(__xludf.DUMMYFUNCTION("""COMPUTED_VALUE"""),"送修")</f>
        <v>送修</v>
      </c>
      <c r="C266" s="1" t="str">
        <f ca="1">IFERROR(__xludf.DUMMYFUNCTION("""COMPUTED_VALUE"""),"ME0060000270")</f>
        <v>ME0060000270</v>
      </c>
      <c r="D266" s="1" t="str">
        <f ca="1">IFERROR(__xludf.DUMMYFUNCTION("""COMPUTED_VALUE"""),"All/共用")</f>
        <v>All/共用</v>
      </c>
      <c r="E266" s="1" t="str">
        <f ca="1">IFERROR(__xludf.DUMMYFUNCTION("""COMPUTED_VALUE"""),"p2/庫存")</f>
        <v>p2/庫存</v>
      </c>
      <c r="F266" s="1">
        <f ca="1">IFERROR(__xludf.DUMMYFUNCTION("""COMPUTED_VALUE"""),1)</f>
        <v>1</v>
      </c>
      <c r="G266" s="1"/>
      <c r="H266" s="1" t="str">
        <f ca="1">IFERROR(__xludf.DUMMYFUNCTION("""COMPUTED_VALUE"""),"P2_2001")</f>
        <v>P2_2001</v>
      </c>
      <c r="I266" s="1" t="str">
        <f ca="1">IFERROR(__xludf.DUMMYFUNCTION("""COMPUTED_VALUE"""),"Chiao Yu")</f>
        <v>Chiao Yu</v>
      </c>
    </row>
    <row r="267" spans="1:9" ht="12.7" x14ac:dyDescent="0.4">
      <c r="A267" s="2">
        <f ca="1">IFERROR(__xludf.DUMMYFUNCTION("""COMPUTED_VALUE"""),45366.3210454976)</f>
        <v>45366.3210454976</v>
      </c>
      <c r="B267" s="1" t="str">
        <f ca="1">IFERROR(__xludf.DUMMYFUNCTION("""COMPUTED_VALUE"""),"庫存調整")</f>
        <v>庫存調整</v>
      </c>
      <c r="C267" s="1" t="str">
        <f ca="1">IFERROR(__xludf.DUMMYFUNCTION("""COMPUTED_VALUE"""),"ME0020000525")</f>
        <v>ME0020000525</v>
      </c>
      <c r="D267" s="1" t="str">
        <f ca="1">IFERROR(__xludf.DUMMYFUNCTION("""COMPUTED_VALUE"""),"All/共用")</f>
        <v>All/共用</v>
      </c>
      <c r="E267" s="1" t="str">
        <f ca="1">IFERROR(__xludf.DUMMYFUNCTION("""COMPUTED_VALUE"""),"p1/庫存")</f>
        <v>p1/庫存</v>
      </c>
      <c r="F267" s="1">
        <f ca="1">IFERROR(__xludf.DUMMYFUNCTION("""COMPUTED_VALUE"""),-1)</f>
        <v>-1</v>
      </c>
      <c r="G267" s="1"/>
      <c r="H267" s="1" t="str">
        <f ca="1">IFERROR(__xludf.DUMMYFUNCTION("""COMPUTED_VALUE"""),"P1")</f>
        <v>P1</v>
      </c>
      <c r="I267" s="1" t="str">
        <f ca="1">IFERROR(__xludf.DUMMYFUNCTION("""COMPUTED_VALUE"""),"Chiao Yu")</f>
        <v>Chiao Yu</v>
      </c>
    </row>
    <row r="268" spans="1:9" ht="12.7" x14ac:dyDescent="0.4">
      <c r="A268" s="2">
        <f ca="1">IFERROR(__xludf.DUMMYFUNCTION("""COMPUTED_VALUE"""),45366.3511793865)</f>
        <v>45366.351179386496</v>
      </c>
      <c r="B268" s="1" t="str">
        <f ca="1">IFERROR(__xludf.DUMMYFUNCTION("""COMPUTED_VALUE"""),"庫存調整")</f>
        <v>庫存調整</v>
      </c>
      <c r="C268" s="1" t="str">
        <f ca="1">IFERROR(__xludf.DUMMYFUNCTION("""COMPUTED_VALUE"""),"ME0020000525")</f>
        <v>ME0020000525</v>
      </c>
      <c r="D268" s="1" t="str">
        <f ca="1">IFERROR(__xludf.DUMMYFUNCTION("""COMPUTED_VALUE"""),"All/共用")</f>
        <v>All/共用</v>
      </c>
      <c r="E268" s="1" t="str">
        <f ca="1">IFERROR(__xludf.DUMMYFUNCTION("""COMPUTED_VALUE"""),"p2/庫存")</f>
        <v>p2/庫存</v>
      </c>
      <c r="F268" s="1">
        <f ca="1">IFERROR(__xludf.DUMMYFUNCTION("""COMPUTED_VALUE"""),1)</f>
        <v>1</v>
      </c>
      <c r="G268" s="1"/>
      <c r="H268" s="1" t="str">
        <f ca="1">IFERROR(__xludf.DUMMYFUNCTION("""COMPUTED_VALUE"""),"P2")</f>
        <v>P2</v>
      </c>
      <c r="I268" s="1" t="str">
        <f ca="1">IFERROR(__xludf.DUMMYFUNCTION("""COMPUTED_VALUE"""),"Chiao Yu")</f>
        <v>Chiao Yu</v>
      </c>
    </row>
    <row r="269" spans="1:9" ht="12.7" x14ac:dyDescent="0.4">
      <c r="A269" s="2">
        <f ca="1">IFERROR(__xludf.DUMMYFUNCTION("""COMPUTED_VALUE"""),45366.5758035532)</f>
        <v>45366.575803553198</v>
      </c>
      <c r="B269" s="1" t="str">
        <f ca="1">IFERROR(__xludf.DUMMYFUNCTION("""COMPUTED_VALUE"""),"送修")</f>
        <v>送修</v>
      </c>
      <c r="C269" s="1" t="str">
        <f ca="1">IFERROR(__xludf.DUMMYFUNCTION("""COMPUTED_VALUE"""),"ME0020000562")</f>
        <v>ME0020000562</v>
      </c>
      <c r="D269" s="1" t="str">
        <f ca="1">IFERROR(__xludf.DUMMYFUNCTION("""COMPUTED_VALUE"""),"All/共用")</f>
        <v>All/共用</v>
      </c>
      <c r="E269" s="1" t="str">
        <f ca="1">IFERROR(__xludf.DUMMYFUNCTION("""COMPUTED_VALUE"""),"p1/庫存")</f>
        <v>p1/庫存</v>
      </c>
      <c r="F269" s="1">
        <f ca="1">IFERROR(__xludf.DUMMYFUNCTION("""COMPUTED_VALUE"""),1)</f>
        <v>1</v>
      </c>
      <c r="G269" s="1" t="str">
        <f ca="1">IFERROR(__xludf.DUMMYFUNCTION("""COMPUTED_VALUE"""),"637XF A01")</f>
        <v>637XF A01</v>
      </c>
      <c r="H269" s="1" t="str">
        <f ca="1">IFERROR(__xludf.DUMMYFUNCTION("""COMPUTED_VALUE"""),"P1")</f>
        <v>P1</v>
      </c>
      <c r="I269" s="1" t="str">
        <f ca="1">IFERROR(__xludf.DUMMYFUNCTION("""COMPUTED_VALUE"""),"Simon")</f>
        <v>Simon</v>
      </c>
    </row>
    <row r="270" spans="1:9" ht="12.7" x14ac:dyDescent="0.4">
      <c r="A270" s="2">
        <f ca="1">IFERROR(__xludf.DUMMYFUNCTION("""COMPUTED_VALUE"""),45366.5770708564)</f>
        <v>45366.577070856401</v>
      </c>
      <c r="B270" s="1" t="str">
        <f ca="1">IFERROR(__xludf.DUMMYFUNCTION("""COMPUTED_VALUE"""),"料件上線時間")</f>
        <v>料件上線時間</v>
      </c>
      <c r="C270" s="1" t="str">
        <f ca="1">IFERROR(__xludf.DUMMYFUNCTION("""COMPUTED_VALUE"""),"ME0020000562")</f>
        <v>ME0020000562</v>
      </c>
      <c r="D270" s="1" t="str">
        <f ca="1">IFERROR(__xludf.DUMMYFUNCTION("""COMPUTED_VALUE"""),"All/共用")</f>
        <v>All/共用</v>
      </c>
      <c r="E270" s="1" t="str">
        <f ca="1">IFERROR(__xludf.DUMMYFUNCTION("""COMPUTED_VALUE"""),"p1/庫存")</f>
        <v>p1/庫存</v>
      </c>
      <c r="F270" s="1">
        <f ca="1">IFERROR(__xludf.DUMMYFUNCTION("""COMPUTED_VALUE"""),1)</f>
        <v>1</v>
      </c>
      <c r="G270" s="1" t="str">
        <f ca="1">IFERROR(__xludf.DUMMYFUNCTION("""COMPUTED_VALUE"""),"待補")</f>
        <v>待補</v>
      </c>
      <c r="H270" s="1" t="str">
        <f ca="1">IFERROR(__xludf.DUMMYFUNCTION("""COMPUTED_VALUE"""),"P1")</f>
        <v>P1</v>
      </c>
      <c r="I270" s="1" t="str">
        <f ca="1">IFERROR(__xludf.DUMMYFUNCTION("""COMPUTED_VALUE"""),"Simon")</f>
        <v>Simon</v>
      </c>
    </row>
    <row r="271" spans="1:9" ht="12.7" x14ac:dyDescent="0.4">
      <c r="A271" s="2">
        <f ca="1">IFERROR(__xludf.DUMMYFUNCTION("""COMPUTED_VALUE"""),45367.1312054745)</f>
        <v>45367.131205474499</v>
      </c>
      <c r="B271" s="1" t="str">
        <f ca="1">IFERROR(__xludf.DUMMYFUNCTION("""COMPUTED_VALUE"""),"返修")</f>
        <v>返修</v>
      </c>
      <c r="C271" s="1" t="str">
        <f ca="1">IFERROR(__xludf.DUMMYFUNCTION("""COMPUTED_VALUE"""),"ME0020000525")</f>
        <v>ME0020000525</v>
      </c>
      <c r="D271" s="1" t="str">
        <f ca="1">IFERROR(__xludf.DUMMYFUNCTION("""COMPUTED_VALUE"""),"All/共用")</f>
        <v>All/共用</v>
      </c>
      <c r="E271" s="1" t="str">
        <f ca="1">IFERROR(__xludf.DUMMYFUNCTION("""COMPUTED_VALUE"""),"p2/庫存")</f>
        <v>p2/庫存</v>
      </c>
      <c r="F271" s="1">
        <f ca="1">IFERROR(__xludf.DUMMYFUNCTION("""COMPUTED_VALUE"""),1)</f>
        <v>1</v>
      </c>
      <c r="G271" s="1" t="str">
        <f ca="1">IFERROR(__xludf.DUMMYFUNCTION("""COMPUTED_VALUE"""),"2238E66842FE")</f>
        <v>2238E66842FE</v>
      </c>
      <c r="H271" s="1" t="str">
        <f ca="1">IFERROR(__xludf.DUMMYFUNCTION("""COMPUTED_VALUE"""),"P2_1001")</f>
        <v>P2_1001</v>
      </c>
      <c r="I271" s="1" t="str">
        <f ca="1">IFERROR(__xludf.DUMMYFUNCTION("""COMPUTED_VALUE"""),"Chiao Yu")</f>
        <v>Chiao Yu</v>
      </c>
    </row>
    <row r="272" spans="1:9" ht="12.7" x14ac:dyDescent="0.4">
      <c r="A272" s="2">
        <f ca="1">IFERROR(__xludf.DUMMYFUNCTION("""COMPUTED_VALUE"""),45367.1320406944)</f>
        <v>45367.1320406944</v>
      </c>
      <c r="B272" s="1" t="str">
        <f ca="1">IFERROR(__xludf.DUMMYFUNCTION("""COMPUTED_VALUE"""),"庫存調整")</f>
        <v>庫存調整</v>
      </c>
      <c r="C272" s="1" t="str">
        <f ca="1">IFERROR(__xludf.DUMMYFUNCTION("""COMPUTED_VALUE"""),"ME0020000525")</f>
        <v>ME0020000525</v>
      </c>
      <c r="D272" s="1" t="str">
        <f ca="1">IFERROR(__xludf.DUMMYFUNCTION("""COMPUTED_VALUE"""),"All/共用")</f>
        <v>All/共用</v>
      </c>
      <c r="E272" s="1" t="str">
        <f ca="1">IFERROR(__xludf.DUMMYFUNCTION("""COMPUTED_VALUE"""),"p2/庫存")</f>
        <v>p2/庫存</v>
      </c>
      <c r="F272" s="1">
        <f ca="1">IFERROR(__xludf.DUMMYFUNCTION("""COMPUTED_VALUE"""),-1)</f>
        <v>-1</v>
      </c>
      <c r="G272" s="1"/>
      <c r="H272" s="1" t="str">
        <f ca="1">IFERROR(__xludf.DUMMYFUNCTION("""COMPUTED_VALUE"""),"P2")</f>
        <v>P2</v>
      </c>
      <c r="I272" s="1" t="str">
        <f ca="1">IFERROR(__xludf.DUMMYFUNCTION("""COMPUTED_VALUE"""),"Chiao Yu")</f>
        <v>Chiao Yu</v>
      </c>
    </row>
    <row r="273" spans="1:9" ht="12.7" x14ac:dyDescent="0.4">
      <c r="A273" s="2">
        <f ca="1">IFERROR(__xludf.DUMMYFUNCTION("""COMPUTED_VALUE"""),45367.1323329282)</f>
        <v>45367.132332928202</v>
      </c>
      <c r="B273" s="1" t="str">
        <f ca="1">IFERROR(__xludf.DUMMYFUNCTION("""COMPUTED_VALUE"""),"庫存調整")</f>
        <v>庫存調整</v>
      </c>
      <c r="C273" s="1" t="str">
        <f ca="1">IFERROR(__xludf.DUMMYFUNCTION("""COMPUTED_VALUE"""),"ME0020000525")</f>
        <v>ME0020000525</v>
      </c>
      <c r="D273" s="1" t="str">
        <f ca="1">IFERROR(__xludf.DUMMYFUNCTION("""COMPUTED_VALUE"""),"All/共用")</f>
        <v>All/共用</v>
      </c>
      <c r="E273" s="1" t="str">
        <f ca="1">IFERROR(__xludf.DUMMYFUNCTION("""COMPUTED_VALUE"""),"p1/庫存")</f>
        <v>p1/庫存</v>
      </c>
      <c r="F273" s="1">
        <f ca="1">IFERROR(__xludf.DUMMYFUNCTION("""COMPUTED_VALUE"""),1)</f>
        <v>1</v>
      </c>
      <c r="G273" s="1"/>
      <c r="H273" s="1" t="str">
        <f ca="1">IFERROR(__xludf.DUMMYFUNCTION("""COMPUTED_VALUE"""),"P1")</f>
        <v>P1</v>
      </c>
      <c r="I273" s="1" t="str">
        <f ca="1">IFERROR(__xludf.DUMMYFUNCTION("""COMPUTED_VALUE"""),"Chiao Yu")</f>
        <v>Chiao Yu</v>
      </c>
    </row>
    <row r="274" spans="1:9" ht="12.7" x14ac:dyDescent="0.4">
      <c r="A274" s="2">
        <f ca="1">IFERROR(__xludf.DUMMYFUNCTION("""COMPUTED_VALUE"""),45371.8061285763)</f>
        <v>45371.806128576303</v>
      </c>
      <c r="B274" s="1" t="str">
        <f ca="1">IFERROR(__xludf.DUMMYFUNCTION("""COMPUTED_VALUE"""),"領料")</f>
        <v>領料</v>
      </c>
      <c r="C274" s="1" t="str">
        <f ca="1">IFERROR(__xludf.DUMMYFUNCTION("""COMPUTED_VALUE"""),"ME0010000383")</f>
        <v>ME0010000383</v>
      </c>
      <c r="D274" s="1" t="str">
        <f ca="1">IFERROR(__xludf.DUMMYFUNCTION("""COMPUTED_VALUE"""),"All/共用")</f>
        <v>All/共用</v>
      </c>
      <c r="E274" s="1" t="str">
        <f ca="1">IFERROR(__xludf.DUMMYFUNCTION("""COMPUTED_VALUE"""),"p2/庫存")</f>
        <v>p2/庫存</v>
      </c>
      <c r="F274" s="1">
        <f ca="1">IFERROR(__xludf.DUMMYFUNCTION("""COMPUTED_VALUE"""),1)</f>
        <v>1</v>
      </c>
      <c r="G274" s="1"/>
      <c r="H274" s="1" t="str">
        <f ca="1">IFERROR(__xludf.DUMMYFUNCTION("""COMPUTED_VALUE"""),"P2")</f>
        <v>P2</v>
      </c>
      <c r="I274" s="1" t="str">
        <f ca="1">IFERROR(__xludf.DUMMYFUNCTION("""COMPUTED_VALUE"""),"Simon")</f>
        <v>Simon</v>
      </c>
    </row>
    <row r="275" spans="1:9" ht="12.7" x14ac:dyDescent="0.4">
      <c r="A275" s="2">
        <f ca="1">IFERROR(__xludf.DUMMYFUNCTION("""COMPUTED_VALUE"""),45371.8071862731)</f>
        <v>45371.807186273101</v>
      </c>
      <c r="B275" s="1" t="str">
        <f ca="1">IFERROR(__xludf.DUMMYFUNCTION("""COMPUTED_VALUE"""),"領料")</f>
        <v>領料</v>
      </c>
      <c r="C275" s="1" t="str">
        <f ca="1">IFERROR(__xludf.DUMMYFUNCTION("""COMPUTED_VALUE"""),"AGT000000003")</f>
        <v>AGT000000003</v>
      </c>
      <c r="D275" s="1" t="str">
        <f ca="1">IFERROR(__xludf.DUMMYFUNCTION("""COMPUTED_VALUE"""),"All/共用")</f>
        <v>All/共用</v>
      </c>
      <c r="E275" s="1" t="str">
        <f ca="1">IFERROR(__xludf.DUMMYFUNCTION("""COMPUTED_VALUE"""),"p2/庫存")</f>
        <v>p2/庫存</v>
      </c>
      <c r="F275" s="1">
        <f ca="1">IFERROR(__xludf.DUMMYFUNCTION("""COMPUTED_VALUE"""),1)</f>
        <v>1</v>
      </c>
      <c r="G275" s="1"/>
      <c r="H275" s="1" t="str">
        <f ca="1">IFERROR(__xludf.DUMMYFUNCTION("""COMPUTED_VALUE"""),"P2")</f>
        <v>P2</v>
      </c>
      <c r="I275" s="1" t="str">
        <f ca="1">IFERROR(__xludf.DUMMYFUNCTION("""COMPUTED_VALUE"""),"Simon")</f>
        <v>Simon</v>
      </c>
    </row>
    <row r="276" spans="1:9" ht="12.7" x14ac:dyDescent="0.4">
      <c r="A276" s="2">
        <f ca="1">IFERROR(__xludf.DUMMYFUNCTION("""COMPUTED_VALUE"""),45371.808233125)</f>
        <v>45371.808233124997</v>
      </c>
      <c r="B276" s="1" t="str">
        <f ca="1">IFERROR(__xludf.DUMMYFUNCTION("""COMPUTED_VALUE"""),"領料")</f>
        <v>領料</v>
      </c>
      <c r="C276" s="1" t="str">
        <f ca="1">IFERROR(__xludf.DUMMYFUNCTION("""COMPUTED_VALUE"""),"ME0020000592")</f>
        <v>ME0020000592</v>
      </c>
      <c r="D276" s="1" t="str">
        <f ca="1">IFERROR(__xludf.DUMMYFUNCTION("""COMPUTED_VALUE"""),"All/共用")</f>
        <v>All/共用</v>
      </c>
      <c r="E276" s="1" t="str">
        <f ca="1">IFERROR(__xludf.DUMMYFUNCTION("""COMPUTED_VALUE"""),"p2/庫存")</f>
        <v>p2/庫存</v>
      </c>
      <c r="F276" s="1">
        <f ca="1">IFERROR(__xludf.DUMMYFUNCTION("""COMPUTED_VALUE"""),1)</f>
        <v>1</v>
      </c>
      <c r="G276" s="1"/>
      <c r="H276" s="1" t="str">
        <f ca="1">IFERROR(__xludf.DUMMYFUNCTION("""COMPUTED_VALUE"""),"P2")</f>
        <v>P2</v>
      </c>
      <c r="I276" s="1" t="str">
        <f ca="1">IFERROR(__xludf.DUMMYFUNCTION("""COMPUTED_VALUE"""),"Simon")</f>
        <v>Simon</v>
      </c>
    </row>
    <row r="277" spans="1:9" ht="12.7" x14ac:dyDescent="0.4">
      <c r="A277" s="2">
        <f ca="1">IFERROR(__xludf.DUMMYFUNCTION("""COMPUTED_VALUE"""),45371.8483085879)</f>
        <v>45371.848308587898</v>
      </c>
      <c r="B277" s="1" t="str">
        <f ca="1">IFERROR(__xludf.DUMMYFUNCTION("""COMPUTED_VALUE"""),"庫存調整")</f>
        <v>庫存調整</v>
      </c>
      <c r="C277" s="1" t="str">
        <f ca="1">IFERROR(__xludf.DUMMYFUNCTION("""COMPUTED_VALUE"""),"ME0050000167")</f>
        <v>ME0050000167</v>
      </c>
      <c r="D277" s="1" t="str">
        <f ca="1">IFERROR(__xludf.DUMMYFUNCTION("""COMPUTED_VALUE"""),"All/共用")</f>
        <v>All/共用</v>
      </c>
      <c r="E277" s="1" t="str">
        <f ca="1">IFERROR(__xludf.DUMMYFUNCTION("""COMPUTED_VALUE"""),"p1/庫存")</f>
        <v>p1/庫存</v>
      </c>
      <c r="F277" s="1">
        <f ca="1">IFERROR(__xludf.DUMMYFUNCTION("""COMPUTED_VALUE"""),1)</f>
        <v>1</v>
      </c>
      <c r="G277" s="1"/>
      <c r="H277" s="1" t="str">
        <f ca="1">IFERROR(__xludf.DUMMYFUNCTION("""COMPUTED_VALUE"""),"P1")</f>
        <v>P1</v>
      </c>
      <c r="I277" s="1" t="str">
        <f ca="1">IFERROR(__xludf.DUMMYFUNCTION("""COMPUTED_VALUE"""),"Simon")</f>
        <v>Simon</v>
      </c>
    </row>
    <row r="278" spans="1:9" ht="12.7" x14ac:dyDescent="0.4">
      <c r="A278" s="2">
        <f ca="1">IFERROR(__xludf.DUMMYFUNCTION("""COMPUTED_VALUE"""),45371.8493804861)</f>
        <v>45371.849380486099</v>
      </c>
      <c r="B278" s="1" t="str">
        <f ca="1">IFERROR(__xludf.DUMMYFUNCTION("""COMPUTED_VALUE"""),"庫存調整")</f>
        <v>庫存調整</v>
      </c>
      <c r="C278" s="1" t="str">
        <f ca="1">IFERROR(__xludf.DUMMYFUNCTION("""COMPUTED_VALUE"""),"ME0050000168")</f>
        <v>ME0050000168</v>
      </c>
      <c r="D278" s="1" t="str">
        <f ca="1">IFERROR(__xludf.DUMMYFUNCTION("""COMPUTED_VALUE"""),"All/共用")</f>
        <v>All/共用</v>
      </c>
      <c r="E278" s="1" t="str">
        <f ca="1">IFERROR(__xludf.DUMMYFUNCTION("""COMPUTED_VALUE"""),"p1/庫存")</f>
        <v>p1/庫存</v>
      </c>
      <c r="F278" s="1">
        <f ca="1">IFERROR(__xludf.DUMMYFUNCTION("""COMPUTED_VALUE"""),1)</f>
        <v>1</v>
      </c>
      <c r="G278" s="1"/>
      <c r="H278" s="1" t="str">
        <f ca="1">IFERROR(__xludf.DUMMYFUNCTION("""COMPUTED_VALUE"""),"P1")</f>
        <v>P1</v>
      </c>
      <c r="I278" s="1" t="str">
        <f ca="1">IFERROR(__xludf.DUMMYFUNCTION("""COMPUTED_VALUE"""),"Simon")</f>
        <v>Simon</v>
      </c>
    </row>
    <row r="279" spans="1:9" ht="12.7" x14ac:dyDescent="0.4">
      <c r="A279" s="2">
        <f ca="1">IFERROR(__xludf.DUMMYFUNCTION("""COMPUTED_VALUE"""),45372.0137557291)</f>
        <v>45372.013755729102</v>
      </c>
      <c r="B279" s="1" t="str">
        <f ca="1">IFERROR(__xludf.DUMMYFUNCTION("""COMPUTED_VALUE"""),"料件上線時間")</f>
        <v>料件上線時間</v>
      </c>
      <c r="C279" s="1" t="str">
        <f ca="1">IFERROR(__xludf.DUMMYFUNCTION("""COMPUTED_VALUE"""),"ME0160000073")</f>
        <v>ME0160000073</v>
      </c>
      <c r="D279" s="1" t="str">
        <f ca="1">IFERROR(__xludf.DUMMYFUNCTION("""COMPUTED_VALUE"""),"All/BA")</f>
        <v>All/BA</v>
      </c>
      <c r="E279" s="1" t="str">
        <f ca="1">IFERROR(__xludf.DUMMYFUNCTION("""COMPUTED_VALUE"""),"p1/庫存")</f>
        <v>p1/庫存</v>
      </c>
      <c r="F279" s="1">
        <f ca="1">IFERROR(__xludf.DUMMYFUNCTION("""COMPUTED_VALUE"""),1)</f>
        <v>1</v>
      </c>
      <c r="G279" s="1" t="str">
        <f ca="1">IFERROR(__xludf.DUMMYFUNCTION("""COMPUTED_VALUE"""),"B2206363")</f>
        <v>B2206363</v>
      </c>
      <c r="H279" s="1" t="str">
        <f ca="1">IFERROR(__xludf.DUMMYFUNCTION("""COMPUTED_VALUE"""),"P1_015")</f>
        <v>P1_015</v>
      </c>
      <c r="I279" s="1" t="str">
        <f ca="1">IFERROR(__xludf.DUMMYFUNCTION("""COMPUTED_VALUE"""),"Chiao Yu")</f>
        <v>Chiao Yu</v>
      </c>
    </row>
    <row r="280" spans="1:9" ht="12.7" x14ac:dyDescent="0.4">
      <c r="A280" s="2">
        <f ca="1">IFERROR(__xludf.DUMMYFUNCTION("""COMPUTED_VALUE"""),45377.6350407175)</f>
        <v>45377.635040717498</v>
      </c>
      <c r="B280" s="1" t="str">
        <f ca="1">IFERROR(__xludf.DUMMYFUNCTION("""COMPUTED_VALUE"""),"庫存調整")</f>
        <v>庫存調整</v>
      </c>
      <c r="C280" s="1" t="str">
        <f ca="1">IFERROR(__xludf.DUMMYFUNCTION("""COMPUTED_VALUE"""),"ME0020000566")</f>
        <v>ME0020000566</v>
      </c>
      <c r="D280" s="1" t="str">
        <f ca="1">IFERROR(__xludf.DUMMYFUNCTION("""COMPUTED_VALUE"""),"All/共用")</f>
        <v>All/共用</v>
      </c>
      <c r="E280" s="1" t="str">
        <f ca="1">IFERROR(__xludf.DUMMYFUNCTION("""COMPUTED_VALUE"""),"p1/庫存")</f>
        <v>p1/庫存</v>
      </c>
      <c r="F280" s="1">
        <f ca="1">IFERROR(__xludf.DUMMYFUNCTION("""COMPUTED_VALUE"""),3)</f>
        <v>3</v>
      </c>
      <c r="G280" s="1"/>
      <c r="H280" s="1" t="str">
        <f ca="1">IFERROR(__xludf.DUMMYFUNCTION("""COMPUTED_VALUE"""),"P1")</f>
        <v>P1</v>
      </c>
      <c r="I280" s="1" t="str">
        <f ca="1">IFERROR(__xludf.DUMMYFUNCTION("""COMPUTED_VALUE"""),"Simon")</f>
        <v>Simon</v>
      </c>
    </row>
    <row r="281" spans="1:9" ht="12.7" x14ac:dyDescent="0.4">
      <c r="A281" s="2">
        <f ca="1">IFERROR(__xludf.DUMMYFUNCTION("""COMPUTED_VALUE"""),45377.639619155)</f>
        <v>45377.639619155001</v>
      </c>
      <c r="B281" s="1" t="str">
        <f ca="1">IFERROR(__xludf.DUMMYFUNCTION("""COMPUTED_VALUE"""),"庫存調整")</f>
        <v>庫存調整</v>
      </c>
      <c r="C281" s="1" t="str">
        <f ca="1">IFERROR(__xludf.DUMMYFUNCTION("""COMPUTED_VALUE"""),"ME0020000566")</f>
        <v>ME0020000566</v>
      </c>
      <c r="D281" s="1" t="str">
        <f ca="1">IFERROR(__xludf.DUMMYFUNCTION("""COMPUTED_VALUE"""),"All/共用")</f>
        <v>All/共用</v>
      </c>
      <c r="E281" s="1" t="str">
        <f ca="1">IFERROR(__xludf.DUMMYFUNCTION("""COMPUTED_VALUE"""),"p2/庫存")</f>
        <v>p2/庫存</v>
      </c>
      <c r="F281" s="1">
        <f ca="1">IFERROR(__xludf.DUMMYFUNCTION("""COMPUTED_VALUE"""),3)</f>
        <v>3</v>
      </c>
      <c r="G281" s="1"/>
      <c r="H281" s="1" t="str">
        <f ca="1">IFERROR(__xludf.DUMMYFUNCTION("""COMPUTED_VALUE"""),"P2")</f>
        <v>P2</v>
      </c>
      <c r="I281" s="1" t="str">
        <f ca="1">IFERROR(__xludf.DUMMYFUNCTION("""COMPUTED_VALUE"""),"Simon")</f>
        <v>Simon</v>
      </c>
    </row>
    <row r="282" spans="1:9" ht="12.7" x14ac:dyDescent="0.4">
      <c r="A282" s="2">
        <f ca="1">IFERROR(__xludf.DUMMYFUNCTION("""COMPUTED_VALUE"""),45377.6447629861)</f>
        <v>45377.6447629861</v>
      </c>
      <c r="B282" s="1" t="str">
        <f ca="1">IFERROR(__xludf.DUMMYFUNCTION("""COMPUTED_VALUE"""),"送修")</f>
        <v>送修</v>
      </c>
      <c r="C282" s="1" t="str">
        <f ca="1">IFERROR(__xludf.DUMMYFUNCTION("""COMPUTED_VALUE"""),"ME0020000566")</f>
        <v>ME0020000566</v>
      </c>
      <c r="D282" s="1" t="str">
        <f ca="1">IFERROR(__xludf.DUMMYFUNCTION("""COMPUTED_VALUE"""),"All/共用")</f>
        <v>All/共用</v>
      </c>
      <c r="E282" s="1" t="str">
        <f ca="1">IFERROR(__xludf.DUMMYFUNCTION("""COMPUTED_VALUE"""),"p1/庫存")</f>
        <v>p1/庫存</v>
      </c>
      <c r="F282" s="1">
        <f ca="1">IFERROR(__xludf.DUMMYFUNCTION("""COMPUTED_VALUE"""),1)</f>
        <v>1</v>
      </c>
      <c r="G282" s="1" t="str">
        <f ca="1">IFERROR(__xludf.DUMMYFUNCTION("""COMPUTED_VALUE"""),"WP00AYM9")</f>
        <v>WP00AYM9</v>
      </c>
      <c r="H282" s="1" t="str">
        <f ca="1">IFERROR(__xludf.DUMMYFUNCTION("""COMPUTED_VALUE"""),"P1_測試區")</f>
        <v>P1_測試區</v>
      </c>
      <c r="I282" s="1" t="str">
        <f ca="1">IFERROR(__xludf.DUMMYFUNCTION("""COMPUTED_VALUE"""),"Simon")</f>
        <v>Simon</v>
      </c>
    </row>
    <row r="283" spans="1:9" ht="12.7" x14ac:dyDescent="0.4">
      <c r="A283" s="2">
        <f ca="1">IFERROR(__xludf.DUMMYFUNCTION("""COMPUTED_VALUE"""),45377.6485477546)</f>
        <v>45377.648547754601</v>
      </c>
      <c r="B283" s="1" t="str">
        <f ca="1">IFERROR(__xludf.DUMMYFUNCTION("""COMPUTED_VALUE"""),"料件上線時間")</f>
        <v>料件上線時間</v>
      </c>
      <c r="C283" s="1" t="str">
        <f ca="1">IFERROR(__xludf.DUMMYFUNCTION("""COMPUTED_VALUE"""),"ME0020000566")</f>
        <v>ME0020000566</v>
      </c>
      <c r="D283" s="1" t="str">
        <f ca="1">IFERROR(__xludf.DUMMYFUNCTION("""COMPUTED_VALUE"""),"All/共用")</f>
        <v>All/共用</v>
      </c>
      <c r="E283" s="1" t="str">
        <f ca="1">IFERROR(__xludf.DUMMYFUNCTION("""COMPUTED_VALUE"""),"p1/庫存")</f>
        <v>p1/庫存</v>
      </c>
      <c r="F283" s="1">
        <f ca="1">IFERROR(__xludf.DUMMYFUNCTION("""COMPUTED_VALUE"""),1)</f>
        <v>1</v>
      </c>
      <c r="G283" s="1" t="str">
        <f ca="1">IFERROR(__xludf.DUMMYFUNCTION("""COMPUTED_VALUE"""),"WP00RQH6")</f>
        <v>WP00RQH6</v>
      </c>
      <c r="H283" s="1" t="str">
        <f ca="1">IFERROR(__xludf.DUMMYFUNCTION("""COMPUTED_VALUE"""),"P1")</f>
        <v>P1</v>
      </c>
      <c r="I283" s="1" t="str">
        <f ca="1">IFERROR(__xludf.DUMMYFUNCTION("""COMPUTED_VALUE"""),"Simon")</f>
        <v>Simon</v>
      </c>
    </row>
    <row r="284" spans="1:9" ht="12.7" x14ac:dyDescent="0.4">
      <c r="A284" s="2">
        <f ca="1">IFERROR(__xludf.DUMMYFUNCTION("""COMPUTED_VALUE"""),45377.654704699)</f>
        <v>45377.654704699002</v>
      </c>
      <c r="B284" s="1" t="str">
        <f ca="1">IFERROR(__xludf.DUMMYFUNCTION("""COMPUTED_VALUE"""),"送修")</f>
        <v>送修</v>
      </c>
      <c r="C284" s="1" t="str">
        <f ca="1">IFERROR(__xludf.DUMMYFUNCTION("""COMPUTED_VALUE"""),"ME0160000073")</f>
        <v>ME0160000073</v>
      </c>
      <c r="D284" s="1" t="str">
        <f ca="1">IFERROR(__xludf.DUMMYFUNCTION("""COMPUTED_VALUE"""),"All/BA")</f>
        <v>All/BA</v>
      </c>
      <c r="E284" s="1" t="str">
        <f ca="1">IFERROR(__xludf.DUMMYFUNCTION("""COMPUTED_VALUE"""),"p1/庫存")</f>
        <v>p1/庫存</v>
      </c>
      <c r="F284" s="1">
        <f ca="1">IFERROR(__xludf.DUMMYFUNCTION("""COMPUTED_VALUE"""),1)</f>
        <v>1</v>
      </c>
      <c r="G284" s="1" t="str">
        <f ca="1">IFERROR(__xludf.DUMMYFUNCTION("""COMPUTED_VALUE"""),"B2206371")</f>
        <v>B2206371</v>
      </c>
      <c r="H284" s="1" t="str">
        <f ca="1">IFERROR(__xludf.DUMMYFUNCTION("""COMPUTED_VALUE"""),"P1_015")</f>
        <v>P1_015</v>
      </c>
      <c r="I284" s="1" t="str">
        <f ca="1">IFERROR(__xludf.DUMMYFUNCTION("""COMPUTED_VALUE"""),"Chiao Yu")</f>
        <v>Chiao Yu</v>
      </c>
    </row>
    <row r="285" spans="1:9" ht="12.7" x14ac:dyDescent="0.4">
      <c r="A285" s="2">
        <f ca="1">IFERROR(__xludf.DUMMYFUNCTION("""COMPUTED_VALUE"""),45379.3643898263)</f>
        <v>45379.364389826304</v>
      </c>
      <c r="B285" s="1" t="str">
        <f ca="1">IFERROR(__xludf.DUMMYFUNCTION("""COMPUTED_VALUE"""),"庫存調整")</f>
        <v>庫存調整</v>
      </c>
      <c r="C285" s="1" t="str">
        <f ca="1">IFERROR(__xludf.DUMMYFUNCTION("""COMPUTED_VALUE"""),"ME0020000596")</f>
        <v>ME0020000596</v>
      </c>
      <c r="D285" s="1" t="str">
        <f ca="1">IFERROR(__xludf.DUMMYFUNCTION("""COMPUTED_VALUE"""),"All/共用")</f>
        <v>All/共用</v>
      </c>
      <c r="E285" s="1" t="str">
        <f ca="1">IFERROR(__xludf.DUMMYFUNCTION("""COMPUTED_VALUE"""),"p1/庫存")</f>
        <v>p1/庫存</v>
      </c>
      <c r="F285" s="1">
        <f ca="1">IFERROR(__xludf.DUMMYFUNCTION("""COMPUTED_VALUE"""),2)</f>
        <v>2</v>
      </c>
      <c r="G285" s="1"/>
      <c r="H285" s="1" t="str">
        <f ca="1">IFERROR(__xludf.DUMMYFUNCTION("""COMPUTED_VALUE"""),"P1")</f>
        <v>P1</v>
      </c>
      <c r="I285" s="1" t="str">
        <f ca="1">IFERROR(__xludf.DUMMYFUNCTION("""COMPUTED_VALUE"""),"Simon")</f>
        <v>Simon</v>
      </c>
    </row>
    <row r="286" spans="1:9" ht="12.7" x14ac:dyDescent="0.4">
      <c r="A286" s="2">
        <f ca="1">IFERROR(__xludf.DUMMYFUNCTION("""COMPUTED_VALUE"""),45379.3713187268)</f>
        <v>45379.3713187268</v>
      </c>
      <c r="B286" s="1" t="str">
        <f ca="1">IFERROR(__xludf.DUMMYFUNCTION("""COMPUTED_VALUE"""),"庫存調整")</f>
        <v>庫存調整</v>
      </c>
      <c r="C286" s="1" t="str">
        <f ca="1">IFERROR(__xludf.DUMMYFUNCTION("""COMPUTED_VALUE"""),"ME0020000596")</f>
        <v>ME0020000596</v>
      </c>
      <c r="D286" s="1" t="str">
        <f ca="1">IFERROR(__xludf.DUMMYFUNCTION("""COMPUTED_VALUE"""),"All/共用")</f>
        <v>All/共用</v>
      </c>
      <c r="E286" s="1" t="str">
        <f ca="1">IFERROR(__xludf.DUMMYFUNCTION("""COMPUTED_VALUE"""),"p2/庫存")</f>
        <v>p2/庫存</v>
      </c>
      <c r="F286" s="1">
        <f ca="1">IFERROR(__xludf.DUMMYFUNCTION("""COMPUTED_VALUE"""),2)</f>
        <v>2</v>
      </c>
      <c r="G286" s="1"/>
      <c r="H286" s="1" t="str">
        <f ca="1">IFERROR(__xludf.DUMMYFUNCTION("""COMPUTED_VALUE"""),"P2")</f>
        <v>P2</v>
      </c>
      <c r="I286" s="1" t="str">
        <f ca="1">IFERROR(__xludf.DUMMYFUNCTION("""COMPUTED_VALUE"""),"Simon")</f>
        <v>Simon</v>
      </c>
    </row>
    <row r="287" spans="1:9" ht="12.7" x14ac:dyDescent="0.4">
      <c r="A287" s="2">
        <f ca="1">IFERROR(__xludf.DUMMYFUNCTION("""COMPUTED_VALUE"""),45379.5447151273)</f>
        <v>45379.544715127297</v>
      </c>
      <c r="B287" s="1" t="str">
        <f ca="1">IFERROR(__xludf.DUMMYFUNCTION("""COMPUTED_VALUE"""),"庫存調整")</f>
        <v>庫存調整</v>
      </c>
      <c r="C287" s="1" t="str">
        <f ca="1">IFERROR(__xludf.DUMMYFUNCTION("""COMPUTED_VALUE"""),"ME0060000270")</f>
        <v>ME0060000270</v>
      </c>
      <c r="D287" s="1" t="str">
        <f ca="1">IFERROR(__xludf.DUMMYFUNCTION("""COMPUTED_VALUE"""),"All/共用")</f>
        <v>All/共用</v>
      </c>
      <c r="E287" s="1" t="str">
        <f ca="1">IFERROR(__xludf.DUMMYFUNCTION("""COMPUTED_VALUE"""),"p2/庫存")</f>
        <v>p2/庫存</v>
      </c>
      <c r="F287" s="1">
        <f ca="1">IFERROR(__xludf.DUMMYFUNCTION("""COMPUTED_VALUE"""),1)</f>
        <v>1</v>
      </c>
      <c r="G287" s="1"/>
      <c r="H287" s="1" t="str">
        <f ca="1">IFERROR(__xludf.DUMMYFUNCTION("""COMPUTED_VALUE"""),"P2")</f>
        <v>P2</v>
      </c>
      <c r="I287" s="1" t="str">
        <f ca="1">IFERROR(__xludf.DUMMYFUNCTION("""COMPUTED_VALUE"""),"Simon")</f>
        <v>Simon</v>
      </c>
    </row>
    <row r="288" spans="1:9" ht="12.7" x14ac:dyDescent="0.4">
      <c r="A288" s="2">
        <f ca="1">IFERROR(__xludf.DUMMYFUNCTION("""COMPUTED_VALUE"""),45380.2809669444)</f>
        <v>45380.280966944403</v>
      </c>
      <c r="B288" s="1" t="str">
        <f ca="1">IFERROR(__xludf.DUMMYFUNCTION("""COMPUTED_VALUE"""),"庫存調整")</f>
        <v>庫存調整</v>
      </c>
      <c r="C288" s="1" t="str">
        <f ca="1">IFERROR(__xludf.DUMMYFUNCTION("""COMPUTED_VALUE"""),"AGT000000005")</f>
        <v>AGT000000005</v>
      </c>
      <c r="D288" s="1" t="str">
        <f ca="1">IFERROR(__xludf.DUMMYFUNCTION("""COMPUTED_VALUE"""),"All/共用")</f>
        <v>All/共用</v>
      </c>
      <c r="E288" s="1" t="str">
        <f ca="1">IFERROR(__xludf.DUMMYFUNCTION("""COMPUTED_VALUE"""),"p1/庫存")</f>
        <v>p1/庫存</v>
      </c>
      <c r="F288" s="1">
        <f ca="1">IFERROR(__xludf.DUMMYFUNCTION("""COMPUTED_VALUE"""),1)</f>
        <v>1</v>
      </c>
      <c r="G288" s="1"/>
      <c r="H288" s="1" t="str">
        <f ca="1">IFERROR(__xludf.DUMMYFUNCTION("""COMPUTED_VALUE"""),"P1")</f>
        <v>P1</v>
      </c>
      <c r="I288" s="1" t="str">
        <f ca="1">IFERROR(__xludf.DUMMYFUNCTION("""COMPUTED_VALUE"""),"Chiao Yu")</f>
        <v>Chiao Yu</v>
      </c>
    </row>
    <row r="289" spans="1:9" ht="12.7" x14ac:dyDescent="0.4">
      <c r="A289" s="2">
        <f ca="1">IFERROR(__xludf.DUMMYFUNCTION("""COMPUTED_VALUE"""),45380.2814143055)</f>
        <v>45380.2814143055</v>
      </c>
      <c r="B289" s="1" t="str">
        <f ca="1">IFERROR(__xludf.DUMMYFUNCTION("""COMPUTED_VALUE"""),"庫存調整")</f>
        <v>庫存調整</v>
      </c>
      <c r="C289" s="1" t="str">
        <f ca="1">IFERROR(__xludf.DUMMYFUNCTION("""COMPUTED_VALUE"""),"AGT000000005")</f>
        <v>AGT000000005</v>
      </c>
      <c r="D289" s="1" t="str">
        <f ca="1">IFERROR(__xludf.DUMMYFUNCTION("""COMPUTED_VALUE"""),"All/共用")</f>
        <v>All/共用</v>
      </c>
      <c r="E289" s="1" t="str">
        <f ca="1">IFERROR(__xludf.DUMMYFUNCTION("""COMPUTED_VALUE"""),"p2/庫存")</f>
        <v>p2/庫存</v>
      </c>
      <c r="F289" s="1">
        <f ca="1">IFERROR(__xludf.DUMMYFUNCTION("""COMPUTED_VALUE"""),3)</f>
        <v>3</v>
      </c>
      <c r="G289" s="1"/>
      <c r="H289" s="1" t="str">
        <f ca="1">IFERROR(__xludf.DUMMYFUNCTION("""COMPUTED_VALUE"""),"P2")</f>
        <v>P2</v>
      </c>
      <c r="I289" s="1" t="str">
        <f ca="1">IFERROR(__xludf.DUMMYFUNCTION("""COMPUTED_VALUE"""),"Chiao Yu")</f>
        <v>Chiao Yu</v>
      </c>
    </row>
    <row r="290" spans="1:9" ht="12.7" x14ac:dyDescent="0.4">
      <c r="A290" s="2">
        <f ca="1">IFERROR(__xludf.DUMMYFUNCTION("""COMPUTED_VALUE"""),45380.2818350578)</f>
        <v>45380.281835057802</v>
      </c>
      <c r="B290" s="1" t="str">
        <f ca="1">IFERROR(__xludf.DUMMYFUNCTION("""COMPUTED_VALUE"""),"庫存調整")</f>
        <v>庫存調整</v>
      </c>
      <c r="C290" s="1" t="str">
        <f ca="1">IFERROR(__xludf.DUMMYFUNCTION("""COMPUTED_VALUE"""),"AGT000000006")</f>
        <v>AGT000000006</v>
      </c>
      <c r="D290" s="1" t="str">
        <f ca="1">IFERROR(__xludf.DUMMYFUNCTION("""COMPUTED_VALUE"""),"All/共用")</f>
        <v>All/共用</v>
      </c>
      <c r="E290" s="1" t="str">
        <f ca="1">IFERROR(__xludf.DUMMYFUNCTION("""COMPUTED_VALUE"""),"p1/庫存")</f>
        <v>p1/庫存</v>
      </c>
      <c r="F290" s="1">
        <f ca="1">IFERROR(__xludf.DUMMYFUNCTION("""COMPUTED_VALUE"""),3)</f>
        <v>3</v>
      </c>
      <c r="G290" s="1"/>
      <c r="H290" s="1" t="str">
        <f ca="1">IFERROR(__xludf.DUMMYFUNCTION("""COMPUTED_VALUE"""),"P1")</f>
        <v>P1</v>
      </c>
      <c r="I290" s="1" t="str">
        <f ca="1">IFERROR(__xludf.DUMMYFUNCTION("""COMPUTED_VALUE"""),"Chiao Yu")</f>
        <v>Chiao Yu</v>
      </c>
    </row>
    <row r="291" spans="1:9" ht="12.7" x14ac:dyDescent="0.4">
      <c r="A291" s="2">
        <f ca="1">IFERROR(__xludf.DUMMYFUNCTION("""COMPUTED_VALUE"""),45380.2822543865)</f>
        <v>45380.282254386497</v>
      </c>
      <c r="B291" s="1" t="str">
        <f ca="1">IFERROR(__xludf.DUMMYFUNCTION("""COMPUTED_VALUE"""),"庫存調整")</f>
        <v>庫存調整</v>
      </c>
      <c r="C291" s="1" t="str">
        <f ca="1">IFERROR(__xludf.DUMMYFUNCTION("""COMPUTED_VALUE"""),"AGT000000006")</f>
        <v>AGT000000006</v>
      </c>
      <c r="D291" s="1" t="str">
        <f ca="1">IFERROR(__xludf.DUMMYFUNCTION("""COMPUTED_VALUE"""),"All/共用")</f>
        <v>All/共用</v>
      </c>
      <c r="E291" s="1" t="str">
        <f ca="1">IFERROR(__xludf.DUMMYFUNCTION("""COMPUTED_VALUE"""),"p2/庫存")</f>
        <v>p2/庫存</v>
      </c>
      <c r="F291" s="1">
        <f ca="1">IFERROR(__xludf.DUMMYFUNCTION("""COMPUTED_VALUE"""),3)</f>
        <v>3</v>
      </c>
      <c r="G291" s="1"/>
      <c r="H291" s="1" t="str">
        <f ca="1">IFERROR(__xludf.DUMMYFUNCTION("""COMPUTED_VALUE"""),"P2")</f>
        <v>P2</v>
      </c>
      <c r="I291" s="1" t="str">
        <f ca="1">IFERROR(__xludf.DUMMYFUNCTION("""COMPUTED_VALUE"""),"Chiao Yu")</f>
        <v>Chiao Yu</v>
      </c>
    </row>
    <row r="292" spans="1:9" ht="12.7" x14ac:dyDescent="0.4">
      <c r="A292" s="2">
        <f ca="1">IFERROR(__xludf.DUMMYFUNCTION("""COMPUTED_VALUE"""),45380.2828846527)</f>
        <v>45380.282884652697</v>
      </c>
      <c r="B292" s="1" t="str">
        <f ca="1">IFERROR(__xludf.DUMMYFUNCTION("""COMPUTED_VALUE"""),"送修")</f>
        <v>送修</v>
      </c>
      <c r="C292" s="1" t="str">
        <f ca="1">IFERROR(__xludf.DUMMYFUNCTION("""COMPUTED_VALUE"""),"AGT000000006")</f>
        <v>AGT000000006</v>
      </c>
      <c r="D292" s="1" t="str">
        <f ca="1">IFERROR(__xludf.DUMMYFUNCTION("""COMPUTED_VALUE"""),"All/共用")</f>
        <v>All/共用</v>
      </c>
      <c r="E292" s="1" t="str">
        <f ca="1">IFERROR(__xludf.DUMMYFUNCTION("""COMPUTED_VALUE"""),"p1/庫存")</f>
        <v>p1/庫存</v>
      </c>
      <c r="F292" s="1">
        <f ca="1">IFERROR(__xludf.DUMMYFUNCTION("""COMPUTED_VALUE"""),2)</f>
        <v>2</v>
      </c>
      <c r="G292" s="1"/>
      <c r="H292" s="1" t="str">
        <f ca="1">IFERROR(__xludf.DUMMYFUNCTION("""COMPUTED_VALUE"""),"P1")</f>
        <v>P1</v>
      </c>
      <c r="I292" s="1" t="str">
        <f ca="1">IFERROR(__xludf.DUMMYFUNCTION("""COMPUTED_VALUE"""),"Chiao Yu")</f>
        <v>Chiao Yu</v>
      </c>
    </row>
    <row r="293" spans="1:9" ht="12.7" x14ac:dyDescent="0.4">
      <c r="A293" s="2">
        <f ca="1">IFERROR(__xludf.DUMMYFUNCTION("""COMPUTED_VALUE"""),45380.3390271412)</f>
        <v>45380.339027141199</v>
      </c>
      <c r="B293" s="1" t="str">
        <f ca="1">IFERROR(__xludf.DUMMYFUNCTION("""COMPUTED_VALUE"""),"領料")</f>
        <v>領料</v>
      </c>
      <c r="C293" s="1" t="str">
        <f ca="1">IFERROR(__xludf.DUMMYFUNCTION("""COMPUTED_VALUE"""),"ME0060000270")</f>
        <v>ME0060000270</v>
      </c>
      <c r="D293" s="1" t="str">
        <f ca="1">IFERROR(__xludf.DUMMYFUNCTION("""COMPUTED_VALUE"""),"All/共用")</f>
        <v>All/共用</v>
      </c>
      <c r="E293" s="1" t="str">
        <f ca="1">IFERROR(__xludf.DUMMYFUNCTION("""COMPUTED_VALUE"""),"p1/庫存")</f>
        <v>p1/庫存</v>
      </c>
      <c r="F293" s="1">
        <f ca="1">IFERROR(__xludf.DUMMYFUNCTION("""COMPUTED_VALUE"""),1)</f>
        <v>1</v>
      </c>
      <c r="G293" s="1"/>
      <c r="H293" s="1" t="str">
        <f ca="1">IFERROR(__xludf.DUMMYFUNCTION("""COMPUTED_VALUE"""),"P1")</f>
        <v>P1</v>
      </c>
      <c r="I293" s="1" t="str">
        <f ca="1">IFERROR(__xludf.DUMMYFUNCTION("""COMPUTED_VALUE"""),"Chiao Yu")</f>
        <v>Chiao Yu</v>
      </c>
    </row>
    <row r="294" spans="1:9" ht="12.7" x14ac:dyDescent="0.4">
      <c r="A294" s="2">
        <f ca="1">IFERROR(__xludf.DUMMYFUNCTION("""COMPUTED_VALUE"""),45380.5001715277)</f>
        <v>45380.500171527703</v>
      </c>
      <c r="B294" s="1" t="str">
        <f ca="1">IFERROR(__xludf.DUMMYFUNCTION("""COMPUTED_VALUE"""),"庫存調整")</f>
        <v>庫存調整</v>
      </c>
      <c r="C294" s="1" t="str">
        <f ca="1">IFERROR(__xludf.DUMMYFUNCTION("""COMPUTED_VALUE"""),"MM0220000045")</f>
        <v>MM0220000045</v>
      </c>
      <c r="D294" s="1" t="str">
        <f ca="1">IFERROR(__xludf.DUMMYFUNCTION("""COMPUTED_VALUE"""),"All/共用")</f>
        <v>All/共用</v>
      </c>
      <c r="E294" s="1" t="str">
        <f ca="1">IFERROR(__xludf.DUMMYFUNCTION("""COMPUTED_VALUE"""),"p2/庫存")</f>
        <v>p2/庫存</v>
      </c>
      <c r="F294" s="1">
        <f ca="1">IFERROR(__xludf.DUMMYFUNCTION("""COMPUTED_VALUE"""),1)</f>
        <v>1</v>
      </c>
      <c r="G294" s="1"/>
      <c r="H294" s="1" t="str">
        <f ca="1">IFERROR(__xludf.DUMMYFUNCTION("""COMPUTED_VALUE"""),"P2")</f>
        <v>P2</v>
      </c>
      <c r="I294" s="1" t="str">
        <f ca="1">IFERROR(__xludf.DUMMYFUNCTION("""COMPUTED_VALUE"""),"Simon")</f>
        <v>Simon</v>
      </c>
    </row>
    <row r="295" spans="1:9" ht="12.7" x14ac:dyDescent="0.4">
      <c r="A295" s="2">
        <f ca="1">IFERROR(__xludf.DUMMYFUNCTION("""COMPUTED_VALUE"""),45380.8258362037)</f>
        <v>45380.825836203701</v>
      </c>
      <c r="B295" s="1" t="str">
        <f ca="1">IFERROR(__xludf.DUMMYFUNCTION("""COMPUTED_VALUE"""),"領料")</f>
        <v>領料</v>
      </c>
      <c r="C295" s="1" t="str">
        <f ca="1">IFERROR(__xludf.DUMMYFUNCTION("""COMPUTED_VALUE"""),"ME0120000048")</f>
        <v>ME0120000048</v>
      </c>
      <c r="D295" s="1" t="str">
        <f ca="1">IFERROR(__xludf.DUMMYFUNCTION("""COMPUTED_VALUE"""),"All/RL")</f>
        <v>All/RL</v>
      </c>
      <c r="E295" s="1" t="str">
        <f ca="1">IFERROR(__xludf.DUMMYFUNCTION("""COMPUTED_VALUE"""),"p2/庫存")</f>
        <v>p2/庫存</v>
      </c>
      <c r="F295" s="1">
        <f ca="1">IFERROR(__xludf.DUMMYFUNCTION("""COMPUTED_VALUE"""),3)</f>
        <v>3</v>
      </c>
      <c r="G295" s="1"/>
      <c r="H295" s="1" t="str">
        <f ca="1">IFERROR(__xludf.DUMMYFUNCTION("""COMPUTED_VALUE"""),"P2")</f>
        <v>P2</v>
      </c>
      <c r="I295" s="1" t="str">
        <f ca="1">IFERROR(__xludf.DUMMYFUNCTION("""COMPUTED_VALUE"""),"Simon")</f>
        <v>Simon</v>
      </c>
    </row>
    <row r="296" spans="1:9" ht="12.7" x14ac:dyDescent="0.4">
      <c r="A296" s="2">
        <f ca="1">IFERROR(__xludf.DUMMYFUNCTION("""COMPUTED_VALUE"""),45384.3346212268)</f>
        <v>45384.334621226801</v>
      </c>
      <c r="B296" s="1" t="str">
        <f ca="1">IFERROR(__xludf.DUMMYFUNCTION("""COMPUTED_VALUE"""),"領料")</f>
        <v>領料</v>
      </c>
      <c r="C296" s="1" t="str">
        <f ca="1">IFERROR(__xludf.DUMMYFUNCTION("""COMPUTED_VALUE"""),"MM0260000249")</f>
        <v>MM0260000249</v>
      </c>
      <c r="D296" s="1" t="str">
        <f ca="1">IFERROR(__xludf.DUMMYFUNCTION("""COMPUTED_VALUE"""),"All/RL")</f>
        <v>All/RL</v>
      </c>
      <c r="E296" s="1" t="str">
        <f ca="1">IFERROR(__xludf.DUMMYFUNCTION("""COMPUTED_VALUE"""),"p2/庫存")</f>
        <v>p2/庫存</v>
      </c>
      <c r="F296" s="1">
        <f ca="1">IFERROR(__xludf.DUMMYFUNCTION("""COMPUTED_VALUE"""),1)</f>
        <v>1</v>
      </c>
      <c r="G296" s="1"/>
      <c r="H296" s="1" t="str">
        <f ca="1">IFERROR(__xludf.DUMMYFUNCTION("""COMPUTED_VALUE"""),"P2_1002")</f>
        <v>P2_1002</v>
      </c>
      <c r="I296" s="1" t="str">
        <f ca="1">IFERROR(__xludf.DUMMYFUNCTION("""COMPUTED_VALUE"""),"Jason")</f>
        <v>Jason</v>
      </c>
    </row>
    <row r="297" spans="1:9" ht="12.7" x14ac:dyDescent="0.4">
      <c r="A297" s="2">
        <f ca="1">IFERROR(__xludf.DUMMYFUNCTION("""COMPUTED_VALUE"""),45384.3737807638)</f>
        <v>45384.373780763803</v>
      </c>
      <c r="B297" s="1" t="str">
        <f ca="1">IFERROR(__xludf.DUMMYFUNCTION("""COMPUTED_VALUE"""),"返修")</f>
        <v>返修</v>
      </c>
      <c r="C297" s="1" t="str">
        <f ca="1">IFERROR(__xludf.DUMMYFUNCTION("""COMPUTED_VALUE"""),"ME0020000562")</f>
        <v>ME0020000562</v>
      </c>
      <c r="D297" s="1" t="str">
        <f ca="1">IFERROR(__xludf.DUMMYFUNCTION("""COMPUTED_VALUE"""),"All/共用")</f>
        <v>All/共用</v>
      </c>
      <c r="E297" s="1" t="str">
        <f ca="1">IFERROR(__xludf.DUMMYFUNCTION("""COMPUTED_VALUE"""),"p1/庫存")</f>
        <v>p1/庫存</v>
      </c>
      <c r="F297" s="1">
        <f ca="1">IFERROR(__xludf.DUMMYFUNCTION("""COMPUTED_VALUE"""),1)</f>
        <v>1</v>
      </c>
      <c r="G297" s="1" t="str">
        <f ca="1">IFERROR(__xludf.DUMMYFUNCTION("""COMPUTED_VALUE"""),"637XF A01")</f>
        <v>637XF A01</v>
      </c>
      <c r="H297" s="1" t="str">
        <f ca="1">IFERROR(__xludf.DUMMYFUNCTION("""COMPUTED_VALUE"""),"P1")</f>
        <v>P1</v>
      </c>
      <c r="I297" s="1" t="str">
        <f ca="1">IFERROR(__xludf.DUMMYFUNCTION("""COMPUTED_VALUE"""),"Simon")</f>
        <v>Simon</v>
      </c>
    </row>
    <row r="298" spans="1:9" ht="12.7" x14ac:dyDescent="0.4">
      <c r="A298" s="2">
        <f ca="1">IFERROR(__xludf.DUMMYFUNCTION("""COMPUTED_VALUE"""),45386.2570757986)</f>
        <v>45386.257075798603</v>
      </c>
      <c r="B298" s="1" t="str">
        <f ca="1">IFERROR(__xludf.DUMMYFUNCTION("""COMPUTED_VALUE"""),"領料")</f>
        <v>領料</v>
      </c>
      <c r="C298" s="1" t="str">
        <f ca="1">IFERROR(__xludf.DUMMYFUNCTION("""COMPUTED_VALUE"""),"MM0260000249")</f>
        <v>MM0260000249</v>
      </c>
      <c r="D298" s="1" t="str">
        <f ca="1">IFERROR(__xludf.DUMMYFUNCTION("""COMPUTED_VALUE"""),"All/RL")</f>
        <v>All/RL</v>
      </c>
      <c r="E298" s="1" t="str">
        <f ca="1">IFERROR(__xludf.DUMMYFUNCTION("""COMPUTED_VALUE"""),"p2/庫存")</f>
        <v>p2/庫存</v>
      </c>
      <c r="F298" s="1">
        <f ca="1">IFERROR(__xludf.DUMMYFUNCTION("""COMPUTED_VALUE"""),1)</f>
        <v>1</v>
      </c>
      <c r="G298" s="1"/>
      <c r="H298" s="1" t="str">
        <f ca="1">IFERROR(__xludf.DUMMYFUNCTION("""COMPUTED_VALUE"""),"P2_1001")</f>
        <v>P2_1001</v>
      </c>
      <c r="I298" s="1" t="str">
        <f ca="1">IFERROR(__xludf.DUMMYFUNCTION("""COMPUTED_VALUE"""),"Chiao Yu")</f>
        <v>Chiao Yu</v>
      </c>
    </row>
    <row r="299" spans="1:9" ht="12.7" x14ac:dyDescent="0.4">
      <c r="A299" s="2">
        <f ca="1">IFERROR(__xludf.DUMMYFUNCTION("""COMPUTED_VALUE"""),45386.2849843055)</f>
        <v>45386.284984305501</v>
      </c>
      <c r="B299" s="1" t="str">
        <f ca="1">IFERROR(__xludf.DUMMYFUNCTION("""COMPUTED_VALUE"""),"庫存調整")</f>
        <v>庫存調整</v>
      </c>
      <c r="C299" s="1" t="str">
        <f ca="1">IFERROR(__xludf.DUMMYFUNCTION("""COMPUTED_VALUE"""),"ME0010000296")</f>
        <v>ME0010000296</v>
      </c>
      <c r="D299" s="1" t="str">
        <f ca="1">IFERROR(__xludf.DUMMYFUNCTION("""COMPUTED_VALUE"""),"All/共用")</f>
        <v>All/共用</v>
      </c>
      <c r="E299" s="1" t="str">
        <f ca="1">IFERROR(__xludf.DUMMYFUNCTION("""COMPUTED_VALUE"""),"p2/庫存")</f>
        <v>p2/庫存</v>
      </c>
      <c r="F299" s="1">
        <f ca="1">IFERROR(__xludf.DUMMYFUNCTION("""COMPUTED_VALUE"""),2)</f>
        <v>2</v>
      </c>
      <c r="G299" s="1"/>
      <c r="H299" s="1" t="str">
        <f ca="1">IFERROR(__xludf.DUMMYFUNCTION("""COMPUTED_VALUE"""),"P2")</f>
        <v>P2</v>
      </c>
      <c r="I299" s="1" t="str">
        <f ca="1">IFERROR(__xludf.DUMMYFUNCTION("""COMPUTED_VALUE"""),"Chiao Yu")</f>
        <v>Chiao Yu</v>
      </c>
    </row>
    <row r="300" spans="1:9" ht="12.7" x14ac:dyDescent="0.4">
      <c r="A300" s="2">
        <f ca="1">IFERROR(__xludf.DUMMYFUNCTION("""COMPUTED_VALUE"""),45390.2667876736)</f>
        <v>45390.266787673601</v>
      </c>
      <c r="B300" s="1" t="str">
        <f ca="1">IFERROR(__xludf.DUMMYFUNCTION("""COMPUTED_VALUE"""),"送修")</f>
        <v>送修</v>
      </c>
      <c r="C300" s="1" t="str">
        <f ca="1">IFERROR(__xludf.DUMMYFUNCTION("""COMPUTED_VALUE"""),"ME0020000592")</f>
        <v>ME0020000592</v>
      </c>
      <c r="D300" s="1" t="str">
        <f ca="1">IFERROR(__xludf.DUMMYFUNCTION("""COMPUTED_VALUE"""),"All/共用")</f>
        <v>All/共用</v>
      </c>
      <c r="E300" s="1" t="str">
        <f ca="1">IFERROR(__xludf.DUMMYFUNCTION("""COMPUTED_VALUE"""),"p2/庫存")</f>
        <v>p2/庫存</v>
      </c>
      <c r="F300" s="1">
        <f ca="1">IFERROR(__xludf.DUMMYFUNCTION("""COMPUTED_VALUE"""),1)</f>
        <v>1</v>
      </c>
      <c r="G300" s="1" t="str">
        <f ca="1">IFERROR(__xludf.DUMMYFUNCTION("""COMPUTED_VALUE"""),"R9PTA0K0EXZ")</f>
        <v>R9PTA0K0EXZ</v>
      </c>
      <c r="H300" s="1" t="str">
        <f ca="1">IFERROR(__xludf.DUMMYFUNCTION("""COMPUTED_VALUE"""),"P2_032")</f>
        <v>P2_032</v>
      </c>
      <c r="I300" s="1" t="str">
        <f ca="1">IFERROR(__xludf.DUMMYFUNCTION("""COMPUTED_VALUE"""),"Chiao Yu")</f>
        <v>Chiao Yu</v>
      </c>
    </row>
    <row r="301" spans="1:9" ht="12.7" x14ac:dyDescent="0.4">
      <c r="A301" s="2">
        <f ca="1">IFERROR(__xludf.DUMMYFUNCTION("""COMPUTED_VALUE"""),45390.4035751388)</f>
        <v>45390.4035751388</v>
      </c>
      <c r="B301" s="1" t="str">
        <f ca="1">IFERROR(__xludf.DUMMYFUNCTION("""COMPUTED_VALUE"""),"返修")</f>
        <v>返修</v>
      </c>
      <c r="C301" s="1" t="str">
        <f ca="1">IFERROR(__xludf.DUMMYFUNCTION("""COMPUTED_VALUE"""),"ME0020000592")</f>
        <v>ME0020000592</v>
      </c>
      <c r="D301" s="1" t="str">
        <f ca="1">IFERROR(__xludf.DUMMYFUNCTION("""COMPUTED_VALUE"""),"All/共用")</f>
        <v>All/共用</v>
      </c>
      <c r="E301" s="1" t="str">
        <f ca="1">IFERROR(__xludf.DUMMYFUNCTION("""COMPUTED_VALUE"""),"p2/庫存")</f>
        <v>p2/庫存</v>
      </c>
      <c r="F301" s="1">
        <f ca="1">IFERROR(__xludf.DUMMYFUNCTION("""COMPUTED_VALUE"""),1)</f>
        <v>1</v>
      </c>
      <c r="G301" s="1" t="str">
        <f ca="1">IFERROR(__xludf.DUMMYFUNCTION("""COMPUTED_VALUE"""),"R9PTA0K0EXZ")</f>
        <v>R9PTA0K0EXZ</v>
      </c>
      <c r="H301" s="1" t="str">
        <f ca="1">IFERROR(__xludf.DUMMYFUNCTION("""COMPUTED_VALUE"""),"P2_032")</f>
        <v>P2_032</v>
      </c>
      <c r="I301" s="1" t="str">
        <f ca="1">IFERROR(__xludf.DUMMYFUNCTION("""COMPUTED_VALUE"""),"Simon")</f>
        <v>Simon</v>
      </c>
    </row>
    <row r="302" spans="1:9" ht="12.7" x14ac:dyDescent="0.4">
      <c r="A302" s="2">
        <f ca="1">IFERROR(__xludf.DUMMYFUNCTION("""COMPUTED_VALUE"""),45390.4170673379)</f>
        <v>45390.417067337898</v>
      </c>
      <c r="B302" s="1" t="str">
        <f ca="1">IFERROR(__xludf.DUMMYFUNCTION("""COMPUTED_VALUE"""),"送修")</f>
        <v>送修</v>
      </c>
      <c r="C302" s="1" t="str">
        <f ca="1">IFERROR(__xludf.DUMMYFUNCTION("""COMPUTED_VALUE"""),"ME0020000592")</f>
        <v>ME0020000592</v>
      </c>
      <c r="D302" s="1" t="str">
        <f ca="1">IFERROR(__xludf.DUMMYFUNCTION("""COMPUTED_VALUE"""),"All/共用")</f>
        <v>All/共用</v>
      </c>
      <c r="E302" s="1" t="str">
        <f ca="1">IFERROR(__xludf.DUMMYFUNCTION("""COMPUTED_VALUE"""),"p2/庫存")</f>
        <v>p2/庫存</v>
      </c>
      <c r="F302" s="1">
        <f ca="1">IFERROR(__xludf.DUMMYFUNCTION("""COMPUTED_VALUE"""),1)</f>
        <v>1</v>
      </c>
      <c r="G302" s="1" t="str">
        <f ca="1">IFERROR(__xludf.DUMMYFUNCTION("""COMPUTED_VALUE"""),"R9PTA0K0EXZ")</f>
        <v>R9PTA0K0EXZ</v>
      </c>
      <c r="H302" s="1" t="str">
        <f ca="1">IFERROR(__xludf.DUMMYFUNCTION("""COMPUTED_VALUE"""),"P2_032")</f>
        <v>P2_032</v>
      </c>
      <c r="I302" s="1" t="str">
        <f ca="1">IFERROR(__xludf.DUMMYFUNCTION("""COMPUTED_VALUE"""),"Chiao Yu")</f>
        <v>Chiao Yu</v>
      </c>
    </row>
    <row r="303" spans="1:9" ht="12.7" x14ac:dyDescent="0.4">
      <c r="A303" s="2">
        <f ca="1">IFERROR(__xludf.DUMMYFUNCTION("""COMPUTED_VALUE"""),45390.6908304861)</f>
        <v>45390.690830486099</v>
      </c>
      <c r="B303" s="1" t="str">
        <f ca="1">IFERROR(__xludf.DUMMYFUNCTION("""COMPUTED_VALUE"""),"返修")</f>
        <v>返修</v>
      </c>
      <c r="C303" s="1" t="str">
        <f ca="1">IFERROR(__xludf.DUMMYFUNCTION("""COMPUTED_VALUE"""),"ME0160000073")</f>
        <v>ME0160000073</v>
      </c>
      <c r="D303" s="1" t="str">
        <f ca="1">IFERROR(__xludf.DUMMYFUNCTION("""COMPUTED_VALUE"""),"All/BA")</f>
        <v>All/BA</v>
      </c>
      <c r="E303" s="1" t="str">
        <f ca="1">IFERROR(__xludf.DUMMYFUNCTION("""COMPUTED_VALUE"""),"p2/庫存")</f>
        <v>p2/庫存</v>
      </c>
      <c r="F303" s="1">
        <f ca="1">IFERROR(__xludf.DUMMYFUNCTION("""COMPUTED_VALUE"""),1)</f>
        <v>1</v>
      </c>
      <c r="G303" s="1" t="str">
        <f ca="1">IFERROR(__xludf.DUMMYFUNCTION("""COMPUTED_VALUE"""),"B2206362")</f>
        <v>B2206362</v>
      </c>
      <c r="H303" s="1" t="str">
        <f ca="1">IFERROR(__xludf.DUMMYFUNCTION("""COMPUTED_VALUE"""),"P2")</f>
        <v>P2</v>
      </c>
      <c r="I303" s="1" t="str">
        <f ca="1">IFERROR(__xludf.DUMMYFUNCTION("""COMPUTED_VALUE"""),"Simon")</f>
        <v>Simon</v>
      </c>
    </row>
    <row r="304" spans="1:9" ht="12.7" x14ac:dyDescent="0.4">
      <c r="A304" s="2">
        <f ca="1">IFERROR(__xludf.DUMMYFUNCTION("""COMPUTED_VALUE"""),45393.4616801041)</f>
        <v>45393.461680104097</v>
      </c>
      <c r="B304" s="1" t="str">
        <f ca="1">IFERROR(__xludf.DUMMYFUNCTION("""COMPUTED_VALUE"""),"送修")</f>
        <v>送修</v>
      </c>
      <c r="C304" s="1" t="str">
        <f ca="1">IFERROR(__xludf.DUMMYFUNCTION("""COMPUTED_VALUE"""),"ME0160000073")</f>
        <v>ME0160000073</v>
      </c>
      <c r="D304" s="1" t="str">
        <f ca="1">IFERROR(__xludf.DUMMYFUNCTION("""COMPUTED_VALUE"""),"All/BA")</f>
        <v>All/BA</v>
      </c>
      <c r="E304" s="1" t="str">
        <f ca="1">IFERROR(__xludf.DUMMYFUNCTION("""COMPUTED_VALUE"""),"p1/庫存")</f>
        <v>p1/庫存</v>
      </c>
      <c r="F304" s="1">
        <f ca="1">IFERROR(__xludf.DUMMYFUNCTION("""COMPUTED_VALUE"""),1)</f>
        <v>1</v>
      </c>
      <c r="G304" s="1" t="str">
        <f ca="1">IFERROR(__xludf.DUMMYFUNCTION("""COMPUTED_VALUE"""),"B2206368")</f>
        <v>B2206368</v>
      </c>
      <c r="H304" s="1" t="str">
        <f ca="1">IFERROR(__xludf.DUMMYFUNCTION("""COMPUTED_VALUE"""),"P1_016")</f>
        <v>P1_016</v>
      </c>
      <c r="I304" s="1" t="str">
        <f ca="1">IFERROR(__xludf.DUMMYFUNCTION("""COMPUTED_VALUE"""),"Simon")</f>
        <v>Simon</v>
      </c>
    </row>
    <row r="305" spans="1:9" ht="12.7" x14ac:dyDescent="0.4">
      <c r="A305" s="2">
        <f ca="1">IFERROR(__xludf.DUMMYFUNCTION("""COMPUTED_VALUE"""),45393.4649574768)</f>
        <v>45393.464957476797</v>
      </c>
      <c r="B305" s="1" t="str">
        <f ca="1">IFERROR(__xludf.DUMMYFUNCTION("""COMPUTED_VALUE"""),"料件上線時間")</f>
        <v>料件上線時間</v>
      </c>
      <c r="C305" s="1" t="str">
        <f ca="1">IFERROR(__xludf.DUMMYFUNCTION("""COMPUTED_VALUE"""),"   	 ME0160000073")</f>
        <v xml:space="preserve">   	 ME0160000073</v>
      </c>
      <c r="D305" s="1" t="str">
        <f ca="1">IFERROR(__xludf.DUMMYFUNCTION("""COMPUTED_VALUE"""),"All/BA")</f>
        <v>All/BA</v>
      </c>
      <c r="E305" s="1" t="str">
        <f ca="1">IFERROR(__xludf.DUMMYFUNCTION("""COMPUTED_VALUE"""),"p1/庫存")</f>
        <v>p1/庫存</v>
      </c>
      <c r="F305" s="1">
        <f ca="1">IFERROR(__xludf.DUMMYFUNCTION("""COMPUTED_VALUE"""),1)</f>
        <v>1</v>
      </c>
      <c r="G305" s="1" t="str">
        <f ca="1">IFERROR(__xludf.DUMMYFUNCTION("""COMPUTED_VALUE"""),"B1406006")</f>
        <v>B1406006</v>
      </c>
      <c r="H305" s="1" t="str">
        <f ca="1">IFERROR(__xludf.DUMMYFUNCTION("""COMPUTED_VALUE"""),"P1_016")</f>
        <v>P1_016</v>
      </c>
      <c r="I305" s="1" t="str">
        <f ca="1">IFERROR(__xludf.DUMMYFUNCTION("""COMPUTED_VALUE"""),"Simon")</f>
        <v>Simon</v>
      </c>
    </row>
    <row r="306" spans="1:9" ht="12.7" x14ac:dyDescent="0.4">
      <c r="A306" s="2">
        <f ca="1">IFERROR(__xludf.DUMMYFUNCTION("""COMPUTED_VALUE"""),45394.9168929513)</f>
        <v>45394.916892951303</v>
      </c>
      <c r="B306" s="1" t="str">
        <f ca="1">IFERROR(__xludf.DUMMYFUNCTION("""COMPUTED_VALUE"""),"領料")</f>
        <v>領料</v>
      </c>
      <c r="C306" s="1" t="str">
        <f ca="1">IFERROR(__xludf.DUMMYFUNCTION("""COMPUTED_VALUE"""),"MM0090000047")</f>
        <v>MM0090000047</v>
      </c>
      <c r="D306" s="1" t="str">
        <f ca="1">IFERROR(__xludf.DUMMYFUNCTION("""COMPUTED_VALUE"""),"All/BA")</f>
        <v>All/BA</v>
      </c>
      <c r="E306" s="1" t="str">
        <f ca="1">IFERROR(__xludf.DUMMYFUNCTION("""COMPUTED_VALUE"""),"p1/庫存")</f>
        <v>p1/庫存</v>
      </c>
      <c r="F306" s="1">
        <f ca="1">IFERROR(__xludf.DUMMYFUNCTION("""COMPUTED_VALUE"""),2)</f>
        <v>2</v>
      </c>
      <c r="G306" s="1"/>
      <c r="H306" s="1" t="str">
        <f ca="1">IFERROR(__xludf.DUMMYFUNCTION("""COMPUTED_VALUE"""),"P1")</f>
        <v>P1</v>
      </c>
      <c r="I306" s="1" t="str">
        <f ca="1">IFERROR(__xludf.DUMMYFUNCTION("""COMPUTED_VALUE"""),"Chiao Yu")</f>
        <v>Chiao Yu</v>
      </c>
    </row>
    <row r="307" spans="1:9" ht="12.7" x14ac:dyDescent="0.4">
      <c r="A307" s="2">
        <f ca="1">IFERROR(__xludf.DUMMYFUNCTION("""COMPUTED_VALUE"""),45397.2452444213)</f>
        <v>45397.245244421298</v>
      </c>
      <c r="B307" s="1" t="str">
        <f ca="1">IFERROR(__xludf.DUMMYFUNCTION("""COMPUTED_VALUE"""),"送修")</f>
        <v>送修</v>
      </c>
      <c r="C307" s="1" t="str">
        <f ca="1">IFERROR(__xludf.DUMMYFUNCTION("""COMPUTED_VALUE"""),"ME0060000270")</f>
        <v>ME0060000270</v>
      </c>
      <c r="D307" s="1" t="str">
        <f ca="1">IFERROR(__xludf.DUMMYFUNCTION("""COMPUTED_VALUE"""),"All/共用")</f>
        <v>All/共用</v>
      </c>
      <c r="E307" s="1" t="str">
        <f ca="1">IFERROR(__xludf.DUMMYFUNCTION("""COMPUTED_VALUE"""),"p2/庫存")</f>
        <v>p2/庫存</v>
      </c>
      <c r="F307" s="1">
        <f ca="1">IFERROR(__xludf.DUMMYFUNCTION("""COMPUTED_VALUE"""),2)</f>
        <v>2</v>
      </c>
      <c r="G307" s="1"/>
      <c r="H307" s="1" t="str">
        <f ca="1">IFERROR(__xludf.DUMMYFUNCTION("""COMPUTED_VALUE"""),"P2_032")</f>
        <v>P2_032</v>
      </c>
      <c r="I307" s="1" t="str">
        <f ca="1">IFERROR(__xludf.DUMMYFUNCTION("""COMPUTED_VALUE"""),"Chiao Yu")</f>
        <v>Chiao Yu</v>
      </c>
    </row>
    <row r="308" spans="1:9" ht="12.7" x14ac:dyDescent="0.4">
      <c r="A308" s="2">
        <f ca="1">IFERROR(__xludf.DUMMYFUNCTION("""COMPUTED_VALUE"""),45398.3970968287)</f>
        <v>45398.397096828703</v>
      </c>
      <c r="B308" s="1" t="str">
        <f ca="1">IFERROR(__xludf.DUMMYFUNCTION("""COMPUTED_VALUE"""),"庫存調整")</f>
        <v>庫存調整</v>
      </c>
      <c r="C308" s="1" t="str">
        <f ca="1">IFERROR(__xludf.DUMMYFUNCTION("""COMPUTED_VALUE"""),"AGT000000001")</f>
        <v>AGT000000001</v>
      </c>
      <c r="D308" s="1" t="str">
        <f ca="1">IFERROR(__xludf.DUMMYFUNCTION("""COMPUTED_VALUE"""),"All/共用")</f>
        <v>All/共用</v>
      </c>
      <c r="E308" s="1" t="str">
        <f ca="1">IFERROR(__xludf.DUMMYFUNCTION("""COMPUTED_VALUE"""),"p2/庫存")</f>
        <v>p2/庫存</v>
      </c>
      <c r="F308" s="1">
        <f ca="1">IFERROR(__xludf.DUMMYFUNCTION("""COMPUTED_VALUE"""),-1)</f>
        <v>-1</v>
      </c>
      <c r="G308" s="1"/>
      <c r="H308" s="1" t="str">
        <f ca="1">IFERROR(__xludf.DUMMYFUNCTION("""COMPUTED_VALUE"""),"P2")</f>
        <v>P2</v>
      </c>
      <c r="I308" s="1" t="str">
        <f ca="1">IFERROR(__xludf.DUMMYFUNCTION("""COMPUTED_VALUE"""),"Barry")</f>
        <v>Barry</v>
      </c>
    </row>
    <row r="309" spans="1:9" ht="12.7" x14ac:dyDescent="0.4">
      <c r="A309" s="2">
        <f ca="1">IFERROR(__xludf.DUMMYFUNCTION("""COMPUTED_VALUE"""),45398.4032473842)</f>
        <v>45398.403247384202</v>
      </c>
      <c r="B309" s="1" t="str">
        <f ca="1">IFERROR(__xludf.DUMMYFUNCTION("""COMPUTED_VALUE"""),"庫存調整")</f>
        <v>庫存調整</v>
      </c>
      <c r="C309" s="1" t="str">
        <f ca="1">IFERROR(__xludf.DUMMYFUNCTION("""COMPUTED_VALUE"""),"ME0030000058")</f>
        <v>ME0030000058</v>
      </c>
      <c r="D309" s="1" t="str">
        <f ca="1">IFERROR(__xludf.DUMMYFUNCTION("""COMPUTED_VALUE"""),"All/共用")</f>
        <v>All/共用</v>
      </c>
      <c r="E309" s="1" t="str">
        <f ca="1">IFERROR(__xludf.DUMMYFUNCTION("""COMPUTED_VALUE"""),"p2/庫存")</f>
        <v>p2/庫存</v>
      </c>
      <c r="F309" s="1">
        <f ca="1">IFERROR(__xludf.DUMMYFUNCTION("""COMPUTED_VALUE"""),1)</f>
        <v>1</v>
      </c>
      <c r="G309" s="1"/>
      <c r="H309" s="1" t="str">
        <f ca="1">IFERROR(__xludf.DUMMYFUNCTION("""COMPUTED_VALUE"""),"P2")</f>
        <v>P2</v>
      </c>
      <c r="I309" s="1" t="str">
        <f ca="1">IFERROR(__xludf.DUMMYFUNCTION("""COMPUTED_VALUE"""),"Simon")</f>
        <v>Simon</v>
      </c>
    </row>
    <row r="310" spans="1:9" ht="12.7" x14ac:dyDescent="0.4">
      <c r="A310" s="2">
        <f ca="1">IFERROR(__xludf.DUMMYFUNCTION("""COMPUTED_VALUE"""),45400.2817214467)</f>
        <v>45400.2817214467</v>
      </c>
      <c r="B310" s="1" t="str">
        <f ca="1">IFERROR(__xludf.DUMMYFUNCTION("""COMPUTED_VALUE"""),"送修")</f>
        <v>送修</v>
      </c>
      <c r="C310" s="1" t="str">
        <f ca="1">IFERROR(__xludf.DUMMYFUNCTION("""COMPUTED_VALUE"""),"A00100000731")</f>
        <v>A00100000731</v>
      </c>
      <c r="D310" s="1" t="str">
        <f ca="1">IFERROR(__xludf.DUMMYFUNCTION("""COMPUTED_VALUE"""),"All/BA")</f>
        <v>All/BA</v>
      </c>
      <c r="E310" s="1" t="str">
        <f ca="1">IFERROR(__xludf.DUMMYFUNCTION("""COMPUTED_VALUE"""),"p2/庫存")</f>
        <v>p2/庫存</v>
      </c>
      <c r="F310" s="1">
        <f ca="1">IFERROR(__xludf.DUMMYFUNCTION("""COMPUTED_VALUE"""),1)</f>
        <v>1</v>
      </c>
      <c r="G310" s="1" t="str">
        <f ca="1">IFERROR(__xludf.DUMMYFUNCTION("""COMPUTED_VALUE"""),"10F179")</f>
        <v>10F179</v>
      </c>
      <c r="H310" s="1" t="str">
        <f ca="1">IFERROR(__xludf.DUMMYFUNCTION("""COMPUTED_VALUE"""),"P2_048")</f>
        <v>P2_048</v>
      </c>
      <c r="I310" s="1" t="str">
        <f ca="1">IFERROR(__xludf.DUMMYFUNCTION("""COMPUTED_VALUE"""),"Chiao Yu")</f>
        <v>Chiao Yu</v>
      </c>
    </row>
    <row r="311" spans="1:9" ht="12.7" x14ac:dyDescent="0.4">
      <c r="A311" s="2">
        <f ca="1">IFERROR(__xludf.DUMMYFUNCTION("""COMPUTED_VALUE"""),45400.2825106249)</f>
        <v>45400.2825106249</v>
      </c>
      <c r="B311" s="1" t="str">
        <f ca="1">IFERROR(__xludf.DUMMYFUNCTION("""COMPUTED_VALUE"""),"料件上線時間")</f>
        <v>料件上線時間</v>
      </c>
      <c r="C311" s="1" t="str">
        <f ca="1">IFERROR(__xludf.DUMMYFUNCTION("""COMPUTED_VALUE"""),"A00100000731")</f>
        <v>A00100000731</v>
      </c>
      <c r="D311" s="1" t="str">
        <f ca="1">IFERROR(__xludf.DUMMYFUNCTION("""COMPUTED_VALUE"""),"All/BA")</f>
        <v>All/BA</v>
      </c>
      <c r="E311" s="1" t="str">
        <f ca="1">IFERROR(__xludf.DUMMYFUNCTION("""COMPUTED_VALUE"""),"p2/庫存")</f>
        <v>p2/庫存</v>
      </c>
      <c r="F311" s="1">
        <f ca="1">IFERROR(__xludf.DUMMYFUNCTION("""COMPUTED_VALUE"""),1)</f>
        <v>1</v>
      </c>
      <c r="G311" s="1" t="str">
        <f ca="1">IFERROR(__xludf.DUMMYFUNCTION("""COMPUTED_VALUE"""),"09F306")</f>
        <v>09F306</v>
      </c>
      <c r="H311" s="1" t="str">
        <f ca="1">IFERROR(__xludf.DUMMYFUNCTION("""COMPUTED_VALUE"""),"P2_048")</f>
        <v>P2_048</v>
      </c>
      <c r="I311" s="1" t="str">
        <f ca="1">IFERROR(__xludf.DUMMYFUNCTION("""COMPUTED_VALUE"""),"Chiao Yu")</f>
        <v>Chiao Yu</v>
      </c>
    </row>
    <row r="312" spans="1:9" ht="12.7" x14ac:dyDescent="0.4">
      <c r="A312" s="2">
        <f ca="1">IFERROR(__xludf.DUMMYFUNCTION("""COMPUTED_VALUE"""),45401.2310138888)</f>
        <v>45401.231013888799</v>
      </c>
      <c r="B312" s="1" t="str">
        <f ca="1">IFERROR(__xludf.DUMMYFUNCTION("""COMPUTED_VALUE"""),"送修")</f>
        <v>送修</v>
      </c>
      <c r="C312" s="1" t="str">
        <f ca="1">IFERROR(__xludf.DUMMYFUNCTION("""COMPUTED_VALUE"""),"AGT000000006")</f>
        <v>AGT000000006</v>
      </c>
      <c r="D312" s="1" t="str">
        <f ca="1">IFERROR(__xludf.DUMMYFUNCTION("""COMPUTED_VALUE"""),"All/BA")</f>
        <v>All/BA</v>
      </c>
      <c r="E312" s="1" t="str">
        <f ca="1">IFERROR(__xludf.DUMMYFUNCTION("""COMPUTED_VALUE"""),"p2/庫存")</f>
        <v>p2/庫存</v>
      </c>
      <c r="F312" s="1">
        <f ca="1">IFERROR(__xludf.DUMMYFUNCTION("""COMPUTED_VALUE"""),1)</f>
        <v>1</v>
      </c>
      <c r="G312" s="1"/>
      <c r="H312" s="1" t="str">
        <f ca="1">IFERROR(__xludf.DUMMYFUNCTION("""COMPUTED_VALUE"""),"P2_050")</f>
        <v>P2_050</v>
      </c>
      <c r="I312" s="1" t="str">
        <f ca="1">IFERROR(__xludf.DUMMYFUNCTION("""COMPUTED_VALUE"""),"Chiao Yu")</f>
        <v>Chiao Yu</v>
      </c>
    </row>
    <row r="313" spans="1:9" ht="12.7" x14ac:dyDescent="0.4">
      <c r="A313" s="2">
        <f ca="1">IFERROR(__xludf.DUMMYFUNCTION("""COMPUTED_VALUE"""),45401.2320597685)</f>
        <v>45401.232059768503</v>
      </c>
      <c r="B313" s="1" t="str">
        <f ca="1">IFERROR(__xludf.DUMMYFUNCTION("""COMPUTED_VALUE"""),"送修")</f>
        <v>送修</v>
      </c>
      <c r="C313" s="1" t="str">
        <f ca="1">IFERROR(__xludf.DUMMYFUNCTION("""COMPUTED_VALUE"""),"ME0060000270")</f>
        <v>ME0060000270</v>
      </c>
      <c r="D313" s="1" t="str">
        <f ca="1">IFERROR(__xludf.DUMMYFUNCTION("""COMPUTED_VALUE"""),"All/BA")</f>
        <v>All/BA</v>
      </c>
      <c r="E313" s="1" t="str">
        <f ca="1">IFERROR(__xludf.DUMMYFUNCTION("""COMPUTED_VALUE"""),"p2/庫存")</f>
        <v>p2/庫存</v>
      </c>
      <c r="F313" s="1">
        <f ca="1">IFERROR(__xludf.DUMMYFUNCTION("""COMPUTED_VALUE"""),1)</f>
        <v>1</v>
      </c>
      <c r="G313" s="1"/>
      <c r="H313" s="1" t="str">
        <f ca="1">IFERROR(__xludf.DUMMYFUNCTION("""COMPUTED_VALUE"""),"P2_050")</f>
        <v>P2_050</v>
      </c>
      <c r="I313" s="1" t="str">
        <f ca="1">IFERROR(__xludf.DUMMYFUNCTION("""COMPUTED_VALUE"""),"Chiao Yu")</f>
        <v>Chiao Yu</v>
      </c>
    </row>
    <row r="314" spans="1:9" ht="12.7" x14ac:dyDescent="0.4">
      <c r="A314" s="2">
        <f ca="1">IFERROR(__xludf.DUMMYFUNCTION("""COMPUTED_VALUE"""),45401.3437026041)</f>
        <v>45401.343702604099</v>
      </c>
      <c r="B314" s="1" t="str">
        <f ca="1">IFERROR(__xludf.DUMMYFUNCTION("""COMPUTED_VALUE"""),"送修")</f>
        <v>送修</v>
      </c>
      <c r="C314" s="1" t="str">
        <f ca="1">IFERROR(__xludf.DUMMYFUNCTION("""COMPUTED_VALUE"""),"AGT000000006")</f>
        <v>AGT000000006</v>
      </c>
      <c r="D314" s="1" t="str">
        <f ca="1">IFERROR(__xludf.DUMMYFUNCTION("""COMPUTED_VALUE"""),"All/共用")</f>
        <v>All/共用</v>
      </c>
      <c r="E314" s="1" t="str">
        <f ca="1">IFERROR(__xludf.DUMMYFUNCTION("""COMPUTED_VALUE"""),"p1/庫存")</f>
        <v>p1/庫存</v>
      </c>
      <c r="F314" s="1">
        <f ca="1">IFERROR(__xludf.DUMMYFUNCTION("""COMPUTED_VALUE"""),1)</f>
        <v>1</v>
      </c>
      <c r="G314" s="1"/>
      <c r="H314" s="1" t="str">
        <f ca="1">IFERROR(__xludf.DUMMYFUNCTION("""COMPUTED_VALUE"""),"P1")</f>
        <v>P1</v>
      </c>
      <c r="I314" s="1" t="str">
        <f ca="1">IFERROR(__xludf.DUMMYFUNCTION("""COMPUTED_VALUE"""),"Chiao Yu")</f>
        <v>Chiao Yu</v>
      </c>
    </row>
    <row r="315" spans="1:9" ht="12.7" x14ac:dyDescent="0.4">
      <c r="A315" s="2">
        <f ca="1">IFERROR(__xludf.DUMMYFUNCTION("""COMPUTED_VALUE"""),45406.3441604861)</f>
        <v>45406.3441604861</v>
      </c>
      <c r="B315" s="1" t="str">
        <f ca="1">IFERROR(__xludf.DUMMYFUNCTION("""COMPUTED_VALUE"""),"送修")</f>
        <v>送修</v>
      </c>
      <c r="C315" s="1" t="str">
        <f ca="1">IFERROR(__xludf.DUMMYFUNCTION("""COMPUTED_VALUE"""),"ME0060000270")</f>
        <v>ME0060000270</v>
      </c>
      <c r="D315" s="1" t="str">
        <f ca="1">IFERROR(__xludf.DUMMYFUNCTION("""COMPUTED_VALUE"""),"All/共用")</f>
        <v>All/共用</v>
      </c>
      <c r="E315" s="1" t="str">
        <f ca="1">IFERROR(__xludf.DUMMYFUNCTION("""COMPUTED_VALUE"""),"p1/庫存")</f>
        <v>p1/庫存</v>
      </c>
      <c r="F315" s="1">
        <f ca="1">IFERROR(__xludf.DUMMYFUNCTION("""COMPUTED_VALUE"""),1)</f>
        <v>1</v>
      </c>
      <c r="G315" s="1"/>
      <c r="H315" s="1" t="str">
        <f ca="1">IFERROR(__xludf.DUMMYFUNCTION("""COMPUTED_VALUE"""),"P1_006")</f>
        <v>P1_006</v>
      </c>
      <c r="I315" s="1" t="str">
        <f ca="1">IFERROR(__xludf.DUMMYFUNCTION("""COMPUTED_VALUE"""),"Chiao Yu")</f>
        <v>Chiao Yu</v>
      </c>
    </row>
    <row r="316" spans="1:9" ht="12.7" x14ac:dyDescent="0.4">
      <c r="A316" s="2">
        <f ca="1">IFERROR(__xludf.DUMMYFUNCTION("""COMPUTED_VALUE"""),45406.344789618)</f>
        <v>45406.344789618001</v>
      </c>
      <c r="B316" s="1" t="str">
        <f ca="1">IFERROR(__xludf.DUMMYFUNCTION("""COMPUTED_VALUE"""),"送修")</f>
        <v>送修</v>
      </c>
      <c r="C316" s="1" t="str">
        <f ca="1">IFERROR(__xludf.DUMMYFUNCTION("""COMPUTED_VALUE"""),"ME0060000270")</f>
        <v>ME0060000270</v>
      </c>
      <c r="D316" s="1" t="str">
        <f ca="1">IFERROR(__xludf.DUMMYFUNCTION("""COMPUTED_VALUE"""),"All/共用")</f>
        <v>All/共用</v>
      </c>
      <c r="E316" s="1" t="str">
        <f ca="1">IFERROR(__xludf.DUMMYFUNCTION("""COMPUTED_VALUE"""),"p1/庫存")</f>
        <v>p1/庫存</v>
      </c>
      <c r="F316" s="1">
        <f ca="1">IFERROR(__xludf.DUMMYFUNCTION("""COMPUTED_VALUE"""),2)</f>
        <v>2</v>
      </c>
      <c r="G316" s="1"/>
      <c r="H316" s="1" t="str">
        <f ca="1">IFERROR(__xludf.DUMMYFUNCTION("""COMPUTED_VALUE"""),"P1_001")</f>
        <v>P1_001</v>
      </c>
      <c r="I316" s="1" t="str">
        <f ca="1">IFERROR(__xludf.DUMMYFUNCTION("""COMPUTED_VALUE"""),"Chiao Yu")</f>
        <v>Chiao Yu</v>
      </c>
    </row>
    <row r="317" spans="1:9" ht="12.7" x14ac:dyDescent="0.4">
      <c r="A317" s="2">
        <f ca="1">IFERROR(__xludf.DUMMYFUNCTION("""COMPUTED_VALUE"""),45406.444495625)</f>
        <v>45406.444495625001</v>
      </c>
      <c r="B317" s="1" t="str">
        <f ca="1">IFERROR(__xludf.DUMMYFUNCTION("""COMPUTED_VALUE"""),"返修")</f>
        <v>返修</v>
      </c>
      <c r="C317" s="1" t="str">
        <f ca="1">IFERROR(__xludf.DUMMYFUNCTION("""COMPUTED_VALUE"""),"ME0020000566")</f>
        <v>ME0020000566</v>
      </c>
      <c r="D317" s="1" t="str">
        <f ca="1">IFERROR(__xludf.DUMMYFUNCTION("""COMPUTED_VALUE"""),"All/共用")</f>
        <v>All/共用</v>
      </c>
      <c r="E317" s="1" t="str">
        <f ca="1">IFERROR(__xludf.DUMMYFUNCTION("""COMPUTED_VALUE"""),"p1/庫存")</f>
        <v>p1/庫存</v>
      </c>
      <c r="F317" s="1">
        <f ca="1">IFERROR(__xludf.DUMMYFUNCTION("""COMPUTED_VALUE"""),1)</f>
        <v>1</v>
      </c>
      <c r="G317" s="1" t="str">
        <f ca="1">IFERROR(__xludf.DUMMYFUNCTION("""COMPUTED_VALUE"""),"38X101-300")</f>
        <v>38X101-300</v>
      </c>
      <c r="H317" s="1" t="str">
        <f ca="1">IFERROR(__xludf.DUMMYFUNCTION("""COMPUTED_VALUE"""),"P1")</f>
        <v>P1</v>
      </c>
      <c r="I317" s="1" t="str">
        <f ca="1">IFERROR(__xludf.DUMMYFUNCTION("""COMPUTED_VALUE"""),"Simon")</f>
        <v>Simon</v>
      </c>
    </row>
    <row r="318" spans="1:9" ht="12.7" x14ac:dyDescent="0.4">
      <c r="A318" s="2">
        <f ca="1">IFERROR(__xludf.DUMMYFUNCTION("""COMPUTED_VALUE"""),45406.4473125578)</f>
        <v>45406.447312557801</v>
      </c>
      <c r="B318" s="1" t="str">
        <f ca="1">IFERROR(__xludf.DUMMYFUNCTION("""COMPUTED_VALUE"""),"返修")</f>
        <v>返修</v>
      </c>
      <c r="C318" s="1" t="str">
        <f ca="1">IFERROR(__xludf.DUMMYFUNCTION("""COMPUTED_VALUE"""),"ME0020000592")</f>
        <v>ME0020000592</v>
      </c>
      <c r="D318" s="1" t="str">
        <f ca="1">IFERROR(__xludf.DUMMYFUNCTION("""COMPUTED_VALUE"""),"All/共用")</f>
        <v>All/共用</v>
      </c>
      <c r="E318" s="1" t="str">
        <f ca="1">IFERROR(__xludf.DUMMYFUNCTION("""COMPUTED_VALUE"""),"p2/庫存")</f>
        <v>p2/庫存</v>
      </c>
      <c r="F318" s="1">
        <f ca="1">IFERROR(__xludf.DUMMYFUNCTION("""COMPUTED_VALUE"""),1)</f>
        <v>1</v>
      </c>
      <c r="G318" s="1" t="str">
        <f ca="1">IFERROR(__xludf.DUMMYFUNCTION("""COMPUTED_VALUE"""),"R9PTA0K0EXZ")</f>
        <v>R9PTA0K0EXZ</v>
      </c>
      <c r="H318" s="1" t="str">
        <f ca="1">IFERROR(__xludf.DUMMYFUNCTION("""COMPUTED_VALUE"""),"P2")</f>
        <v>P2</v>
      </c>
      <c r="I318" s="1" t="str">
        <f ca="1">IFERROR(__xludf.DUMMYFUNCTION("""COMPUTED_VALUE"""),"Simon")</f>
        <v>Simon</v>
      </c>
    </row>
    <row r="319" spans="1:9" ht="12.7" x14ac:dyDescent="0.4">
      <c r="A319" s="2">
        <f ca="1">IFERROR(__xludf.DUMMYFUNCTION("""COMPUTED_VALUE"""),45406.706785162)</f>
        <v>45406.706785162001</v>
      </c>
      <c r="B319" s="1" t="str">
        <f ca="1">IFERROR(__xludf.DUMMYFUNCTION("""COMPUTED_VALUE"""),"庫存調整")</f>
        <v>庫存調整</v>
      </c>
      <c r="C319" s="1" t="str">
        <f ca="1">IFERROR(__xludf.DUMMYFUNCTION("""COMPUTED_VALUE"""),"AGT000000001")</f>
        <v>AGT000000001</v>
      </c>
      <c r="D319" s="1" t="str">
        <f ca="1">IFERROR(__xludf.DUMMYFUNCTION("""COMPUTED_VALUE"""),"All/共用")</f>
        <v>All/共用</v>
      </c>
      <c r="E319" s="1" t="str">
        <f ca="1">IFERROR(__xludf.DUMMYFUNCTION("""COMPUTED_VALUE"""),"p1/庫存")</f>
        <v>p1/庫存</v>
      </c>
      <c r="F319" s="1">
        <f ca="1">IFERROR(__xludf.DUMMYFUNCTION("""COMPUTED_VALUE"""),-1)</f>
        <v>-1</v>
      </c>
      <c r="G319" s="1"/>
      <c r="H319" s="1" t="str">
        <f ca="1">IFERROR(__xludf.DUMMYFUNCTION("""COMPUTED_VALUE"""),"P1")</f>
        <v>P1</v>
      </c>
      <c r="I319" s="1" t="str">
        <f ca="1">IFERROR(__xludf.DUMMYFUNCTION("""COMPUTED_VALUE"""),"Simon")</f>
        <v>Simon</v>
      </c>
    </row>
    <row r="320" spans="1:9" ht="12.7" x14ac:dyDescent="0.4">
      <c r="A320" s="2">
        <f ca="1">IFERROR(__xludf.DUMMYFUNCTION("""COMPUTED_VALUE"""),45406.7078303356)</f>
        <v>45406.707830335603</v>
      </c>
      <c r="B320" s="1" t="str">
        <f ca="1">IFERROR(__xludf.DUMMYFUNCTION("""COMPUTED_VALUE"""),"庫存調整")</f>
        <v>庫存調整</v>
      </c>
      <c r="C320" s="1" t="str">
        <f ca="1">IFERROR(__xludf.DUMMYFUNCTION("""COMPUTED_VALUE"""),"AGT000000005")</f>
        <v>AGT000000005</v>
      </c>
      <c r="D320" s="1" t="str">
        <f ca="1">IFERROR(__xludf.DUMMYFUNCTION("""COMPUTED_VALUE"""),"All/共用")</f>
        <v>All/共用</v>
      </c>
      <c r="E320" s="1" t="str">
        <f ca="1">IFERROR(__xludf.DUMMYFUNCTION("""COMPUTED_VALUE"""),"p1/庫存")</f>
        <v>p1/庫存</v>
      </c>
      <c r="F320" s="1">
        <f ca="1">IFERROR(__xludf.DUMMYFUNCTION("""COMPUTED_VALUE"""),1)</f>
        <v>1</v>
      </c>
      <c r="G320" s="1"/>
      <c r="H320" s="1" t="str">
        <f ca="1">IFERROR(__xludf.DUMMYFUNCTION("""COMPUTED_VALUE"""),"P1")</f>
        <v>P1</v>
      </c>
      <c r="I320" s="1" t="str">
        <f ca="1">IFERROR(__xludf.DUMMYFUNCTION("""COMPUTED_VALUE"""),"Simon")</f>
        <v>Simon</v>
      </c>
    </row>
    <row r="321" spans="1:9" ht="12.7" x14ac:dyDescent="0.4">
      <c r="A321" s="2">
        <f ca="1">IFERROR(__xludf.DUMMYFUNCTION("""COMPUTED_VALUE"""),45406.7095355439)</f>
        <v>45406.709535543901</v>
      </c>
      <c r="B321" s="1" t="str">
        <f ca="1">IFERROR(__xludf.DUMMYFUNCTION("""COMPUTED_VALUE"""),"庫存調整")</f>
        <v>庫存調整</v>
      </c>
      <c r="C321" s="1" t="str">
        <f ca="1">IFERROR(__xludf.DUMMYFUNCTION("""COMPUTED_VALUE"""),"MM0090000047")</f>
        <v>MM0090000047</v>
      </c>
      <c r="D321" s="1" t="str">
        <f ca="1">IFERROR(__xludf.DUMMYFUNCTION("""COMPUTED_VALUE"""),"All/BA")</f>
        <v>All/BA</v>
      </c>
      <c r="E321" s="1" t="str">
        <f ca="1">IFERROR(__xludf.DUMMYFUNCTION("""COMPUTED_VALUE"""),"p1/庫存")</f>
        <v>p1/庫存</v>
      </c>
      <c r="F321" s="1">
        <f ca="1">IFERROR(__xludf.DUMMYFUNCTION("""COMPUTED_VALUE"""),8)</f>
        <v>8</v>
      </c>
      <c r="G321" s="1"/>
      <c r="H321" s="1" t="str">
        <f ca="1">IFERROR(__xludf.DUMMYFUNCTION("""COMPUTED_VALUE"""),"P1")</f>
        <v>P1</v>
      </c>
      <c r="I321" s="1" t="str">
        <f ca="1">IFERROR(__xludf.DUMMYFUNCTION("""COMPUTED_VALUE"""),"Simon")</f>
        <v>Simon</v>
      </c>
    </row>
    <row r="322" spans="1:9" ht="12.7" x14ac:dyDescent="0.4">
      <c r="A322" s="2">
        <f ca="1">IFERROR(__xludf.DUMMYFUNCTION("""COMPUTED_VALUE"""),45406.7114498263)</f>
        <v>45406.711449826304</v>
      </c>
      <c r="B322" s="1" t="str">
        <f ca="1">IFERROR(__xludf.DUMMYFUNCTION("""COMPUTED_VALUE"""),"庫存調整")</f>
        <v>庫存調整</v>
      </c>
      <c r="C322" s="1" t="str">
        <f ca="1">IFERROR(__xludf.DUMMYFUNCTION("""COMPUTED_VALUE"""),"ME0230000240")</f>
        <v>ME0230000240</v>
      </c>
      <c r="D322" s="1" t="str">
        <f ca="1">IFERROR(__xludf.DUMMYFUNCTION("""COMPUTED_VALUE"""),"All/共用")</f>
        <v>All/共用</v>
      </c>
      <c r="E322" s="1" t="str">
        <f ca="1">IFERROR(__xludf.DUMMYFUNCTION("""COMPUTED_VALUE"""),"p1/庫存")</f>
        <v>p1/庫存</v>
      </c>
      <c r="F322" s="1">
        <f ca="1">IFERROR(__xludf.DUMMYFUNCTION("""COMPUTED_VALUE"""),-1)</f>
        <v>-1</v>
      </c>
      <c r="G322" s="1"/>
      <c r="H322" s="1" t="str">
        <f ca="1">IFERROR(__xludf.DUMMYFUNCTION("""COMPUTED_VALUE"""),"P1")</f>
        <v>P1</v>
      </c>
      <c r="I322" s="1" t="str">
        <f ca="1">IFERROR(__xludf.DUMMYFUNCTION("""COMPUTED_VALUE"""),"Simon")</f>
        <v>Simon</v>
      </c>
    </row>
    <row r="323" spans="1:9" ht="12.7" x14ac:dyDescent="0.4">
      <c r="A323" s="2">
        <f ca="1">IFERROR(__xludf.DUMMYFUNCTION("""COMPUTED_VALUE"""),45406.7141133217)</f>
        <v>45406.714113321701</v>
      </c>
      <c r="B323" s="1" t="str">
        <f ca="1">IFERROR(__xludf.DUMMYFUNCTION("""COMPUTED_VALUE"""),"庫存調整")</f>
        <v>庫存調整</v>
      </c>
      <c r="C323" s="1" t="str">
        <f ca="1">IFERROR(__xludf.DUMMYFUNCTION("""COMPUTED_VALUE"""),"AGT000000007")</f>
        <v>AGT000000007</v>
      </c>
      <c r="D323" s="1" t="str">
        <f ca="1">IFERROR(__xludf.DUMMYFUNCTION("""COMPUTED_VALUE"""),"All/共用")</f>
        <v>All/共用</v>
      </c>
      <c r="E323" s="1" t="str">
        <f ca="1">IFERROR(__xludf.DUMMYFUNCTION("""COMPUTED_VALUE"""),"p1/庫存")</f>
        <v>p1/庫存</v>
      </c>
      <c r="F323" s="1">
        <f ca="1">IFERROR(__xludf.DUMMYFUNCTION("""COMPUTED_VALUE"""),6)</f>
        <v>6</v>
      </c>
      <c r="G323" s="1"/>
      <c r="H323" s="1" t="str">
        <f ca="1">IFERROR(__xludf.DUMMYFUNCTION("""COMPUTED_VALUE"""),"P1")</f>
        <v>P1</v>
      </c>
      <c r="I323" s="1" t="str">
        <f ca="1">IFERROR(__xludf.DUMMYFUNCTION("""COMPUTED_VALUE"""),"Simon")</f>
        <v>Simon</v>
      </c>
    </row>
    <row r="324" spans="1:9" ht="12.7" x14ac:dyDescent="0.4">
      <c r="A324" s="2">
        <f ca="1">IFERROR(__xludf.DUMMYFUNCTION("""COMPUTED_VALUE"""),45406.7174852777)</f>
        <v>45406.717485277703</v>
      </c>
      <c r="B324" s="1" t="str">
        <f ca="1">IFERROR(__xludf.DUMMYFUNCTION("""COMPUTED_VALUE"""),"庫存調整")</f>
        <v>庫存調整</v>
      </c>
      <c r="C324" s="1" t="str">
        <f ca="1">IFERROR(__xludf.DUMMYFUNCTION("""COMPUTED_VALUE"""),"AGT000000008")</f>
        <v>AGT000000008</v>
      </c>
      <c r="D324" s="1" t="str">
        <f ca="1">IFERROR(__xludf.DUMMYFUNCTION("""COMPUTED_VALUE"""),"All/RL")</f>
        <v>All/RL</v>
      </c>
      <c r="E324" s="1" t="str">
        <f ca="1">IFERROR(__xludf.DUMMYFUNCTION("""COMPUTED_VALUE"""),"p1/庫存")</f>
        <v>p1/庫存</v>
      </c>
      <c r="F324" s="1">
        <f ca="1">IFERROR(__xludf.DUMMYFUNCTION("""COMPUTED_VALUE"""),1)</f>
        <v>1</v>
      </c>
      <c r="G324" s="1"/>
      <c r="H324" s="1" t="str">
        <f ca="1">IFERROR(__xludf.DUMMYFUNCTION("""COMPUTED_VALUE"""),"P1")</f>
        <v>P1</v>
      </c>
      <c r="I324" s="1" t="str">
        <f ca="1">IFERROR(__xludf.DUMMYFUNCTION("""COMPUTED_VALUE"""),"Simon")</f>
        <v>Simon</v>
      </c>
    </row>
    <row r="325" spans="1:9" ht="12.7" x14ac:dyDescent="0.4">
      <c r="A325" s="2">
        <f ca="1">IFERROR(__xludf.DUMMYFUNCTION("""COMPUTED_VALUE"""),45406.7196062384)</f>
        <v>45406.719606238403</v>
      </c>
      <c r="B325" s="1" t="str">
        <f ca="1">IFERROR(__xludf.DUMMYFUNCTION("""COMPUTED_VALUE"""),"庫存調整")</f>
        <v>庫存調整</v>
      </c>
      <c r="C325" s="1" t="str">
        <f ca="1">IFERROR(__xludf.DUMMYFUNCTION("""COMPUTED_VALUE"""),"AGT000000004")</f>
        <v>AGT000000004</v>
      </c>
      <c r="D325" s="1" t="str">
        <f ca="1">IFERROR(__xludf.DUMMYFUNCTION("""COMPUTED_VALUE"""),"All/共用")</f>
        <v>All/共用</v>
      </c>
      <c r="E325" s="1" t="str">
        <f ca="1">IFERROR(__xludf.DUMMYFUNCTION("""COMPUTED_VALUE"""),"p1/庫存")</f>
        <v>p1/庫存</v>
      </c>
      <c r="F325" s="1">
        <f ca="1">IFERROR(__xludf.DUMMYFUNCTION("""COMPUTED_VALUE"""),-2)</f>
        <v>-2</v>
      </c>
      <c r="G325" s="1"/>
      <c r="H325" s="1" t="str">
        <f ca="1">IFERROR(__xludf.DUMMYFUNCTION("""COMPUTED_VALUE"""),"P1")</f>
        <v>P1</v>
      </c>
      <c r="I325" s="1" t="str">
        <f ca="1">IFERROR(__xludf.DUMMYFUNCTION("""COMPUTED_VALUE"""),"Simon")</f>
        <v>Simon</v>
      </c>
    </row>
    <row r="326" spans="1:9" ht="12.7" x14ac:dyDescent="0.4">
      <c r="A326" s="2">
        <f ca="1">IFERROR(__xludf.DUMMYFUNCTION("""COMPUTED_VALUE"""),45407.0243046064)</f>
        <v>45407.024304606399</v>
      </c>
      <c r="B326" s="1" t="str">
        <f ca="1">IFERROR(__xludf.DUMMYFUNCTION("""COMPUTED_VALUE"""),"庫存調整")</f>
        <v>庫存調整</v>
      </c>
      <c r="C326" s="1" t="str">
        <f ca="1">IFERROR(__xludf.DUMMYFUNCTION("""COMPUTED_VALUE"""),"AGT000000007")</f>
        <v>AGT000000007</v>
      </c>
      <c r="D326" s="1" t="str">
        <f ca="1">IFERROR(__xludf.DUMMYFUNCTION("""COMPUTED_VALUE"""),"All/共用")</f>
        <v>All/共用</v>
      </c>
      <c r="E326" s="1" t="str">
        <f ca="1">IFERROR(__xludf.DUMMYFUNCTION("""COMPUTED_VALUE"""),"p1/庫存")</f>
        <v>p1/庫存</v>
      </c>
      <c r="F326" s="1">
        <f ca="1">IFERROR(__xludf.DUMMYFUNCTION("""COMPUTED_VALUE"""),-3)</f>
        <v>-3</v>
      </c>
      <c r="G326" s="1"/>
      <c r="H326" s="1" t="str">
        <f ca="1">IFERROR(__xludf.DUMMYFUNCTION("""COMPUTED_VALUE"""),"P1")</f>
        <v>P1</v>
      </c>
      <c r="I326" s="1" t="str">
        <f ca="1">IFERROR(__xludf.DUMMYFUNCTION("""COMPUTED_VALUE"""),"Chiao Yu")</f>
        <v>Chiao Yu</v>
      </c>
    </row>
    <row r="327" spans="1:9" ht="12.7" x14ac:dyDescent="0.4">
      <c r="A327" s="2">
        <f ca="1">IFERROR(__xludf.DUMMYFUNCTION("""COMPUTED_VALUE"""),45407.0250742361)</f>
        <v>45407.025074236102</v>
      </c>
      <c r="B327" s="1" t="str">
        <f ca="1">IFERROR(__xludf.DUMMYFUNCTION("""COMPUTED_VALUE"""),"庫存調整")</f>
        <v>庫存調整</v>
      </c>
      <c r="C327" s="1" t="str">
        <f ca="1">IFERROR(__xludf.DUMMYFUNCTION("""COMPUTED_VALUE"""),"AGT000000007")</f>
        <v>AGT000000007</v>
      </c>
      <c r="D327" s="1" t="str">
        <f ca="1">IFERROR(__xludf.DUMMYFUNCTION("""COMPUTED_VALUE"""),"All/共用")</f>
        <v>All/共用</v>
      </c>
      <c r="E327" s="1" t="str">
        <f ca="1">IFERROR(__xludf.DUMMYFUNCTION("""COMPUTED_VALUE"""),"p2/庫存")</f>
        <v>p2/庫存</v>
      </c>
      <c r="F327" s="1">
        <f ca="1">IFERROR(__xludf.DUMMYFUNCTION("""COMPUTED_VALUE"""),3)</f>
        <v>3</v>
      </c>
      <c r="G327" s="1"/>
      <c r="H327" s="1" t="str">
        <f ca="1">IFERROR(__xludf.DUMMYFUNCTION("""COMPUTED_VALUE"""),"P2")</f>
        <v>P2</v>
      </c>
      <c r="I327" s="1" t="str">
        <f ca="1">IFERROR(__xludf.DUMMYFUNCTION("""COMPUTED_VALUE"""),"Chiao Yu")</f>
        <v>Chiao Yu</v>
      </c>
    </row>
    <row r="328" spans="1:9" ht="12.7" x14ac:dyDescent="0.4">
      <c r="A328" s="2">
        <f ca="1">IFERROR(__xludf.DUMMYFUNCTION("""COMPUTED_VALUE"""),45407.2762373495)</f>
        <v>45407.276237349499</v>
      </c>
      <c r="B328" s="1" t="str">
        <f ca="1">IFERROR(__xludf.DUMMYFUNCTION("""COMPUTED_VALUE"""),"領料")</f>
        <v>領料</v>
      </c>
      <c r="C328" s="1" t="str">
        <f ca="1">IFERROR(__xludf.DUMMYFUNCTION("""COMPUTED_VALUE"""),"AGT000000007")</f>
        <v>AGT000000007</v>
      </c>
      <c r="D328" s="1" t="str">
        <f ca="1">IFERROR(__xludf.DUMMYFUNCTION("""COMPUTED_VALUE"""),"All/共用")</f>
        <v>All/共用</v>
      </c>
      <c r="E328" s="1" t="str">
        <f ca="1">IFERROR(__xludf.DUMMYFUNCTION("""COMPUTED_VALUE"""),"p2/庫存")</f>
        <v>p2/庫存</v>
      </c>
      <c r="F328" s="1">
        <f ca="1">IFERROR(__xludf.DUMMYFUNCTION("""COMPUTED_VALUE"""),1)</f>
        <v>1</v>
      </c>
      <c r="G328" s="1"/>
      <c r="H328" s="1" t="str">
        <f ca="1">IFERROR(__xludf.DUMMYFUNCTION("""COMPUTED_VALUE"""),"P2_4001")</f>
        <v>P2_4001</v>
      </c>
      <c r="I328" s="1"/>
    </row>
    <row r="329" spans="1:9" ht="12.7" x14ac:dyDescent="0.4">
      <c r="A329" s="2">
        <f ca="1">IFERROR(__xludf.DUMMYFUNCTION("""COMPUTED_VALUE"""),45407.2784734259)</f>
        <v>45407.278473425897</v>
      </c>
      <c r="B329" s="1" t="str">
        <f ca="1">IFERROR(__xludf.DUMMYFUNCTION("""COMPUTED_VALUE"""),"庫存調整")</f>
        <v>庫存調整</v>
      </c>
      <c r="C329" s="1" t="str">
        <f ca="1">IFERROR(__xludf.DUMMYFUNCTION("""COMPUTED_VALUE"""),"ME0010000263")</f>
        <v>ME0010000263</v>
      </c>
      <c r="D329" s="1" t="str">
        <f ca="1">IFERROR(__xludf.DUMMYFUNCTION("""COMPUTED_VALUE"""),"All/共用")</f>
        <v>All/共用</v>
      </c>
      <c r="E329" s="1" t="str">
        <f ca="1">IFERROR(__xludf.DUMMYFUNCTION("""COMPUTED_VALUE"""),"p2/庫存")</f>
        <v>p2/庫存</v>
      </c>
      <c r="F329" s="1">
        <f ca="1">IFERROR(__xludf.DUMMYFUNCTION("""COMPUTED_VALUE"""),2)</f>
        <v>2</v>
      </c>
      <c r="G329" s="1"/>
      <c r="H329" s="1" t="str">
        <f ca="1">IFERROR(__xludf.DUMMYFUNCTION("""COMPUTED_VALUE"""),"P2")</f>
        <v>P2</v>
      </c>
      <c r="I329" s="1" t="str">
        <f ca="1">IFERROR(__xludf.DUMMYFUNCTION("""COMPUTED_VALUE"""),"Chiao Yu")</f>
        <v>Chiao Yu</v>
      </c>
    </row>
    <row r="330" spans="1:9" ht="12.7" x14ac:dyDescent="0.4">
      <c r="A330" s="2">
        <f ca="1">IFERROR(__xludf.DUMMYFUNCTION("""COMPUTED_VALUE"""),45407.2791518287)</f>
        <v>45407.279151828698</v>
      </c>
      <c r="B330" s="1" t="str">
        <f ca="1">IFERROR(__xludf.DUMMYFUNCTION("""COMPUTED_VALUE"""),"庫存調整")</f>
        <v>庫存調整</v>
      </c>
      <c r="C330" s="1" t="str">
        <f ca="1">IFERROR(__xludf.DUMMYFUNCTION("""COMPUTED_VALUE"""),"ME0010000382")</f>
        <v>ME0010000382</v>
      </c>
      <c r="D330" s="1" t="str">
        <f ca="1">IFERROR(__xludf.DUMMYFUNCTION("""COMPUTED_VALUE"""),"All/共用")</f>
        <v>All/共用</v>
      </c>
      <c r="E330" s="1" t="str">
        <f ca="1">IFERROR(__xludf.DUMMYFUNCTION("""COMPUTED_VALUE"""),"p2/庫存")</f>
        <v>p2/庫存</v>
      </c>
      <c r="F330" s="1">
        <f ca="1">IFERROR(__xludf.DUMMYFUNCTION("""COMPUTED_VALUE"""),1)</f>
        <v>1</v>
      </c>
      <c r="G330" s="1"/>
      <c r="H330" s="1" t="str">
        <f ca="1">IFERROR(__xludf.DUMMYFUNCTION("""COMPUTED_VALUE"""),"P2")</f>
        <v>P2</v>
      </c>
      <c r="I330" s="1" t="str">
        <f ca="1">IFERROR(__xludf.DUMMYFUNCTION("""COMPUTED_VALUE"""),"Chiao Yu")</f>
        <v>Chiao Yu</v>
      </c>
    </row>
    <row r="331" spans="1:9" ht="12.7" x14ac:dyDescent="0.4">
      <c r="A331" s="2">
        <f ca="1">IFERROR(__xludf.DUMMYFUNCTION("""COMPUTED_VALUE"""),45407.2797467824)</f>
        <v>45407.279746782398</v>
      </c>
      <c r="B331" s="1" t="str">
        <f ca="1">IFERROR(__xludf.DUMMYFUNCTION("""COMPUTED_VALUE"""),"庫存調整")</f>
        <v>庫存調整</v>
      </c>
      <c r="C331" s="1" t="str">
        <f ca="1">IFERROR(__xludf.DUMMYFUNCTION("""COMPUTED_VALUE"""),"ME0020000525")</f>
        <v>ME0020000525</v>
      </c>
      <c r="D331" s="1" t="str">
        <f ca="1">IFERROR(__xludf.DUMMYFUNCTION("""COMPUTED_VALUE"""),"All/共用")</f>
        <v>All/共用</v>
      </c>
      <c r="E331" s="1" t="str">
        <f ca="1">IFERROR(__xludf.DUMMYFUNCTION("""COMPUTED_VALUE"""),"p2/庫存")</f>
        <v>p2/庫存</v>
      </c>
      <c r="F331" s="1">
        <f ca="1">IFERROR(__xludf.DUMMYFUNCTION("""COMPUTED_VALUE"""),-1)</f>
        <v>-1</v>
      </c>
      <c r="G331" s="1"/>
      <c r="H331" s="1" t="str">
        <f ca="1">IFERROR(__xludf.DUMMYFUNCTION("""COMPUTED_VALUE"""),"P2")</f>
        <v>P2</v>
      </c>
      <c r="I331" s="1" t="str">
        <f ca="1">IFERROR(__xludf.DUMMYFUNCTION("""COMPUTED_VALUE"""),"Chiao Yu")</f>
        <v>Chiao Yu</v>
      </c>
    </row>
    <row r="332" spans="1:9" ht="12.7" x14ac:dyDescent="0.4">
      <c r="A332" s="2">
        <f ca="1">IFERROR(__xludf.DUMMYFUNCTION("""COMPUTED_VALUE"""),45407.2832006018)</f>
        <v>45407.2832006018</v>
      </c>
      <c r="B332" s="1" t="str">
        <f ca="1">IFERROR(__xludf.DUMMYFUNCTION("""COMPUTED_VALUE"""),"庫存調整")</f>
        <v>庫存調整</v>
      </c>
      <c r="C332" s="1" t="str">
        <f ca="1">IFERROR(__xludf.DUMMYFUNCTION("""COMPUTED_VALUE"""),"ME0050000167")</f>
        <v>ME0050000167</v>
      </c>
      <c r="D332" s="1" t="str">
        <f ca="1">IFERROR(__xludf.DUMMYFUNCTION("""COMPUTED_VALUE"""),"All/共用")</f>
        <v>All/共用</v>
      </c>
      <c r="E332" s="1" t="str">
        <f ca="1">IFERROR(__xludf.DUMMYFUNCTION("""COMPUTED_VALUE"""),"p2/庫存")</f>
        <v>p2/庫存</v>
      </c>
      <c r="F332" s="1">
        <f ca="1">IFERROR(__xludf.DUMMYFUNCTION("""COMPUTED_VALUE"""),1)</f>
        <v>1</v>
      </c>
      <c r="G332" s="1"/>
      <c r="H332" s="1" t="str">
        <f ca="1">IFERROR(__xludf.DUMMYFUNCTION("""COMPUTED_VALUE"""),"P2")</f>
        <v>P2</v>
      </c>
      <c r="I332" s="1" t="str">
        <f ca="1">IFERROR(__xludf.DUMMYFUNCTION("""COMPUTED_VALUE"""),"Chiao Yu")</f>
        <v>Chiao Yu</v>
      </c>
    </row>
    <row r="333" spans="1:9" ht="12.7" x14ac:dyDescent="0.4">
      <c r="A333" s="2">
        <f ca="1">IFERROR(__xludf.DUMMYFUNCTION("""COMPUTED_VALUE"""),45407.2837464236)</f>
        <v>45407.2837464236</v>
      </c>
      <c r="B333" s="1" t="str">
        <f ca="1">IFERROR(__xludf.DUMMYFUNCTION("""COMPUTED_VALUE"""),"庫存調整")</f>
        <v>庫存調整</v>
      </c>
      <c r="C333" s="1" t="str">
        <f ca="1">IFERROR(__xludf.DUMMYFUNCTION("""COMPUTED_VALUE"""),"ME0050000167")</f>
        <v>ME0050000167</v>
      </c>
      <c r="D333" s="1" t="str">
        <f ca="1">IFERROR(__xludf.DUMMYFUNCTION("""COMPUTED_VALUE"""),"All/共用")</f>
        <v>All/共用</v>
      </c>
      <c r="E333" s="1" t="str">
        <f ca="1">IFERROR(__xludf.DUMMYFUNCTION("""COMPUTED_VALUE"""),"p2/庫存")</f>
        <v>p2/庫存</v>
      </c>
      <c r="F333" s="1">
        <f ca="1">IFERROR(__xludf.DUMMYFUNCTION("""COMPUTED_VALUE"""),-2)</f>
        <v>-2</v>
      </c>
      <c r="G333" s="1"/>
      <c r="H333" s="1" t="str">
        <f ca="1">IFERROR(__xludf.DUMMYFUNCTION("""COMPUTED_VALUE"""),"P2")</f>
        <v>P2</v>
      </c>
      <c r="I333" s="1" t="str">
        <f ca="1">IFERROR(__xludf.DUMMYFUNCTION("""COMPUTED_VALUE"""),"Chiao Yu")</f>
        <v>Chiao Yu</v>
      </c>
    </row>
    <row r="334" spans="1:9" ht="12.7" x14ac:dyDescent="0.4">
      <c r="A334" s="2">
        <f ca="1">IFERROR(__xludf.DUMMYFUNCTION("""COMPUTED_VALUE"""),45407.2841521875)</f>
        <v>45407.284152187502</v>
      </c>
      <c r="B334" s="1" t="str">
        <f ca="1">IFERROR(__xludf.DUMMYFUNCTION("""COMPUTED_VALUE"""),"庫存調整")</f>
        <v>庫存調整</v>
      </c>
      <c r="C334" s="1" t="str">
        <f ca="1">IFERROR(__xludf.DUMMYFUNCTION("""COMPUTED_VALUE"""),"ME0050000168")</f>
        <v>ME0050000168</v>
      </c>
      <c r="D334" s="1" t="str">
        <f ca="1">IFERROR(__xludf.DUMMYFUNCTION("""COMPUTED_VALUE"""),"All/共用")</f>
        <v>All/共用</v>
      </c>
      <c r="E334" s="1" t="str">
        <f ca="1">IFERROR(__xludf.DUMMYFUNCTION("""COMPUTED_VALUE"""),"p2/庫存")</f>
        <v>p2/庫存</v>
      </c>
      <c r="F334" s="1">
        <f ca="1">IFERROR(__xludf.DUMMYFUNCTION("""COMPUTED_VALUE"""),-1)</f>
        <v>-1</v>
      </c>
      <c r="G334" s="1"/>
      <c r="H334" s="1" t="str">
        <f ca="1">IFERROR(__xludf.DUMMYFUNCTION("""COMPUTED_VALUE"""),"P2")</f>
        <v>P2</v>
      </c>
      <c r="I334" s="1" t="str">
        <f ca="1">IFERROR(__xludf.DUMMYFUNCTION("""COMPUTED_VALUE"""),"Chiao Yu")</f>
        <v>Chiao Yu</v>
      </c>
    </row>
    <row r="335" spans="1:9" ht="12.7" x14ac:dyDescent="0.4">
      <c r="A335" s="2">
        <f ca="1">IFERROR(__xludf.DUMMYFUNCTION("""COMPUTED_VALUE"""),45407.2859598148)</f>
        <v>45407.285959814799</v>
      </c>
      <c r="B335" s="1" t="str">
        <f ca="1">IFERROR(__xludf.DUMMYFUNCTION("""COMPUTED_VALUE"""),"庫存調整")</f>
        <v>庫存調整</v>
      </c>
      <c r="C335" s="1" t="str">
        <f ca="1">IFERROR(__xludf.DUMMYFUNCTION("""COMPUTED_VALUE"""),"ME0070000003")</f>
        <v>ME0070000003</v>
      </c>
      <c r="D335" s="1" t="str">
        <f ca="1">IFERROR(__xludf.DUMMYFUNCTION("""COMPUTED_VALUE"""),"All/共用")</f>
        <v>All/共用</v>
      </c>
      <c r="E335" s="1" t="str">
        <f ca="1">IFERROR(__xludf.DUMMYFUNCTION("""COMPUTED_VALUE"""),"p2/庫存")</f>
        <v>p2/庫存</v>
      </c>
      <c r="F335" s="1">
        <f ca="1">IFERROR(__xludf.DUMMYFUNCTION("""COMPUTED_VALUE"""),1)</f>
        <v>1</v>
      </c>
      <c r="G335" s="1"/>
      <c r="H335" s="1" t="str">
        <f ca="1">IFERROR(__xludf.DUMMYFUNCTION("""COMPUTED_VALUE"""),"P2")</f>
        <v>P2</v>
      </c>
      <c r="I335" s="1" t="str">
        <f ca="1">IFERROR(__xludf.DUMMYFUNCTION("""COMPUTED_VALUE"""),"Chiao Yu")</f>
        <v>Chiao Yu</v>
      </c>
    </row>
    <row r="336" spans="1:9" ht="12.7" x14ac:dyDescent="0.4">
      <c r="A336" s="2">
        <f ca="1">IFERROR(__xludf.DUMMYFUNCTION("""COMPUTED_VALUE"""),45407.2870438657)</f>
        <v>45407.287043865697</v>
      </c>
      <c r="B336" s="1" t="str">
        <f ca="1">IFERROR(__xludf.DUMMYFUNCTION("""COMPUTED_VALUE"""),"庫存調整")</f>
        <v>庫存調整</v>
      </c>
      <c r="C336" s="1" t="str">
        <f ca="1">IFERROR(__xludf.DUMMYFUNCTION("""COMPUTED_VALUE"""),"ME0230000240")</f>
        <v>ME0230000240</v>
      </c>
      <c r="D336" s="1" t="str">
        <f ca="1">IFERROR(__xludf.DUMMYFUNCTION("""COMPUTED_VALUE"""),"All/共用")</f>
        <v>All/共用</v>
      </c>
      <c r="E336" s="1" t="str">
        <f ca="1">IFERROR(__xludf.DUMMYFUNCTION("""COMPUTED_VALUE"""),"p2/庫存")</f>
        <v>p2/庫存</v>
      </c>
      <c r="F336" s="1">
        <f ca="1">IFERROR(__xludf.DUMMYFUNCTION("""COMPUTED_VALUE"""),1)</f>
        <v>1</v>
      </c>
      <c r="G336" s="1"/>
      <c r="H336" s="1" t="str">
        <f ca="1">IFERROR(__xludf.DUMMYFUNCTION("""COMPUTED_VALUE"""),"P2")</f>
        <v>P2</v>
      </c>
      <c r="I336" s="1" t="str">
        <f ca="1">IFERROR(__xludf.DUMMYFUNCTION("""COMPUTED_VALUE"""),"Chiao Yu")</f>
        <v>Chiao Yu</v>
      </c>
    </row>
    <row r="337" spans="1:9" ht="12.7" x14ac:dyDescent="0.4">
      <c r="A337" s="2">
        <f ca="1">IFERROR(__xludf.DUMMYFUNCTION("""COMPUTED_VALUE"""),45407.3406388657)</f>
        <v>45407.340638865702</v>
      </c>
      <c r="B337" s="1" t="str">
        <f ca="1">IFERROR(__xludf.DUMMYFUNCTION("""COMPUTED_VALUE"""),"領料")</f>
        <v>領料</v>
      </c>
      <c r="C337" s="1" t="str">
        <f ca="1">IFERROR(__xludf.DUMMYFUNCTION("""COMPUTED_VALUE"""),"MM0010000272")</f>
        <v>MM0010000272</v>
      </c>
      <c r="D337" s="1" t="str">
        <f ca="1">IFERROR(__xludf.DUMMYFUNCTION("""COMPUTED_VALUE"""),"All/RL")</f>
        <v>All/RL</v>
      </c>
      <c r="E337" s="1" t="str">
        <f ca="1">IFERROR(__xludf.DUMMYFUNCTION("""COMPUTED_VALUE"""),"p2/庫存")</f>
        <v>p2/庫存</v>
      </c>
      <c r="F337" s="1">
        <f ca="1">IFERROR(__xludf.DUMMYFUNCTION("""COMPUTED_VALUE"""),1)</f>
        <v>1</v>
      </c>
      <c r="G337" s="1"/>
      <c r="H337" s="1" t="str">
        <f ca="1">IFERROR(__xludf.DUMMYFUNCTION("""COMPUTED_VALUE"""),"P2")</f>
        <v>P2</v>
      </c>
      <c r="I337" s="1" t="str">
        <f ca="1">IFERROR(__xludf.DUMMYFUNCTION("""COMPUTED_VALUE"""),"Chiao Yu")</f>
        <v>Chiao Yu</v>
      </c>
    </row>
    <row r="338" spans="1:9" ht="12.7" x14ac:dyDescent="0.4">
      <c r="A338" s="2">
        <f ca="1">IFERROR(__xludf.DUMMYFUNCTION("""COMPUTED_VALUE"""),45408.1536043981)</f>
        <v>45408.153604398103</v>
      </c>
      <c r="B338" s="1" t="str">
        <f ca="1">IFERROR(__xludf.DUMMYFUNCTION("""COMPUTED_VALUE"""),"領料")</f>
        <v>領料</v>
      </c>
      <c r="C338" s="1" t="str">
        <f ca="1">IFERROR(__xludf.DUMMYFUNCTION("""COMPUTED_VALUE"""),"ME0010000385")</f>
        <v>ME0010000385</v>
      </c>
      <c r="D338" s="1" t="str">
        <f ca="1">IFERROR(__xludf.DUMMYFUNCTION("""COMPUTED_VALUE"""),"All/共用")</f>
        <v>All/共用</v>
      </c>
      <c r="E338" s="1" t="str">
        <f ca="1">IFERROR(__xludf.DUMMYFUNCTION("""COMPUTED_VALUE"""),"p1/庫存")</f>
        <v>p1/庫存</v>
      </c>
      <c r="F338" s="1">
        <f ca="1">IFERROR(__xludf.DUMMYFUNCTION("""COMPUTED_VALUE"""),1)</f>
        <v>1</v>
      </c>
      <c r="G338" s="1"/>
      <c r="H338" s="1" t="str">
        <f ca="1">IFERROR(__xludf.DUMMYFUNCTION("""COMPUTED_VALUE"""),"P1_3001")</f>
        <v>P1_3001</v>
      </c>
      <c r="I338" s="1" t="str">
        <f ca="1">IFERROR(__xludf.DUMMYFUNCTION("""COMPUTED_VALUE"""),"Chiao Yu")</f>
        <v>Chiao Yu</v>
      </c>
    </row>
    <row r="339" spans="1:9" ht="12.7" x14ac:dyDescent="0.4">
      <c r="A339" s="2">
        <f ca="1">IFERROR(__xludf.DUMMYFUNCTION("""COMPUTED_VALUE"""),45408.1924236805)</f>
        <v>45408.192423680499</v>
      </c>
      <c r="B339" s="1" t="str">
        <f ca="1">IFERROR(__xludf.DUMMYFUNCTION("""COMPUTED_VALUE"""),"庫存調整")</f>
        <v>庫存調整</v>
      </c>
      <c r="C339" s="1">
        <f ca="1">IFERROR(__xludf.DUMMYFUNCTION("""COMPUTED_VALUE"""),1)</f>
        <v>1</v>
      </c>
      <c r="D339" s="1" t="str">
        <f ca="1">IFERROR(__xludf.DUMMYFUNCTION("""COMPUTED_VALUE"""),"All/共用")</f>
        <v>All/共用</v>
      </c>
      <c r="E339" s="1" t="str">
        <f ca="1">IFERROR(__xludf.DUMMYFUNCTION("""COMPUTED_VALUE"""),"p1/庫存")</f>
        <v>p1/庫存</v>
      </c>
      <c r="F339" s="1">
        <f ca="1">IFERROR(__xludf.DUMMYFUNCTION("""COMPUTED_VALUE"""),1)</f>
        <v>1</v>
      </c>
      <c r="G339" s="1"/>
      <c r="H339" s="1" t="str">
        <f ca="1">IFERROR(__xludf.DUMMYFUNCTION("""COMPUTED_VALUE"""),"P1")</f>
        <v>P1</v>
      </c>
      <c r="I339" s="1" t="str">
        <f ca="1">IFERROR(__xludf.DUMMYFUNCTION("""COMPUTED_VALUE"""),"Chiao Yu")</f>
        <v>Chiao Yu</v>
      </c>
    </row>
    <row r="340" spans="1:9" ht="12.7" x14ac:dyDescent="0.4">
      <c r="A340" s="2">
        <f ca="1">IFERROR(__xludf.DUMMYFUNCTION("""COMPUTED_VALUE"""),45408.1932989236)</f>
        <v>45408.193298923601</v>
      </c>
      <c r="B340" s="1" t="str">
        <f ca="1">IFERROR(__xludf.DUMMYFUNCTION("""COMPUTED_VALUE"""),"庫存調整")</f>
        <v>庫存調整</v>
      </c>
      <c r="C340" s="1" t="str">
        <f ca="1">IFERROR(__xludf.DUMMYFUNCTION("""COMPUTED_VALUE"""),"MM0220000045")</f>
        <v>MM0220000045</v>
      </c>
      <c r="D340" s="1" t="str">
        <f ca="1">IFERROR(__xludf.DUMMYFUNCTION("""COMPUTED_VALUE"""),"All/共用")</f>
        <v>All/共用</v>
      </c>
      <c r="E340" s="1" t="str">
        <f ca="1">IFERROR(__xludf.DUMMYFUNCTION("""COMPUTED_VALUE"""),"p2/庫存")</f>
        <v>p2/庫存</v>
      </c>
      <c r="F340" s="1">
        <f ca="1">IFERROR(__xludf.DUMMYFUNCTION("""COMPUTED_VALUE"""),-1)</f>
        <v>-1</v>
      </c>
      <c r="G340" s="1"/>
      <c r="H340" s="1" t="str">
        <f ca="1">IFERROR(__xludf.DUMMYFUNCTION("""COMPUTED_VALUE"""),"P2")</f>
        <v>P2</v>
      </c>
      <c r="I340" s="1" t="str">
        <f ca="1">IFERROR(__xludf.DUMMYFUNCTION("""COMPUTED_VALUE"""),"Chiao Yu")</f>
        <v>Chiao Yu</v>
      </c>
    </row>
    <row r="341" spans="1:9" ht="12.7" x14ac:dyDescent="0.4">
      <c r="A341" s="2">
        <f ca="1">IFERROR(__xludf.DUMMYFUNCTION("""COMPUTED_VALUE"""),45408.1941602777)</f>
        <v>45408.194160277701</v>
      </c>
      <c r="B341" s="1" t="str">
        <f ca="1">IFERROR(__xludf.DUMMYFUNCTION("""COMPUTED_VALUE"""),"庫存調整")</f>
        <v>庫存調整</v>
      </c>
      <c r="C341" s="1" t="str">
        <f ca="1">IFERROR(__xludf.DUMMYFUNCTION("""COMPUTED_VALUE"""),"MM0220000045")</f>
        <v>MM0220000045</v>
      </c>
      <c r="D341" s="1" t="str">
        <f ca="1">IFERROR(__xludf.DUMMYFUNCTION("""COMPUTED_VALUE"""),"All/共用")</f>
        <v>All/共用</v>
      </c>
      <c r="E341" s="1" t="str">
        <f ca="1">IFERROR(__xludf.DUMMYFUNCTION("""COMPUTED_VALUE"""),"p1/庫存")</f>
        <v>p1/庫存</v>
      </c>
      <c r="F341" s="1">
        <f ca="1">IFERROR(__xludf.DUMMYFUNCTION("""COMPUTED_VALUE"""),1)</f>
        <v>1</v>
      </c>
      <c r="G341" s="1"/>
      <c r="H341" s="1" t="str">
        <f ca="1">IFERROR(__xludf.DUMMYFUNCTION("""COMPUTED_VALUE"""),"P1")</f>
        <v>P1</v>
      </c>
      <c r="I341" s="1" t="str">
        <f ca="1">IFERROR(__xludf.DUMMYFUNCTION("""COMPUTED_VALUE"""),"Chiao Yu")</f>
        <v>Chiao Yu</v>
      </c>
    </row>
    <row r="342" spans="1:9" ht="12.7" x14ac:dyDescent="0.4">
      <c r="A342" s="2">
        <f ca="1">IFERROR(__xludf.DUMMYFUNCTION("""COMPUTED_VALUE"""),45408.1958517476)</f>
        <v>45408.195851747601</v>
      </c>
      <c r="B342" s="1" t="str">
        <f ca="1">IFERROR(__xludf.DUMMYFUNCTION("""COMPUTED_VALUE"""),"領料")</f>
        <v>領料</v>
      </c>
      <c r="C342" s="1" t="str">
        <f ca="1">IFERROR(__xludf.DUMMYFUNCTION("""COMPUTED_VALUE"""),"AGT000000007")</f>
        <v>AGT000000007</v>
      </c>
      <c r="D342" s="1" t="str">
        <f ca="1">IFERROR(__xludf.DUMMYFUNCTION("""COMPUTED_VALUE"""),"All/共用")</f>
        <v>All/共用</v>
      </c>
      <c r="E342" s="1" t="str">
        <f ca="1">IFERROR(__xludf.DUMMYFUNCTION("""COMPUTED_VALUE"""),"p2/庫存")</f>
        <v>p2/庫存</v>
      </c>
      <c r="F342" s="1">
        <f ca="1">IFERROR(__xludf.DUMMYFUNCTION("""COMPUTED_VALUE"""),1)</f>
        <v>1</v>
      </c>
      <c r="G342" s="1"/>
      <c r="H342" s="1" t="str">
        <f ca="1">IFERROR(__xludf.DUMMYFUNCTION("""COMPUTED_VALUE"""),"P2_4002")</f>
        <v>P2_4002</v>
      </c>
      <c r="I342" s="1" t="str">
        <f ca="1">IFERROR(__xludf.DUMMYFUNCTION("""COMPUTED_VALUE"""),"Simon")</f>
        <v>Simon</v>
      </c>
    </row>
    <row r="343" spans="1:9" ht="12.7" x14ac:dyDescent="0.4">
      <c r="A343" s="2">
        <f ca="1">IFERROR(__xludf.DUMMYFUNCTION("""COMPUTED_VALUE"""),45408.2202174768)</f>
        <v>45408.220217476803</v>
      </c>
      <c r="B343" s="1" t="str">
        <f ca="1">IFERROR(__xludf.DUMMYFUNCTION("""COMPUTED_VALUE"""),"領料")</f>
        <v>領料</v>
      </c>
      <c r="C343" s="1" t="str">
        <f ca="1">IFERROR(__xludf.DUMMYFUNCTION("""COMPUTED_VALUE"""),"MM0260000147")</f>
        <v>MM0260000147</v>
      </c>
      <c r="D343" s="1" t="str">
        <f ca="1">IFERROR(__xludf.DUMMYFUNCTION("""COMPUTED_VALUE"""),"All/BA")</f>
        <v>All/BA</v>
      </c>
      <c r="E343" s="1" t="str">
        <f ca="1">IFERROR(__xludf.DUMMYFUNCTION("""COMPUTED_VALUE"""),"p2/庫存")</f>
        <v>p2/庫存</v>
      </c>
      <c r="F343" s="1">
        <f ca="1">IFERROR(__xludf.DUMMYFUNCTION("""COMPUTED_VALUE"""),37)</f>
        <v>37</v>
      </c>
      <c r="G343" s="1"/>
      <c r="H343" s="1" t="str">
        <f ca="1">IFERROR(__xludf.DUMMYFUNCTION("""COMPUTED_VALUE"""),"P2")</f>
        <v>P2</v>
      </c>
      <c r="I343" s="1" t="str">
        <f ca="1">IFERROR(__xludf.DUMMYFUNCTION("""COMPUTED_VALUE"""),"Chiao Yu")</f>
        <v>Chiao Yu</v>
      </c>
    </row>
    <row r="344" spans="1:9" ht="12.7" x14ac:dyDescent="0.4">
      <c r="A344" s="2">
        <f ca="1">IFERROR(__xludf.DUMMYFUNCTION("""COMPUTED_VALUE"""),45408.2214896875)</f>
        <v>45408.221489687501</v>
      </c>
      <c r="B344" s="1" t="str">
        <f ca="1">IFERROR(__xludf.DUMMYFUNCTION("""COMPUTED_VALUE"""),"領料")</f>
        <v>領料</v>
      </c>
      <c r="C344" s="1" t="str">
        <f ca="1">IFERROR(__xludf.DUMMYFUNCTION("""COMPUTED_VALUE"""),"MM0260000258")</f>
        <v>MM0260000258</v>
      </c>
      <c r="D344" s="1" t="str">
        <f ca="1">IFERROR(__xludf.DUMMYFUNCTION("""COMPUTED_VALUE"""),"All/BA")</f>
        <v>All/BA</v>
      </c>
      <c r="E344" s="1" t="str">
        <f ca="1">IFERROR(__xludf.DUMMYFUNCTION("""COMPUTED_VALUE"""),"p2/庫存")</f>
        <v>p2/庫存</v>
      </c>
      <c r="F344" s="1">
        <f ca="1">IFERROR(__xludf.DUMMYFUNCTION("""COMPUTED_VALUE"""),37)</f>
        <v>37</v>
      </c>
      <c r="G344" s="1"/>
      <c r="H344" s="1" t="str">
        <f ca="1">IFERROR(__xludf.DUMMYFUNCTION("""COMPUTED_VALUE"""),"P2")</f>
        <v>P2</v>
      </c>
      <c r="I344" s="1" t="str">
        <f ca="1">IFERROR(__xludf.DUMMYFUNCTION("""COMPUTED_VALUE"""),"Chiao Yu")</f>
        <v>Chiao Yu</v>
      </c>
    </row>
    <row r="345" spans="1:9" ht="12.7" x14ac:dyDescent="0.4">
      <c r="A345" s="2">
        <f ca="1">IFERROR(__xludf.DUMMYFUNCTION("""COMPUTED_VALUE"""),45408.221885706)</f>
        <v>45408.221885706</v>
      </c>
      <c r="B345" s="1" t="str">
        <f ca="1">IFERROR(__xludf.DUMMYFUNCTION("""COMPUTED_VALUE"""),"領料")</f>
        <v>領料</v>
      </c>
      <c r="C345" s="1" t="str">
        <f ca="1">IFERROR(__xludf.DUMMYFUNCTION("""COMPUTED_VALUE"""),"MM0260000149")</f>
        <v>MM0260000149</v>
      </c>
      <c r="D345" s="1" t="str">
        <f ca="1">IFERROR(__xludf.DUMMYFUNCTION("""COMPUTED_VALUE"""),"All/BA")</f>
        <v>All/BA</v>
      </c>
      <c r="E345" s="1" t="str">
        <f ca="1">IFERROR(__xludf.DUMMYFUNCTION("""COMPUTED_VALUE"""),"p2/庫存")</f>
        <v>p2/庫存</v>
      </c>
      <c r="F345" s="1">
        <f ca="1">IFERROR(__xludf.DUMMYFUNCTION("""COMPUTED_VALUE"""),38)</f>
        <v>38</v>
      </c>
      <c r="G345" s="1"/>
      <c r="H345" s="1" t="str">
        <f ca="1">IFERROR(__xludf.DUMMYFUNCTION("""COMPUTED_VALUE"""),"P2")</f>
        <v>P2</v>
      </c>
      <c r="I345" s="1" t="str">
        <f ca="1">IFERROR(__xludf.DUMMYFUNCTION("""COMPUTED_VALUE"""),"Chiao Yu")</f>
        <v>Chiao Yu</v>
      </c>
    </row>
    <row r="346" spans="1:9" ht="12.7" x14ac:dyDescent="0.4">
      <c r="A346" s="2">
        <f ca="1">IFERROR(__xludf.DUMMYFUNCTION("""COMPUTED_VALUE"""),45408.736267824)</f>
        <v>45408.736267824002</v>
      </c>
      <c r="B346" s="1" t="str">
        <f ca="1">IFERROR(__xludf.DUMMYFUNCTION("""COMPUTED_VALUE"""),"庫存調整")</f>
        <v>庫存調整</v>
      </c>
      <c r="C346" s="1" t="str">
        <f ca="1">IFERROR(__xludf.DUMMYFUNCTION("""COMPUTED_VALUE"""),"MM0220000046")</f>
        <v>MM0220000046</v>
      </c>
      <c r="D346" s="1" t="str">
        <f ca="1">IFERROR(__xludf.DUMMYFUNCTION("""COMPUTED_VALUE"""),"All/共用")</f>
        <v>All/共用</v>
      </c>
      <c r="E346" s="1" t="str">
        <f ca="1">IFERROR(__xludf.DUMMYFUNCTION("""COMPUTED_VALUE"""),"p1/庫存")</f>
        <v>p1/庫存</v>
      </c>
      <c r="F346" s="1">
        <f ca="1">IFERROR(__xludf.DUMMYFUNCTION("""COMPUTED_VALUE"""),1)</f>
        <v>1</v>
      </c>
      <c r="G346" s="1"/>
      <c r="H346" s="1" t="str">
        <f ca="1">IFERROR(__xludf.DUMMYFUNCTION("""COMPUTED_VALUE"""),"P1")</f>
        <v>P1</v>
      </c>
      <c r="I346" s="1" t="str">
        <f ca="1">IFERROR(__xludf.DUMMYFUNCTION("""COMPUTED_VALUE"""),"Simon")</f>
        <v>Simon</v>
      </c>
    </row>
    <row r="347" spans="1:9" ht="12.7" x14ac:dyDescent="0.4">
      <c r="A347" s="2">
        <f ca="1">IFERROR(__xludf.DUMMYFUNCTION("""COMPUTED_VALUE"""),45408.7380754051)</f>
        <v>45408.738075405097</v>
      </c>
      <c r="B347" s="1" t="str">
        <f ca="1">IFERROR(__xludf.DUMMYFUNCTION("""COMPUTED_VALUE"""),"庫存調整")</f>
        <v>庫存調整</v>
      </c>
      <c r="C347" s="1" t="str">
        <f ca="1">IFERROR(__xludf.DUMMYFUNCTION("""COMPUTED_VALUE"""),"MM0220000043")</f>
        <v>MM0220000043</v>
      </c>
      <c r="D347" s="1" t="str">
        <f ca="1">IFERROR(__xludf.DUMMYFUNCTION("""COMPUTED_VALUE"""),"All/共用")</f>
        <v>All/共用</v>
      </c>
      <c r="E347" s="1" t="str">
        <f ca="1">IFERROR(__xludf.DUMMYFUNCTION("""COMPUTED_VALUE"""),"p1/庫存")</f>
        <v>p1/庫存</v>
      </c>
      <c r="F347" s="1">
        <f ca="1">IFERROR(__xludf.DUMMYFUNCTION("""COMPUTED_VALUE"""),1)</f>
        <v>1</v>
      </c>
      <c r="G347" s="1"/>
      <c r="H347" s="1" t="str">
        <f ca="1">IFERROR(__xludf.DUMMYFUNCTION("""COMPUTED_VALUE"""),"P1")</f>
        <v>P1</v>
      </c>
      <c r="I347" s="1" t="str">
        <f ca="1">IFERROR(__xludf.DUMMYFUNCTION("""COMPUTED_VALUE"""),"Simon")</f>
        <v>Simon</v>
      </c>
    </row>
    <row r="348" spans="1:9" ht="12.7" x14ac:dyDescent="0.4">
      <c r="A348" s="2">
        <f ca="1">IFERROR(__xludf.DUMMYFUNCTION("""COMPUTED_VALUE"""),45408.7391766666)</f>
        <v>45408.739176666597</v>
      </c>
      <c r="B348" s="1" t="str">
        <f ca="1">IFERROR(__xludf.DUMMYFUNCTION("""COMPUTED_VALUE"""),"庫存調整")</f>
        <v>庫存調整</v>
      </c>
      <c r="C348" s="1" t="str">
        <f ca="1">IFERROR(__xludf.DUMMYFUNCTION("""COMPUTED_VALUE"""),"AGT000000006")</f>
        <v>AGT000000006</v>
      </c>
      <c r="D348" s="1" t="str">
        <f ca="1">IFERROR(__xludf.DUMMYFUNCTION("""COMPUTED_VALUE"""),"All/共用")</f>
        <v>All/共用</v>
      </c>
      <c r="E348" s="1" t="str">
        <f ca="1">IFERROR(__xludf.DUMMYFUNCTION("""COMPUTED_VALUE"""),"p2/庫存")</f>
        <v>p2/庫存</v>
      </c>
      <c r="F348" s="1">
        <f ca="1">IFERROR(__xludf.DUMMYFUNCTION("""COMPUTED_VALUE"""),-2)</f>
        <v>-2</v>
      </c>
      <c r="G348" s="1"/>
      <c r="H348" s="1" t="str">
        <f ca="1">IFERROR(__xludf.DUMMYFUNCTION("""COMPUTED_VALUE"""),"P2")</f>
        <v>P2</v>
      </c>
      <c r="I348" s="1" t="str">
        <f ca="1">IFERROR(__xludf.DUMMYFUNCTION("""COMPUTED_VALUE"""),"Simon")</f>
        <v>Simon</v>
      </c>
    </row>
    <row r="349" spans="1:9" ht="12.7" x14ac:dyDescent="0.4">
      <c r="A349" s="2">
        <f ca="1">IFERROR(__xludf.DUMMYFUNCTION("""COMPUTED_VALUE"""),45408.7401917939)</f>
        <v>45408.740191793899</v>
      </c>
      <c r="B349" s="1" t="str">
        <f ca="1">IFERROR(__xludf.DUMMYFUNCTION("""COMPUTED_VALUE"""),"庫存調整")</f>
        <v>庫存調整</v>
      </c>
      <c r="C349" s="1" t="str">
        <f ca="1">IFERROR(__xludf.DUMMYFUNCTION("""COMPUTED_VALUE"""),"AGT000000006")</f>
        <v>AGT000000006</v>
      </c>
      <c r="D349" s="1" t="str">
        <f ca="1">IFERROR(__xludf.DUMMYFUNCTION("""COMPUTED_VALUE"""),"All/共用")</f>
        <v>All/共用</v>
      </c>
      <c r="E349" s="1" t="str">
        <f ca="1">IFERROR(__xludf.DUMMYFUNCTION("""COMPUTED_VALUE"""),"p1/庫存")</f>
        <v>p1/庫存</v>
      </c>
      <c r="F349" s="1">
        <f ca="1">IFERROR(__xludf.DUMMYFUNCTION("""COMPUTED_VALUE"""),2)</f>
        <v>2</v>
      </c>
      <c r="G349" s="1"/>
      <c r="H349" s="1" t="str">
        <f ca="1">IFERROR(__xludf.DUMMYFUNCTION("""COMPUTED_VALUE"""),"P1")</f>
        <v>P1</v>
      </c>
      <c r="I349" s="1" t="str">
        <f ca="1">IFERROR(__xludf.DUMMYFUNCTION("""COMPUTED_VALUE"""),"Simon")</f>
        <v>Simon</v>
      </c>
    </row>
    <row r="350" spans="1:9" ht="12.7" x14ac:dyDescent="0.4">
      <c r="A350" s="2">
        <f ca="1">IFERROR(__xludf.DUMMYFUNCTION("""COMPUTED_VALUE"""),45408.7413559953)</f>
        <v>45408.741355995298</v>
      </c>
      <c r="B350" s="1" t="str">
        <f ca="1">IFERROR(__xludf.DUMMYFUNCTION("""COMPUTED_VALUE"""),"領料")</f>
        <v>領料</v>
      </c>
      <c r="C350" s="1" t="str">
        <f ca="1">IFERROR(__xludf.DUMMYFUNCTION("""COMPUTED_VALUE"""),"AGT000000006")</f>
        <v>AGT000000006</v>
      </c>
      <c r="D350" s="1" t="str">
        <f ca="1">IFERROR(__xludf.DUMMYFUNCTION("""COMPUTED_VALUE"""),"All/共用")</f>
        <v>All/共用</v>
      </c>
      <c r="E350" s="1" t="str">
        <f ca="1">IFERROR(__xludf.DUMMYFUNCTION("""COMPUTED_VALUE"""),"p1/庫存")</f>
        <v>p1/庫存</v>
      </c>
      <c r="F350" s="1">
        <f ca="1">IFERROR(__xludf.DUMMYFUNCTION("""COMPUTED_VALUE"""),1)</f>
        <v>1</v>
      </c>
      <c r="G350" s="1"/>
      <c r="H350" s="1" t="str">
        <f ca="1">IFERROR(__xludf.DUMMYFUNCTION("""COMPUTED_VALUE"""),"P1_3001")</f>
        <v>P1_3001</v>
      </c>
      <c r="I350" s="1" t="str">
        <f ca="1">IFERROR(__xludf.DUMMYFUNCTION("""COMPUTED_VALUE"""),"Simon")</f>
        <v>Simon</v>
      </c>
    </row>
    <row r="351" spans="1:9" ht="12.7" x14ac:dyDescent="0.4">
      <c r="A351" s="2">
        <f ca="1">IFERROR(__xludf.DUMMYFUNCTION("""COMPUTED_VALUE"""),45408.7425757407)</f>
        <v>45408.742575740704</v>
      </c>
      <c r="B351" s="1" t="str">
        <f ca="1">IFERROR(__xludf.DUMMYFUNCTION("""COMPUTED_VALUE"""),"領料")</f>
        <v>領料</v>
      </c>
      <c r="C351" s="1" t="str">
        <f ca="1">IFERROR(__xludf.DUMMYFUNCTION("""COMPUTED_VALUE"""),"AGT000000005")</f>
        <v>AGT000000005</v>
      </c>
      <c r="D351" s="1" t="str">
        <f ca="1">IFERROR(__xludf.DUMMYFUNCTION("""COMPUTED_VALUE"""),"All/共用")</f>
        <v>All/共用</v>
      </c>
      <c r="E351" s="1" t="str">
        <f ca="1">IFERROR(__xludf.DUMMYFUNCTION("""COMPUTED_VALUE"""),"p1/庫存")</f>
        <v>p1/庫存</v>
      </c>
      <c r="F351" s="1">
        <f ca="1">IFERROR(__xludf.DUMMYFUNCTION("""COMPUTED_VALUE"""),1)</f>
        <v>1</v>
      </c>
      <c r="G351" s="1"/>
      <c r="H351" s="1" t="str">
        <f ca="1">IFERROR(__xludf.DUMMYFUNCTION("""COMPUTED_VALUE"""),"P1_3001")</f>
        <v>P1_3001</v>
      </c>
      <c r="I351" s="1" t="str">
        <f ca="1">IFERROR(__xludf.DUMMYFUNCTION("""COMPUTED_VALUE"""),"Simon")</f>
        <v>Simon</v>
      </c>
    </row>
    <row r="352" spans="1:9" ht="12.7" x14ac:dyDescent="0.4">
      <c r="A352" s="2">
        <f ca="1">IFERROR(__xludf.DUMMYFUNCTION("""COMPUTED_VALUE"""),45408.7436448148)</f>
        <v>45408.7436448148</v>
      </c>
      <c r="B352" s="1" t="str">
        <f ca="1">IFERROR(__xludf.DUMMYFUNCTION("""COMPUTED_VALUE"""),"領料")</f>
        <v>領料</v>
      </c>
      <c r="C352" s="1" t="str">
        <f ca="1">IFERROR(__xludf.DUMMYFUNCTION("""COMPUTED_VALUE"""),"ME0060000270")</f>
        <v>ME0060000270</v>
      </c>
      <c r="D352" s="1" t="str">
        <f ca="1">IFERROR(__xludf.DUMMYFUNCTION("""COMPUTED_VALUE"""),"All/共用")</f>
        <v>All/共用</v>
      </c>
      <c r="E352" s="1" t="str">
        <f ca="1">IFERROR(__xludf.DUMMYFUNCTION("""COMPUTED_VALUE"""),"p1/庫存")</f>
        <v>p1/庫存</v>
      </c>
      <c r="F352" s="1">
        <f ca="1">IFERROR(__xludf.DUMMYFUNCTION("""COMPUTED_VALUE"""),1)</f>
        <v>1</v>
      </c>
      <c r="G352" s="1"/>
      <c r="H352" s="1" t="str">
        <f ca="1">IFERROR(__xludf.DUMMYFUNCTION("""COMPUTED_VALUE"""),"P1_3001")</f>
        <v>P1_3001</v>
      </c>
      <c r="I352" s="1" t="str">
        <f ca="1">IFERROR(__xludf.DUMMYFUNCTION("""COMPUTED_VALUE"""),"Simon")</f>
        <v>Simon</v>
      </c>
    </row>
    <row r="353" spans="1:9" ht="12.7" x14ac:dyDescent="0.4">
      <c r="A353" s="2">
        <f ca="1">IFERROR(__xludf.DUMMYFUNCTION("""COMPUTED_VALUE"""),45408.7455794212)</f>
        <v>45408.7455794212</v>
      </c>
      <c r="B353" s="1" t="str">
        <f ca="1">IFERROR(__xludf.DUMMYFUNCTION("""COMPUTED_VALUE"""),"庫存調整")</f>
        <v>庫存調整</v>
      </c>
      <c r="C353" s="1" t="str">
        <f ca="1">IFERROR(__xludf.DUMMYFUNCTION("""COMPUTED_VALUE"""),"ME0230000240")</f>
        <v>ME0230000240</v>
      </c>
      <c r="D353" s="1" t="str">
        <f ca="1">IFERROR(__xludf.DUMMYFUNCTION("""COMPUTED_VALUE"""),"All/共用")</f>
        <v>All/共用</v>
      </c>
      <c r="E353" s="1" t="str">
        <f ca="1">IFERROR(__xludf.DUMMYFUNCTION("""COMPUTED_VALUE"""),"p1/庫存")</f>
        <v>p1/庫存</v>
      </c>
      <c r="F353" s="1">
        <f ca="1">IFERROR(__xludf.DUMMYFUNCTION("""COMPUTED_VALUE"""),2)</f>
        <v>2</v>
      </c>
      <c r="G353" s="1"/>
      <c r="H353" s="1" t="str">
        <f ca="1">IFERROR(__xludf.DUMMYFUNCTION("""COMPUTED_VALUE"""),"P1")</f>
        <v>P1</v>
      </c>
      <c r="I353" s="1" t="str">
        <f ca="1">IFERROR(__xludf.DUMMYFUNCTION("""COMPUTED_VALUE"""),"Simon")</f>
        <v>Simon</v>
      </c>
    </row>
    <row r="354" spans="1:9" ht="12.7" x14ac:dyDescent="0.4">
      <c r="A354" s="2">
        <f ca="1">IFERROR(__xludf.DUMMYFUNCTION("""COMPUTED_VALUE"""),45412.0517662037)</f>
        <v>45412.051766203702</v>
      </c>
      <c r="B354" s="1" t="str">
        <f ca="1">IFERROR(__xludf.DUMMYFUNCTION("""COMPUTED_VALUE"""),"返修")</f>
        <v>返修</v>
      </c>
      <c r="C354" s="1" t="str">
        <f ca="1">IFERROR(__xludf.DUMMYFUNCTION("""COMPUTED_VALUE"""),"A00100000731")</f>
        <v>A00100000731</v>
      </c>
      <c r="D354" s="1" t="str">
        <f ca="1">IFERROR(__xludf.DUMMYFUNCTION("""COMPUTED_VALUE"""),"All/BA")</f>
        <v>All/BA</v>
      </c>
      <c r="E354" s="1" t="str">
        <f ca="1">IFERROR(__xludf.DUMMYFUNCTION("""COMPUTED_VALUE"""),"p2/庫存")</f>
        <v>p2/庫存</v>
      </c>
      <c r="F354" s="1">
        <f ca="1">IFERROR(__xludf.DUMMYFUNCTION("""COMPUTED_VALUE"""),1)</f>
        <v>1</v>
      </c>
      <c r="G354" s="1" t="str">
        <f ca="1">IFERROR(__xludf.DUMMYFUNCTION("""COMPUTED_VALUE"""),"10F179")</f>
        <v>10F179</v>
      </c>
      <c r="H354" s="1" t="str">
        <f ca="1">IFERROR(__xludf.DUMMYFUNCTION("""COMPUTED_VALUE"""),"P2_048")</f>
        <v>P2_048</v>
      </c>
      <c r="I354" s="1" t="str">
        <f ca="1">IFERROR(__xludf.DUMMYFUNCTION("""COMPUTED_VALUE"""),"Chiao Yu")</f>
        <v>Chiao Yu</v>
      </c>
    </row>
    <row r="355" spans="1:9" ht="12.7" x14ac:dyDescent="0.4">
      <c r="A355" s="2">
        <f ca="1">IFERROR(__xludf.DUMMYFUNCTION("""COMPUTED_VALUE"""),45415.4763989814)</f>
        <v>45415.476398981402</v>
      </c>
      <c r="B355" s="1" t="str">
        <f ca="1">IFERROR(__xludf.DUMMYFUNCTION("""COMPUTED_VALUE"""),"庫存調整")</f>
        <v>庫存調整</v>
      </c>
      <c r="C355" s="1" t="str">
        <f ca="1">IFERROR(__xludf.DUMMYFUNCTION("""COMPUTED_VALUE"""),"ME0050000167")</f>
        <v>ME0050000167</v>
      </c>
      <c r="D355" s="1" t="str">
        <f ca="1">IFERROR(__xludf.DUMMYFUNCTION("""COMPUTED_VALUE"""),"All/共用")</f>
        <v>All/共用</v>
      </c>
      <c r="E355" s="1" t="str">
        <f ca="1">IFERROR(__xludf.DUMMYFUNCTION("""COMPUTED_VALUE"""),"p2/庫存")</f>
        <v>p2/庫存</v>
      </c>
      <c r="F355" s="1">
        <f ca="1">IFERROR(__xludf.DUMMYFUNCTION("""COMPUTED_VALUE"""),1)</f>
        <v>1</v>
      </c>
      <c r="G355" s="1"/>
      <c r="H355" s="1" t="str">
        <f ca="1">IFERROR(__xludf.DUMMYFUNCTION("""COMPUTED_VALUE"""),"P2")</f>
        <v>P2</v>
      </c>
      <c r="I355" s="1" t="str">
        <f ca="1">IFERROR(__xludf.DUMMYFUNCTION("""COMPUTED_VALUE"""),"Chiao Yu")</f>
        <v>Chiao Yu</v>
      </c>
    </row>
    <row r="356" spans="1:9" ht="12.7" x14ac:dyDescent="0.4">
      <c r="A356" s="2">
        <f ca="1">IFERROR(__xludf.DUMMYFUNCTION("""COMPUTED_VALUE"""),45415.4772601967)</f>
        <v>45415.477260196698</v>
      </c>
      <c r="B356" s="1" t="str">
        <f ca="1">IFERROR(__xludf.DUMMYFUNCTION("""COMPUTED_VALUE"""),"庫存調整")</f>
        <v>庫存調整</v>
      </c>
      <c r="C356" s="1" t="str">
        <f ca="1">IFERROR(__xludf.DUMMYFUNCTION("""COMPUTED_VALUE"""),"ME0050000168")</f>
        <v>ME0050000168</v>
      </c>
      <c r="D356" s="1" t="str">
        <f ca="1">IFERROR(__xludf.DUMMYFUNCTION("""COMPUTED_VALUE"""),"All/共用")</f>
        <v>All/共用</v>
      </c>
      <c r="E356" s="1" t="str">
        <f ca="1">IFERROR(__xludf.DUMMYFUNCTION("""COMPUTED_VALUE"""),"p2/庫存")</f>
        <v>p2/庫存</v>
      </c>
      <c r="F356" s="1">
        <f ca="1">IFERROR(__xludf.DUMMYFUNCTION("""COMPUTED_VALUE"""),1)</f>
        <v>1</v>
      </c>
      <c r="G356" s="1"/>
      <c r="H356" s="1" t="str">
        <f ca="1">IFERROR(__xludf.DUMMYFUNCTION("""COMPUTED_VALUE"""),"P2")</f>
        <v>P2</v>
      </c>
      <c r="I356" s="1" t="str">
        <f ca="1">IFERROR(__xludf.DUMMYFUNCTION("""COMPUTED_VALUE"""),"Chiao Yu")</f>
        <v>Chiao Yu</v>
      </c>
    </row>
    <row r="357" spans="1:9" ht="12.7" x14ac:dyDescent="0.4">
      <c r="A357" s="2">
        <f ca="1">IFERROR(__xludf.DUMMYFUNCTION("""COMPUTED_VALUE"""),45415.6851480787)</f>
        <v>45415.685148078701</v>
      </c>
      <c r="B357" s="1" t="str">
        <f ca="1">IFERROR(__xludf.DUMMYFUNCTION("""COMPUTED_VALUE"""),"進貨")</f>
        <v>進貨</v>
      </c>
      <c r="C357" s="1" t="str">
        <f ca="1">IFERROR(__xludf.DUMMYFUNCTION("""COMPUTED_VALUE"""),"AGT000000005")</f>
        <v>AGT000000005</v>
      </c>
      <c r="D357" s="1" t="str">
        <f ca="1">IFERROR(__xludf.DUMMYFUNCTION("""COMPUTED_VALUE"""),"All/共用")</f>
        <v>All/共用</v>
      </c>
      <c r="E357" s="1" t="str">
        <f ca="1">IFERROR(__xludf.DUMMYFUNCTION("""COMPUTED_VALUE"""),"p1/庫存")</f>
        <v>p1/庫存</v>
      </c>
      <c r="F357" s="1">
        <f ca="1">IFERROR(__xludf.DUMMYFUNCTION("""COMPUTED_VALUE"""),3)</f>
        <v>3</v>
      </c>
      <c r="G357" s="1"/>
      <c r="H357" s="1" t="str">
        <f ca="1">IFERROR(__xludf.DUMMYFUNCTION("""COMPUTED_VALUE"""),"P1")</f>
        <v>P1</v>
      </c>
      <c r="I357" s="1" t="str">
        <f ca="1">IFERROR(__xludf.DUMMYFUNCTION("""COMPUTED_VALUE"""),"Chiao Yu")</f>
        <v>Chiao Yu</v>
      </c>
    </row>
    <row r="358" spans="1:9" ht="12.7" x14ac:dyDescent="0.4">
      <c r="A358" s="2">
        <f ca="1">IFERROR(__xludf.DUMMYFUNCTION("""COMPUTED_VALUE"""),45415.6857115972)</f>
        <v>45415.685711597202</v>
      </c>
      <c r="B358" s="1" t="str">
        <f ca="1">IFERROR(__xludf.DUMMYFUNCTION("""COMPUTED_VALUE"""),"進貨")</f>
        <v>進貨</v>
      </c>
      <c r="C358" s="1" t="str">
        <f ca="1">IFERROR(__xludf.DUMMYFUNCTION("""COMPUTED_VALUE"""),"AGT000000006")</f>
        <v>AGT000000006</v>
      </c>
      <c r="D358" s="1" t="str">
        <f ca="1">IFERROR(__xludf.DUMMYFUNCTION("""COMPUTED_VALUE"""),"All/共用")</f>
        <v>All/共用</v>
      </c>
      <c r="E358" s="1" t="str">
        <f ca="1">IFERROR(__xludf.DUMMYFUNCTION("""COMPUTED_VALUE"""),"p1/庫存")</f>
        <v>p1/庫存</v>
      </c>
      <c r="F358" s="1">
        <f ca="1">IFERROR(__xludf.DUMMYFUNCTION("""COMPUTED_VALUE"""),1)</f>
        <v>1</v>
      </c>
      <c r="G358" s="1"/>
      <c r="H358" s="1" t="str">
        <f ca="1">IFERROR(__xludf.DUMMYFUNCTION("""COMPUTED_VALUE"""),"P1")</f>
        <v>P1</v>
      </c>
      <c r="I358" s="1" t="str">
        <f ca="1">IFERROR(__xludf.DUMMYFUNCTION("""COMPUTED_VALUE"""),"Chiao Yu")</f>
        <v>Chiao Yu</v>
      </c>
    </row>
    <row r="359" spans="1:9" ht="12.7" x14ac:dyDescent="0.4">
      <c r="A359" s="2">
        <f ca="1">IFERROR(__xludf.DUMMYFUNCTION("""COMPUTED_VALUE"""),45415.6861451041)</f>
        <v>45415.686145104097</v>
      </c>
      <c r="B359" s="1" t="str">
        <f ca="1">IFERROR(__xludf.DUMMYFUNCTION("""COMPUTED_VALUE"""),"進貨")</f>
        <v>進貨</v>
      </c>
      <c r="C359" s="1" t="str">
        <f ca="1">IFERROR(__xludf.DUMMYFUNCTION("""COMPUTED_VALUE"""),"AGT000000006")</f>
        <v>AGT000000006</v>
      </c>
      <c r="D359" s="1" t="str">
        <f ca="1">IFERROR(__xludf.DUMMYFUNCTION("""COMPUTED_VALUE"""),"All/共用")</f>
        <v>All/共用</v>
      </c>
      <c r="E359" s="1" t="str">
        <f ca="1">IFERROR(__xludf.DUMMYFUNCTION("""COMPUTED_VALUE"""),"p2/庫存")</f>
        <v>p2/庫存</v>
      </c>
      <c r="F359" s="1">
        <f ca="1">IFERROR(__xludf.DUMMYFUNCTION("""COMPUTED_VALUE"""),2)</f>
        <v>2</v>
      </c>
      <c r="G359" s="1"/>
      <c r="H359" s="1" t="str">
        <f ca="1">IFERROR(__xludf.DUMMYFUNCTION("""COMPUTED_VALUE"""),"P2")</f>
        <v>P2</v>
      </c>
      <c r="I359" s="1" t="str">
        <f ca="1">IFERROR(__xludf.DUMMYFUNCTION("""COMPUTED_VALUE"""),"Chiao Yu")</f>
        <v>Chiao Yu</v>
      </c>
    </row>
    <row r="360" spans="1:9" ht="12.7" x14ac:dyDescent="0.4">
      <c r="A360" s="2">
        <f ca="1">IFERROR(__xludf.DUMMYFUNCTION("""COMPUTED_VALUE"""),45415.6868011921)</f>
        <v>45415.686801192103</v>
      </c>
      <c r="B360" s="1" t="str">
        <f ca="1">IFERROR(__xludf.DUMMYFUNCTION("""COMPUTED_VALUE"""),"進貨")</f>
        <v>進貨</v>
      </c>
      <c r="C360" s="1" t="str">
        <f ca="1">IFERROR(__xludf.DUMMYFUNCTION("""COMPUTED_VALUE"""),"ME0060000270")</f>
        <v>ME0060000270</v>
      </c>
      <c r="D360" s="1" t="str">
        <f ca="1">IFERROR(__xludf.DUMMYFUNCTION("""COMPUTED_VALUE"""),"All/共用")</f>
        <v>All/共用</v>
      </c>
      <c r="E360" s="1" t="str">
        <f ca="1">IFERROR(__xludf.DUMMYFUNCTION("""COMPUTED_VALUE"""),"p2/庫存")</f>
        <v>p2/庫存</v>
      </c>
      <c r="F360" s="1">
        <f ca="1">IFERROR(__xludf.DUMMYFUNCTION("""COMPUTED_VALUE"""),3)</f>
        <v>3</v>
      </c>
      <c r="G360" s="1"/>
      <c r="H360" s="1" t="str">
        <f ca="1">IFERROR(__xludf.DUMMYFUNCTION("""COMPUTED_VALUE"""),"P2")</f>
        <v>P2</v>
      </c>
      <c r="I360" s="1" t="str">
        <f ca="1">IFERROR(__xludf.DUMMYFUNCTION("""COMPUTED_VALUE"""),"Chiao Yu")</f>
        <v>Chiao Yu</v>
      </c>
    </row>
    <row r="361" spans="1:9" ht="12.7" x14ac:dyDescent="0.4">
      <c r="A361" s="2">
        <f ca="1">IFERROR(__xludf.DUMMYFUNCTION("""COMPUTED_VALUE"""),45415.6879114236)</f>
        <v>45415.6879114236</v>
      </c>
      <c r="B361" s="1" t="str">
        <f ca="1">IFERROR(__xludf.DUMMYFUNCTION("""COMPUTED_VALUE"""),"進貨")</f>
        <v>進貨</v>
      </c>
      <c r="C361" s="1" t="str">
        <f ca="1">IFERROR(__xludf.DUMMYFUNCTION("""COMPUTED_VALUE"""),"ME0010000385")</f>
        <v>ME0010000385</v>
      </c>
      <c r="D361" s="1" t="str">
        <f ca="1">IFERROR(__xludf.DUMMYFUNCTION("""COMPUTED_VALUE"""),"All/共用")</f>
        <v>All/共用</v>
      </c>
      <c r="E361" s="1" t="str">
        <f ca="1">IFERROR(__xludf.DUMMYFUNCTION("""COMPUTED_VALUE"""),"p1/庫存")</f>
        <v>p1/庫存</v>
      </c>
      <c r="F361" s="1">
        <f ca="1">IFERROR(__xludf.DUMMYFUNCTION("""COMPUTED_VALUE"""),1)</f>
        <v>1</v>
      </c>
      <c r="G361" s="1"/>
      <c r="H361" s="1" t="str">
        <f ca="1">IFERROR(__xludf.DUMMYFUNCTION("""COMPUTED_VALUE"""),"P1")</f>
        <v>P1</v>
      </c>
      <c r="I361" s="1" t="str">
        <f ca="1">IFERROR(__xludf.DUMMYFUNCTION("""COMPUTED_VALUE"""),"Chiao Yu")</f>
        <v>Chiao Yu</v>
      </c>
    </row>
    <row r="362" spans="1:9" ht="12.7" x14ac:dyDescent="0.4">
      <c r="A362" s="2">
        <f ca="1">IFERROR(__xludf.DUMMYFUNCTION("""COMPUTED_VALUE"""),45419.955290868)</f>
        <v>45419.955290867998</v>
      </c>
      <c r="B362" s="1" t="str">
        <f ca="1">IFERROR(__xludf.DUMMYFUNCTION("""COMPUTED_VALUE"""),"庫存調整")</f>
        <v>庫存調整</v>
      </c>
      <c r="C362" s="1" t="str">
        <f ca="1">IFERROR(__xludf.DUMMYFUNCTION("""COMPUTED_VALUE"""),"ME0020000592")</f>
        <v>ME0020000592</v>
      </c>
      <c r="D362" s="1" t="str">
        <f ca="1">IFERROR(__xludf.DUMMYFUNCTION("""COMPUTED_VALUE"""),"All/共用")</f>
        <v>All/共用</v>
      </c>
      <c r="E362" s="1" t="str">
        <f ca="1">IFERROR(__xludf.DUMMYFUNCTION("""COMPUTED_VALUE"""),"p2/庫存")</f>
        <v>p2/庫存</v>
      </c>
      <c r="F362" s="1">
        <f ca="1">IFERROR(__xludf.DUMMYFUNCTION("""COMPUTED_VALUE"""),-1)</f>
        <v>-1</v>
      </c>
      <c r="G362" s="1"/>
      <c r="H362" s="1" t="str">
        <f ca="1">IFERROR(__xludf.DUMMYFUNCTION("""COMPUTED_VALUE"""),"P2")</f>
        <v>P2</v>
      </c>
      <c r="I362" s="1" t="str">
        <f ca="1">IFERROR(__xludf.DUMMYFUNCTION("""COMPUTED_VALUE"""),"Barry")</f>
        <v>Barry</v>
      </c>
    </row>
    <row r="363" spans="1:9" ht="12.7" x14ac:dyDescent="0.4">
      <c r="A363" s="2">
        <f ca="1">IFERROR(__xludf.DUMMYFUNCTION("""COMPUTED_VALUE"""),45419.9566159838)</f>
        <v>45419.9566159838</v>
      </c>
      <c r="B363" s="1" t="str">
        <f ca="1">IFERROR(__xludf.DUMMYFUNCTION("""COMPUTED_VALUE"""),"庫存調整")</f>
        <v>庫存調整</v>
      </c>
      <c r="C363" s="1" t="str">
        <f ca="1">IFERROR(__xludf.DUMMYFUNCTION("""COMPUTED_VALUE"""),"ME0020000592")</f>
        <v>ME0020000592</v>
      </c>
      <c r="D363" s="1" t="str">
        <f ca="1">IFERROR(__xludf.DUMMYFUNCTION("""COMPUTED_VALUE"""),"All/共用")</f>
        <v>All/共用</v>
      </c>
      <c r="E363" s="1" t="str">
        <f ca="1">IFERROR(__xludf.DUMMYFUNCTION("""COMPUTED_VALUE"""),"p1/庫存")</f>
        <v>p1/庫存</v>
      </c>
      <c r="F363" s="1">
        <f ca="1">IFERROR(__xludf.DUMMYFUNCTION("""COMPUTED_VALUE"""),1)</f>
        <v>1</v>
      </c>
      <c r="G363" s="1"/>
      <c r="H363" s="1" t="str">
        <f ca="1">IFERROR(__xludf.DUMMYFUNCTION("""COMPUTED_VALUE"""),"P1")</f>
        <v>P1</v>
      </c>
      <c r="I363" s="1" t="str">
        <f ca="1">IFERROR(__xludf.DUMMYFUNCTION("""COMPUTED_VALUE"""),"Barry")</f>
        <v>Barry</v>
      </c>
    </row>
    <row r="364" spans="1:9" ht="12.7" x14ac:dyDescent="0.4">
      <c r="A364" s="2">
        <f ca="1">IFERROR(__xludf.DUMMYFUNCTION("""COMPUTED_VALUE"""),45420.4924304166)</f>
        <v>45420.492430416598</v>
      </c>
      <c r="B364" s="1" t="str">
        <f ca="1">IFERROR(__xludf.DUMMYFUNCTION("""COMPUTED_VALUE"""),"送修")</f>
        <v>送修</v>
      </c>
      <c r="C364" s="1" t="str">
        <f ca="1">IFERROR(__xludf.DUMMYFUNCTION("""COMPUTED_VALUE"""),"AGT000000005")</f>
        <v>AGT000000005</v>
      </c>
      <c r="D364" s="1" t="str">
        <f ca="1">IFERROR(__xludf.DUMMYFUNCTION("""COMPUTED_VALUE"""),"All/共用")</f>
        <v>All/共用</v>
      </c>
      <c r="E364" s="1" t="str">
        <f ca="1">IFERROR(__xludf.DUMMYFUNCTION("""COMPUTED_VALUE"""),"p1/庫存")</f>
        <v>p1/庫存</v>
      </c>
      <c r="F364" s="1">
        <f ca="1">IFERROR(__xludf.DUMMYFUNCTION("""COMPUTED_VALUE"""),1)</f>
        <v>1</v>
      </c>
      <c r="G364" s="1"/>
      <c r="H364" s="1" t="str">
        <f ca="1">IFERROR(__xludf.DUMMYFUNCTION("""COMPUTED_VALUE"""),"P1_022")</f>
        <v>P1_022</v>
      </c>
      <c r="I364" s="1" t="str">
        <f ca="1">IFERROR(__xludf.DUMMYFUNCTION("""COMPUTED_VALUE"""),"Chiao Yu")</f>
        <v>Chiao Yu</v>
      </c>
    </row>
    <row r="365" spans="1:9" ht="12.7" x14ac:dyDescent="0.4">
      <c r="A365" s="2">
        <f ca="1">IFERROR(__xludf.DUMMYFUNCTION("""COMPUTED_VALUE"""),45420.4946033912)</f>
        <v>45420.494603391198</v>
      </c>
      <c r="B365" s="1" t="str">
        <f ca="1">IFERROR(__xludf.DUMMYFUNCTION("""COMPUTED_VALUE"""),"送修")</f>
        <v>送修</v>
      </c>
      <c r="C365" s="1" t="str">
        <f ca="1">IFERROR(__xludf.DUMMYFUNCTION("""COMPUTED_VALUE"""),"AGT000000006")</f>
        <v>AGT000000006</v>
      </c>
      <c r="D365" s="1" t="str">
        <f ca="1">IFERROR(__xludf.DUMMYFUNCTION("""COMPUTED_VALUE"""),"All/共用")</f>
        <v>All/共用</v>
      </c>
      <c r="E365" s="1" t="str">
        <f ca="1">IFERROR(__xludf.DUMMYFUNCTION("""COMPUTED_VALUE"""),"p1/庫存")</f>
        <v>p1/庫存</v>
      </c>
      <c r="F365" s="1">
        <f ca="1">IFERROR(__xludf.DUMMYFUNCTION("""COMPUTED_VALUE"""),1)</f>
        <v>1</v>
      </c>
      <c r="G365" s="1"/>
      <c r="H365" s="1" t="str">
        <f ca="1">IFERROR(__xludf.DUMMYFUNCTION("""COMPUTED_VALUE"""),"P1_022")</f>
        <v>P1_022</v>
      </c>
      <c r="I365" s="1" t="str">
        <f ca="1">IFERROR(__xludf.DUMMYFUNCTION("""COMPUTED_VALUE"""),"Chiao Yu")</f>
        <v>Chiao Yu</v>
      </c>
    </row>
    <row r="366" spans="1:9" ht="12.7" x14ac:dyDescent="0.4">
      <c r="A366" s="2">
        <f ca="1">IFERROR(__xludf.DUMMYFUNCTION("""COMPUTED_VALUE"""),45420.6218878935)</f>
        <v>45420.621887893503</v>
      </c>
      <c r="B366" s="1" t="str">
        <f ca="1">IFERROR(__xludf.DUMMYFUNCTION("""COMPUTED_VALUE"""),"送修")</f>
        <v>送修</v>
      </c>
      <c r="C366" s="1" t="str">
        <f ca="1">IFERROR(__xludf.DUMMYFUNCTION("""COMPUTED_VALUE"""),"ME0160000073")</f>
        <v>ME0160000073</v>
      </c>
      <c r="D366" s="1" t="str">
        <f ca="1">IFERROR(__xludf.DUMMYFUNCTION("""COMPUTED_VALUE"""),"All/BA")</f>
        <v>All/BA</v>
      </c>
      <c r="E366" s="1" t="str">
        <f ca="1">IFERROR(__xludf.DUMMYFUNCTION("""COMPUTED_VALUE"""),"p2/庫存")</f>
        <v>p2/庫存</v>
      </c>
      <c r="F366" s="1">
        <f ca="1">IFERROR(__xludf.DUMMYFUNCTION("""COMPUTED_VALUE"""),1)</f>
        <v>1</v>
      </c>
      <c r="G366" s="1" t="str">
        <f ca="1">IFERROR(__xludf.DUMMYFUNCTION("""COMPUTED_VALUE"""),"B1409079")</f>
        <v>B1409079</v>
      </c>
      <c r="H366" s="1" t="str">
        <f ca="1">IFERROR(__xludf.DUMMYFUNCTION("""COMPUTED_VALUE"""),"P2_041")</f>
        <v>P2_041</v>
      </c>
      <c r="I366" s="1" t="str">
        <f ca="1">IFERROR(__xludf.DUMMYFUNCTION("""COMPUTED_VALUE"""),"Chiao Yu")</f>
        <v>Chiao Yu</v>
      </c>
    </row>
    <row r="367" spans="1:9" ht="12.7" x14ac:dyDescent="0.4">
      <c r="A367" s="2">
        <f ca="1">IFERROR(__xludf.DUMMYFUNCTION("""COMPUTED_VALUE"""),45420.8198623263)</f>
        <v>45420.819862326302</v>
      </c>
      <c r="B367" s="1" t="str">
        <f ca="1">IFERROR(__xludf.DUMMYFUNCTION("""COMPUTED_VALUE"""),"領料")</f>
        <v>領料</v>
      </c>
      <c r="C367" s="1" t="str">
        <f ca="1">IFERROR(__xludf.DUMMYFUNCTION("""COMPUTED_VALUE"""),"MM0220000045")</f>
        <v>MM0220000045</v>
      </c>
      <c r="D367" s="1" t="str">
        <f ca="1">IFERROR(__xludf.DUMMYFUNCTION("""COMPUTED_VALUE"""),"All/共用")</f>
        <v>All/共用</v>
      </c>
      <c r="E367" s="1" t="str">
        <f ca="1">IFERROR(__xludf.DUMMYFUNCTION("""COMPUTED_VALUE"""),"p1/庫存")</f>
        <v>p1/庫存</v>
      </c>
      <c r="F367" s="1">
        <f ca="1">IFERROR(__xludf.DUMMYFUNCTION("""COMPUTED_VALUE"""),1)</f>
        <v>1</v>
      </c>
      <c r="G367" s="1"/>
      <c r="H367" s="1" t="str">
        <f ca="1">IFERROR(__xludf.DUMMYFUNCTION("""COMPUTED_VALUE"""),"P1_3001")</f>
        <v>P1_3001</v>
      </c>
      <c r="I367" s="1" t="str">
        <f ca="1">IFERROR(__xludf.DUMMYFUNCTION("""COMPUTED_VALUE"""),"Chiao Yu")</f>
        <v>Chiao Yu</v>
      </c>
    </row>
    <row r="368" spans="1:9" ht="12.7" x14ac:dyDescent="0.4">
      <c r="A368" s="2">
        <f ca="1">IFERROR(__xludf.DUMMYFUNCTION("""COMPUTED_VALUE"""),45420.8433803125)</f>
        <v>45420.843380312501</v>
      </c>
      <c r="B368" s="1" t="str">
        <f ca="1">IFERROR(__xludf.DUMMYFUNCTION("""COMPUTED_VALUE"""),"料件上線時間")</f>
        <v>料件上線時間</v>
      </c>
      <c r="C368" s="1" t="str">
        <f ca="1">IFERROR(__xludf.DUMMYFUNCTION("""COMPUTED_VALUE"""),"ME0160000073")</f>
        <v>ME0160000073</v>
      </c>
      <c r="D368" s="1" t="str">
        <f ca="1">IFERROR(__xludf.DUMMYFUNCTION("""COMPUTED_VALUE"""),"All/BA")</f>
        <v>All/BA</v>
      </c>
      <c r="E368" s="1" t="str">
        <f ca="1">IFERROR(__xludf.DUMMYFUNCTION("""COMPUTED_VALUE"""),"p2/庫存")</f>
        <v>p2/庫存</v>
      </c>
      <c r="F368" s="1">
        <f ca="1">IFERROR(__xludf.DUMMYFUNCTION("""COMPUTED_VALUE"""),1)</f>
        <v>1</v>
      </c>
      <c r="G368" s="1" t="str">
        <f ca="1">IFERROR(__xludf.DUMMYFUNCTION("""COMPUTED_VALUE"""),"序號待補")</f>
        <v>序號待補</v>
      </c>
      <c r="H368" s="1" t="str">
        <f ca="1">IFERROR(__xludf.DUMMYFUNCTION("""COMPUTED_VALUE"""),"P2_041")</f>
        <v>P2_041</v>
      </c>
      <c r="I368" s="1" t="str">
        <f ca="1">IFERROR(__xludf.DUMMYFUNCTION("""COMPUTED_VALUE"""),"Chiao Yu")</f>
        <v>Chiao Yu</v>
      </c>
    </row>
    <row r="369" spans="1:9" ht="12.7" x14ac:dyDescent="0.4">
      <c r="A369" s="2">
        <f ca="1">IFERROR(__xludf.DUMMYFUNCTION("""COMPUTED_VALUE"""),45430.0169338541)</f>
        <v>45430.016933854102</v>
      </c>
      <c r="B369" s="1" t="str">
        <f ca="1">IFERROR(__xludf.DUMMYFUNCTION("""COMPUTED_VALUE"""),"送修")</f>
        <v>送修</v>
      </c>
      <c r="C369" s="1" t="str">
        <f ca="1">IFERROR(__xludf.DUMMYFUNCTION("""COMPUTED_VALUE"""),"A00100000708")</f>
        <v>A00100000708</v>
      </c>
      <c r="D369" s="1" t="str">
        <f ca="1">IFERROR(__xludf.DUMMYFUNCTION("""COMPUTED_VALUE"""),"All/BA")</f>
        <v>All/BA</v>
      </c>
      <c r="E369" s="1" t="str">
        <f ca="1">IFERROR(__xludf.DUMMYFUNCTION("""COMPUTED_VALUE"""),"p2/庫存")</f>
        <v>p2/庫存</v>
      </c>
      <c r="F369" s="1">
        <f ca="1">IFERROR(__xludf.DUMMYFUNCTION("""COMPUTED_VALUE"""),1)</f>
        <v>1</v>
      </c>
      <c r="G369" s="1" t="str">
        <f ca="1">IFERROR(__xludf.DUMMYFUNCTION("""COMPUTED_VALUE"""),"Solenoid Valve 001")</f>
        <v>Solenoid Valve 001</v>
      </c>
      <c r="H369" s="1" t="str">
        <f ca="1">IFERROR(__xludf.DUMMYFUNCTION("""COMPUTED_VALUE"""),"P2_042")</f>
        <v>P2_042</v>
      </c>
      <c r="I369" s="1" t="str">
        <f ca="1">IFERROR(__xludf.DUMMYFUNCTION("""COMPUTED_VALUE"""),"Jason")</f>
        <v>Jason</v>
      </c>
    </row>
    <row r="370" spans="1:9" ht="12.7" x14ac:dyDescent="0.4">
      <c r="A370" s="2">
        <f ca="1">IFERROR(__xludf.DUMMYFUNCTION("""COMPUTED_VALUE"""),45430.0188265277)</f>
        <v>45430.018826527703</v>
      </c>
      <c r="B370" s="1" t="str">
        <f ca="1">IFERROR(__xludf.DUMMYFUNCTION("""COMPUTED_VALUE"""),"料件上線時間")</f>
        <v>料件上線時間</v>
      </c>
      <c r="C370" s="1" t="str">
        <f ca="1">IFERROR(__xludf.DUMMYFUNCTION("""COMPUTED_VALUE"""),"A00100000708")</f>
        <v>A00100000708</v>
      </c>
      <c r="D370" s="1" t="str">
        <f ca="1">IFERROR(__xludf.DUMMYFUNCTION("""COMPUTED_VALUE"""),"All/BA")</f>
        <v>All/BA</v>
      </c>
      <c r="E370" s="1" t="str">
        <f ca="1">IFERROR(__xludf.DUMMYFUNCTION("""COMPUTED_VALUE"""),"p2/庫存")</f>
        <v>p2/庫存</v>
      </c>
      <c r="F370" s="1">
        <f ca="1">IFERROR(__xludf.DUMMYFUNCTION("""COMPUTED_VALUE"""),1)</f>
        <v>1</v>
      </c>
      <c r="G370" s="1" t="str">
        <f ca="1">IFERROR(__xludf.DUMMYFUNCTION("""COMPUTED_VALUE"""),"Solenoid Valve 002")</f>
        <v>Solenoid Valve 002</v>
      </c>
      <c r="H370" s="1" t="str">
        <f ca="1">IFERROR(__xludf.DUMMYFUNCTION("""COMPUTED_VALUE"""),"P2_042")</f>
        <v>P2_042</v>
      </c>
      <c r="I370" s="1" t="str">
        <f ca="1">IFERROR(__xludf.DUMMYFUNCTION("""COMPUTED_VALUE"""),"Jason")</f>
        <v>Jason</v>
      </c>
    </row>
    <row r="371" spans="1:9" ht="12.7" x14ac:dyDescent="0.4">
      <c r="A371" s="2">
        <f ca="1">IFERROR(__xludf.DUMMYFUNCTION("""COMPUTED_VALUE"""),45433.9243749884)</f>
        <v>45433.924374988397</v>
      </c>
      <c r="B371" s="1" t="str">
        <f ca="1">IFERROR(__xludf.DUMMYFUNCTION("""COMPUTED_VALUE"""),"庫存調整")</f>
        <v>庫存調整</v>
      </c>
      <c r="C371" s="1" t="str">
        <f ca="1">IFERROR(__xludf.DUMMYFUNCTION("""COMPUTED_VALUE"""),"ME0120000048")</f>
        <v>ME0120000048</v>
      </c>
      <c r="D371" s="1" t="str">
        <f ca="1">IFERROR(__xludf.DUMMYFUNCTION("""COMPUTED_VALUE"""),"All/RL")</f>
        <v>All/RL</v>
      </c>
      <c r="E371" s="1" t="str">
        <f ca="1">IFERROR(__xludf.DUMMYFUNCTION("""COMPUTED_VALUE"""),"p1/庫存")</f>
        <v>p1/庫存</v>
      </c>
      <c r="F371" s="1">
        <f ca="1">IFERROR(__xludf.DUMMYFUNCTION("""COMPUTED_VALUE"""),2)</f>
        <v>2</v>
      </c>
      <c r="G371" s="1"/>
      <c r="H371" s="1" t="str">
        <f ca="1">IFERROR(__xludf.DUMMYFUNCTION("""COMPUTED_VALUE"""),"P1")</f>
        <v>P1</v>
      </c>
      <c r="I371" s="1" t="str">
        <f ca="1">IFERROR(__xludf.DUMMYFUNCTION("""COMPUTED_VALUE"""),"Simon")</f>
        <v>Simon</v>
      </c>
    </row>
    <row r="372" spans="1:9" ht="12.7" x14ac:dyDescent="0.4">
      <c r="A372" s="2">
        <f ca="1">IFERROR(__xludf.DUMMYFUNCTION("""COMPUTED_VALUE"""),45434.3731815972)</f>
        <v>45434.373181597199</v>
      </c>
      <c r="B372" s="1" t="str">
        <f ca="1">IFERROR(__xludf.DUMMYFUNCTION("""COMPUTED_VALUE"""),"進貨")</f>
        <v>進貨</v>
      </c>
      <c r="C372" s="1" t="str">
        <f ca="1">IFERROR(__xludf.DUMMYFUNCTION("""COMPUTED_VALUE"""),"AGT000000006")</f>
        <v>AGT000000006</v>
      </c>
      <c r="D372" s="1" t="str">
        <f ca="1">IFERROR(__xludf.DUMMYFUNCTION("""COMPUTED_VALUE"""),"All/共用")</f>
        <v>All/共用</v>
      </c>
      <c r="E372" s="1" t="str">
        <f ca="1">IFERROR(__xludf.DUMMYFUNCTION("""COMPUTED_VALUE"""),"p1/庫存")</f>
        <v>p1/庫存</v>
      </c>
      <c r="F372" s="1">
        <f ca="1">IFERROR(__xludf.DUMMYFUNCTION("""COMPUTED_VALUE"""),1)</f>
        <v>1</v>
      </c>
      <c r="G372" s="1"/>
      <c r="H372" s="1" t="str">
        <f ca="1">IFERROR(__xludf.DUMMYFUNCTION("""COMPUTED_VALUE"""),"P1")</f>
        <v>P1</v>
      </c>
      <c r="I372" s="1" t="str">
        <f ca="1">IFERROR(__xludf.DUMMYFUNCTION("""COMPUTED_VALUE"""),"Chiao Yu")</f>
        <v>Chiao Yu</v>
      </c>
    </row>
    <row r="373" spans="1:9" ht="12.7" x14ac:dyDescent="0.4">
      <c r="A373" s="2">
        <f ca="1">IFERROR(__xludf.DUMMYFUNCTION("""COMPUTED_VALUE"""),45434.3736189351)</f>
        <v>45434.373618935097</v>
      </c>
      <c r="B373" s="1" t="str">
        <f ca="1">IFERROR(__xludf.DUMMYFUNCTION("""COMPUTED_VALUE"""),"進貨")</f>
        <v>進貨</v>
      </c>
      <c r="C373" s="1" t="str">
        <f ca="1">IFERROR(__xludf.DUMMYFUNCTION("""COMPUTED_VALUE"""),"AGT000000006")</f>
        <v>AGT000000006</v>
      </c>
      <c r="D373" s="1" t="str">
        <f ca="1">IFERROR(__xludf.DUMMYFUNCTION("""COMPUTED_VALUE"""),"All/共用")</f>
        <v>All/共用</v>
      </c>
      <c r="E373" s="1" t="str">
        <f ca="1">IFERROR(__xludf.DUMMYFUNCTION("""COMPUTED_VALUE"""),"p2/庫存")</f>
        <v>p2/庫存</v>
      </c>
      <c r="F373" s="1">
        <f ca="1">IFERROR(__xludf.DUMMYFUNCTION("""COMPUTED_VALUE"""),2)</f>
        <v>2</v>
      </c>
      <c r="G373" s="1"/>
      <c r="H373" s="1" t="str">
        <f ca="1">IFERROR(__xludf.DUMMYFUNCTION("""COMPUTED_VALUE"""),"P2")</f>
        <v>P2</v>
      </c>
      <c r="I373" s="1" t="str">
        <f ca="1">IFERROR(__xludf.DUMMYFUNCTION("""COMPUTED_VALUE"""),"Chiao Yu")</f>
        <v>Chiao Yu</v>
      </c>
    </row>
    <row r="374" spans="1:9" ht="12.7" x14ac:dyDescent="0.4">
      <c r="A374" s="2">
        <f ca="1">IFERROR(__xludf.DUMMYFUNCTION("""COMPUTED_VALUE"""),45434.3741026273)</f>
        <v>45434.374102627298</v>
      </c>
      <c r="B374" s="1" t="str">
        <f ca="1">IFERROR(__xludf.DUMMYFUNCTION("""COMPUTED_VALUE"""),"進貨")</f>
        <v>進貨</v>
      </c>
      <c r="C374" s="1" t="str">
        <f ca="1">IFERROR(__xludf.DUMMYFUNCTION("""COMPUTED_VALUE"""),"AGT000000005")</f>
        <v>AGT000000005</v>
      </c>
      <c r="D374" s="1" t="str">
        <f ca="1">IFERROR(__xludf.DUMMYFUNCTION("""COMPUTED_VALUE"""),"All/共用")</f>
        <v>All/共用</v>
      </c>
      <c r="E374" s="1" t="str">
        <f ca="1">IFERROR(__xludf.DUMMYFUNCTION("""COMPUTED_VALUE"""),"p1/庫存")</f>
        <v>p1/庫存</v>
      </c>
      <c r="F374" s="1">
        <f ca="1">IFERROR(__xludf.DUMMYFUNCTION("""COMPUTED_VALUE"""),1)</f>
        <v>1</v>
      </c>
      <c r="G374" s="1"/>
      <c r="H374" s="1" t="str">
        <f ca="1">IFERROR(__xludf.DUMMYFUNCTION("""COMPUTED_VALUE"""),"P1")</f>
        <v>P1</v>
      </c>
      <c r="I374" s="1" t="str">
        <f ca="1">IFERROR(__xludf.DUMMYFUNCTION("""COMPUTED_VALUE"""),"Chiao Yu")</f>
        <v>Chiao Yu</v>
      </c>
    </row>
    <row r="375" spans="1:9" ht="12.7" x14ac:dyDescent="0.4">
      <c r="A375" s="2">
        <f ca="1">IFERROR(__xludf.DUMMYFUNCTION("""COMPUTED_VALUE"""),45434.3744460648)</f>
        <v>45434.374446064801</v>
      </c>
      <c r="B375" s="1" t="str">
        <f ca="1">IFERROR(__xludf.DUMMYFUNCTION("""COMPUTED_VALUE"""),"進貨")</f>
        <v>進貨</v>
      </c>
      <c r="C375" s="1" t="str">
        <f ca="1">IFERROR(__xludf.DUMMYFUNCTION("""COMPUTED_VALUE"""),"AGT000000005")</f>
        <v>AGT000000005</v>
      </c>
      <c r="D375" s="1" t="str">
        <f ca="1">IFERROR(__xludf.DUMMYFUNCTION("""COMPUTED_VALUE"""),"All/共用")</f>
        <v>All/共用</v>
      </c>
      <c r="E375" s="1" t="str">
        <f ca="1">IFERROR(__xludf.DUMMYFUNCTION("""COMPUTED_VALUE"""),"p2/庫存")</f>
        <v>p2/庫存</v>
      </c>
      <c r="F375" s="1">
        <f ca="1">IFERROR(__xludf.DUMMYFUNCTION("""COMPUTED_VALUE"""),2)</f>
        <v>2</v>
      </c>
      <c r="G375" s="1"/>
      <c r="H375" s="1" t="str">
        <f ca="1">IFERROR(__xludf.DUMMYFUNCTION("""COMPUTED_VALUE"""),"P2")</f>
        <v>P2</v>
      </c>
      <c r="I375" s="1" t="str">
        <f ca="1">IFERROR(__xludf.DUMMYFUNCTION("""COMPUTED_VALUE"""),"Chiao Yu")</f>
        <v>Chiao Yu</v>
      </c>
    </row>
    <row r="376" spans="1:9" ht="12.7" x14ac:dyDescent="0.4">
      <c r="A376" s="2">
        <f ca="1">IFERROR(__xludf.DUMMYFUNCTION("""COMPUTED_VALUE"""),45434.4451452777)</f>
        <v>45434.445145277699</v>
      </c>
      <c r="B376" s="1" t="str">
        <f ca="1">IFERROR(__xludf.DUMMYFUNCTION("""COMPUTED_VALUE"""),"料件上線時間")</f>
        <v>料件上線時間</v>
      </c>
      <c r="C376" s="1" t="str">
        <f ca="1">IFERROR(__xludf.DUMMYFUNCTION("""COMPUTED_VALUE"""),"ME0020000525")</f>
        <v>ME0020000525</v>
      </c>
      <c r="D376" s="1" t="str">
        <f ca="1">IFERROR(__xludf.DUMMYFUNCTION("""COMPUTED_VALUE"""),"All/共用")</f>
        <v>All/共用</v>
      </c>
      <c r="E376" s="1" t="str">
        <f ca="1">IFERROR(__xludf.DUMMYFUNCTION("""COMPUTED_VALUE"""),"p1/庫存")</f>
        <v>p1/庫存</v>
      </c>
      <c r="F376" s="1">
        <f ca="1">IFERROR(__xludf.DUMMYFUNCTION("""COMPUTED_VALUE"""),1)</f>
        <v>1</v>
      </c>
      <c r="G376" s="1" t="str">
        <f ca="1">IFERROR(__xludf.DUMMYFUNCTION("""COMPUTED_VALUE"""),"2323E6E04203")</f>
        <v>2323E6E04203</v>
      </c>
      <c r="H376" s="1" t="str">
        <f ca="1">IFERROR(__xludf.DUMMYFUNCTION("""COMPUTED_VALUE"""),"P1_028")</f>
        <v>P1_028</v>
      </c>
      <c r="I376" s="1" t="str">
        <f ca="1">IFERROR(__xludf.DUMMYFUNCTION("""COMPUTED_VALUE"""),"Chiao Yu")</f>
        <v>Chiao Yu</v>
      </c>
    </row>
    <row r="377" spans="1:9" ht="12.7" x14ac:dyDescent="0.4">
      <c r="A377" s="2">
        <f ca="1">IFERROR(__xludf.DUMMYFUNCTION("""COMPUTED_VALUE"""),45434.4466331365)</f>
        <v>45434.446633136497</v>
      </c>
      <c r="B377" s="1" t="str">
        <f ca="1">IFERROR(__xludf.DUMMYFUNCTION("""COMPUTED_VALUE"""),"送修")</f>
        <v>送修</v>
      </c>
      <c r="C377" s="1" t="str">
        <f ca="1">IFERROR(__xludf.DUMMYFUNCTION("""COMPUTED_VALUE"""),"ME0020000525")</f>
        <v>ME0020000525</v>
      </c>
      <c r="D377" s="1" t="str">
        <f ca="1">IFERROR(__xludf.DUMMYFUNCTION("""COMPUTED_VALUE"""),"All/共用")</f>
        <v>All/共用</v>
      </c>
      <c r="E377" s="1" t="str">
        <f ca="1">IFERROR(__xludf.DUMMYFUNCTION("""COMPUTED_VALUE"""),"p1/庫存")</f>
        <v>p1/庫存</v>
      </c>
      <c r="F377" s="1">
        <f ca="1">IFERROR(__xludf.DUMMYFUNCTION("""COMPUTED_VALUE"""),1)</f>
        <v>1</v>
      </c>
      <c r="G377" s="1" t="str">
        <f ca="1">IFERROR(__xludf.DUMMYFUNCTION("""COMPUTED_VALUE"""),"2223E639625E")</f>
        <v>2223E639625E</v>
      </c>
      <c r="H377" s="1" t="str">
        <f ca="1">IFERROR(__xludf.DUMMYFUNCTION("""COMPUTED_VALUE"""),"P1_028")</f>
        <v>P1_028</v>
      </c>
      <c r="I377" s="1" t="str">
        <f ca="1">IFERROR(__xludf.DUMMYFUNCTION("""COMPUTED_VALUE"""),"Chiao Yu")</f>
        <v>Chiao Yu</v>
      </c>
    </row>
    <row r="378" spans="1:9" ht="12.7" x14ac:dyDescent="0.4">
      <c r="A378" s="2">
        <f ca="1">IFERROR(__xludf.DUMMYFUNCTION("""COMPUTED_VALUE"""),45434.8843411111)</f>
        <v>45434.884341111101</v>
      </c>
      <c r="B378" s="1" t="str">
        <f ca="1">IFERROR(__xludf.DUMMYFUNCTION("""COMPUTED_VALUE"""),"庫存調整")</f>
        <v>庫存調整</v>
      </c>
      <c r="C378" s="1" t="str">
        <f ca="1">IFERROR(__xludf.DUMMYFUNCTION("""COMPUTED_VALUE"""),"AGT000000007")</f>
        <v>AGT000000007</v>
      </c>
      <c r="D378" s="1" t="str">
        <f ca="1">IFERROR(__xludf.DUMMYFUNCTION("""COMPUTED_VALUE"""),"All/共用")</f>
        <v>All/共用</v>
      </c>
      <c r="E378" s="1" t="str">
        <f ca="1">IFERROR(__xludf.DUMMYFUNCTION("""COMPUTED_VALUE"""),"p1/庫存")</f>
        <v>p1/庫存</v>
      </c>
      <c r="F378" s="1">
        <f ca="1">IFERROR(__xludf.DUMMYFUNCTION("""COMPUTED_VALUE"""),-1)</f>
        <v>-1</v>
      </c>
      <c r="G378" s="1"/>
      <c r="H378" s="1" t="str">
        <f ca="1">IFERROR(__xludf.DUMMYFUNCTION("""COMPUTED_VALUE"""),"P1")</f>
        <v>P1</v>
      </c>
      <c r="I378" s="1" t="str">
        <f ca="1">IFERROR(__xludf.DUMMYFUNCTION("""COMPUTED_VALUE"""),"Simon")</f>
        <v>Simon</v>
      </c>
    </row>
    <row r="379" spans="1:9" ht="12.7" x14ac:dyDescent="0.4">
      <c r="A379" s="2">
        <f ca="1">IFERROR(__xludf.DUMMYFUNCTION("""COMPUTED_VALUE"""),45434.8852017476)</f>
        <v>45434.885201747602</v>
      </c>
      <c r="B379" s="1" t="str">
        <f ca="1">IFERROR(__xludf.DUMMYFUNCTION("""COMPUTED_VALUE"""),"庫存調整")</f>
        <v>庫存調整</v>
      </c>
      <c r="C379" s="1" t="str">
        <f ca="1">IFERROR(__xludf.DUMMYFUNCTION("""COMPUTED_VALUE"""),"AGT000000007")</f>
        <v>AGT000000007</v>
      </c>
      <c r="D379" s="1" t="str">
        <f ca="1">IFERROR(__xludf.DUMMYFUNCTION("""COMPUTED_VALUE"""),"All/共用")</f>
        <v>All/共用</v>
      </c>
      <c r="E379" s="1" t="str">
        <f ca="1">IFERROR(__xludf.DUMMYFUNCTION("""COMPUTED_VALUE"""),"p2/庫存")</f>
        <v>p2/庫存</v>
      </c>
      <c r="F379" s="1">
        <f ca="1">IFERROR(__xludf.DUMMYFUNCTION("""COMPUTED_VALUE"""),1)</f>
        <v>1</v>
      </c>
      <c r="G379" s="1"/>
      <c r="H379" s="1" t="str">
        <f ca="1">IFERROR(__xludf.DUMMYFUNCTION("""COMPUTED_VALUE"""),"P2")</f>
        <v>P2</v>
      </c>
      <c r="I379" s="1" t="str">
        <f ca="1">IFERROR(__xludf.DUMMYFUNCTION("""COMPUTED_VALUE"""),"Simon")</f>
        <v>Simon</v>
      </c>
    </row>
    <row r="380" spans="1:9" ht="12.7" x14ac:dyDescent="0.4">
      <c r="A380" s="2">
        <f ca="1">IFERROR(__xludf.DUMMYFUNCTION("""COMPUTED_VALUE"""),45435.2310013888)</f>
        <v>45435.231001388798</v>
      </c>
      <c r="B380" s="1" t="str">
        <f ca="1">IFERROR(__xludf.DUMMYFUNCTION("""COMPUTED_VALUE"""),"領料")</f>
        <v>領料</v>
      </c>
      <c r="C380" s="1" t="str">
        <f ca="1">IFERROR(__xludf.DUMMYFUNCTION("""COMPUTED_VALUE"""),"AGT000000007")</f>
        <v>AGT000000007</v>
      </c>
      <c r="D380" s="1" t="str">
        <f ca="1">IFERROR(__xludf.DUMMYFUNCTION("""COMPUTED_VALUE"""),"All/共用")</f>
        <v>All/共用</v>
      </c>
      <c r="E380" s="1" t="str">
        <f ca="1">IFERROR(__xludf.DUMMYFUNCTION("""COMPUTED_VALUE"""),"p2/庫存")</f>
        <v>p2/庫存</v>
      </c>
      <c r="F380" s="1">
        <f ca="1">IFERROR(__xludf.DUMMYFUNCTION("""COMPUTED_VALUE"""),1)</f>
        <v>1</v>
      </c>
      <c r="G380" s="1"/>
      <c r="H380" s="1" t="str">
        <f ca="1">IFERROR(__xludf.DUMMYFUNCTION("""COMPUTED_VALUE"""),"P2_051")</f>
        <v>P2_051</v>
      </c>
      <c r="I380" s="1" t="str">
        <f ca="1">IFERROR(__xludf.DUMMYFUNCTION("""COMPUTED_VALUE"""),"Simon")</f>
        <v>Simon</v>
      </c>
    </row>
    <row r="381" spans="1:9" ht="12.7" x14ac:dyDescent="0.4">
      <c r="A381" s="2">
        <f ca="1">IFERROR(__xludf.DUMMYFUNCTION("""COMPUTED_VALUE"""),45436.4455635532)</f>
        <v>45436.445563553199</v>
      </c>
      <c r="B381" s="1" t="str">
        <f ca="1">IFERROR(__xludf.DUMMYFUNCTION("""COMPUTED_VALUE"""),"領料")</f>
        <v>領料</v>
      </c>
      <c r="C381" s="1" t="str">
        <f ca="1">IFERROR(__xludf.DUMMYFUNCTION("""COMPUTED_VALUE"""),"ME0020000525")</f>
        <v>ME0020000525</v>
      </c>
      <c r="D381" s="1" t="str">
        <f ca="1">IFERROR(__xludf.DUMMYFUNCTION("""COMPUTED_VALUE"""),"All/共用")</f>
        <v>All/共用</v>
      </c>
      <c r="E381" s="1" t="str">
        <f ca="1">IFERROR(__xludf.DUMMYFUNCTION("""COMPUTED_VALUE"""),"p1/庫存")</f>
        <v>p1/庫存</v>
      </c>
      <c r="F381" s="1">
        <f ca="1">IFERROR(__xludf.DUMMYFUNCTION("""COMPUTED_VALUE"""),1)</f>
        <v>1</v>
      </c>
      <c r="G381" s="1"/>
      <c r="H381" s="1" t="str">
        <f ca="1">IFERROR(__xludf.DUMMYFUNCTION("""COMPUTED_VALUE"""),"P1")</f>
        <v>P1</v>
      </c>
      <c r="I381" s="1" t="str">
        <f ca="1">IFERROR(__xludf.DUMMYFUNCTION("""COMPUTED_VALUE"""),"Chiao Yu")</f>
        <v>Chiao Yu</v>
      </c>
    </row>
    <row r="382" spans="1:9" ht="12.7" x14ac:dyDescent="0.4">
      <c r="A382" s="2">
        <f ca="1">IFERROR(__xludf.DUMMYFUNCTION("""COMPUTED_VALUE"""),45441.9200161458)</f>
        <v>45441.920016145799</v>
      </c>
      <c r="B382" s="1" t="str">
        <f ca="1">IFERROR(__xludf.DUMMYFUNCTION("""COMPUTED_VALUE"""),"送修")</f>
        <v>送修</v>
      </c>
      <c r="C382" s="1" t="str">
        <f ca="1">IFERROR(__xludf.DUMMYFUNCTION("""COMPUTED_VALUE"""),"ME0070000316")</f>
        <v>ME0070000316</v>
      </c>
      <c r="D382" s="1" t="str">
        <f ca="1">IFERROR(__xludf.DUMMYFUNCTION("""COMPUTED_VALUE"""),"All/BA")</f>
        <v>All/BA</v>
      </c>
      <c r="E382" s="1" t="str">
        <f ca="1">IFERROR(__xludf.DUMMYFUNCTION("""COMPUTED_VALUE"""),"p2/庫存")</f>
        <v>p2/庫存</v>
      </c>
      <c r="F382" s="1">
        <f ca="1">IFERROR(__xludf.DUMMYFUNCTION("""COMPUTED_VALUE"""),1)</f>
        <v>1</v>
      </c>
      <c r="G382" s="1" t="str">
        <f ca="1">IFERROR(__xludf.DUMMYFUNCTION("""COMPUTED_VALUE"""),"pressure sensor 003")</f>
        <v>pressure sensor 003</v>
      </c>
      <c r="H382" s="1" t="str">
        <f ca="1">IFERROR(__xludf.DUMMYFUNCTION("""COMPUTED_VALUE"""),"P2_042")</f>
        <v>P2_042</v>
      </c>
      <c r="I382" s="1" t="str">
        <f ca="1">IFERROR(__xludf.DUMMYFUNCTION("""COMPUTED_VALUE"""),"Jason")</f>
        <v>Jason</v>
      </c>
    </row>
    <row r="383" spans="1:9" ht="12.7" x14ac:dyDescent="0.4">
      <c r="A383" s="2">
        <f ca="1">IFERROR(__xludf.DUMMYFUNCTION("""COMPUTED_VALUE"""),45441.9559317708)</f>
        <v>45441.955931770797</v>
      </c>
      <c r="B383" s="1" t="str">
        <f ca="1">IFERROR(__xludf.DUMMYFUNCTION("""COMPUTED_VALUE"""),"庫存調整")</f>
        <v>庫存調整</v>
      </c>
      <c r="C383" s="1" t="str">
        <f ca="1">IFERROR(__xludf.DUMMYFUNCTION("""COMPUTED_VALUE"""),"MM0260000249")</f>
        <v>MM0260000249</v>
      </c>
      <c r="D383" s="1" t="str">
        <f ca="1">IFERROR(__xludf.DUMMYFUNCTION("""COMPUTED_VALUE"""),"All/RL")</f>
        <v>All/RL</v>
      </c>
      <c r="E383" s="1" t="str">
        <f ca="1">IFERROR(__xludf.DUMMYFUNCTION("""COMPUTED_VALUE"""),"p2/庫存")</f>
        <v>p2/庫存</v>
      </c>
      <c r="F383" s="1">
        <f ca="1">IFERROR(__xludf.DUMMYFUNCTION("""COMPUTED_VALUE"""),2)</f>
        <v>2</v>
      </c>
      <c r="G383" s="1"/>
      <c r="H383" s="1" t="str">
        <f ca="1">IFERROR(__xludf.DUMMYFUNCTION("""COMPUTED_VALUE"""),"P2")</f>
        <v>P2</v>
      </c>
      <c r="I383" s="1" t="str">
        <f ca="1">IFERROR(__xludf.DUMMYFUNCTION("""COMPUTED_VALUE"""),"Simon")</f>
        <v>Simon</v>
      </c>
    </row>
    <row r="384" spans="1:9" ht="12.7" x14ac:dyDescent="0.4">
      <c r="A384" s="2">
        <f ca="1">IFERROR(__xludf.DUMMYFUNCTION("""COMPUTED_VALUE"""),45441.9574917939)</f>
        <v>45441.957491793903</v>
      </c>
      <c r="B384" s="1" t="str">
        <f ca="1">IFERROR(__xludf.DUMMYFUNCTION("""COMPUTED_VALUE"""),"庫存調整")</f>
        <v>庫存調整</v>
      </c>
      <c r="C384" s="1" t="str">
        <f ca="1">IFERROR(__xludf.DUMMYFUNCTION("""COMPUTED_VALUE"""),"MM0260000077")</f>
        <v>MM0260000077</v>
      </c>
      <c r="D384" s="1" t="str">
        <f ca="1">IFERROR(__xludf.DUMMYFUNCTION("""COMPUTED_VALUE"""),"All/BA")</f>
        <v>All/BA</v>
      </c>
      <c r="E384" s="1" t="str">
        <f ca="1">IFERROR(__xludf.DUMMYFUNCTION("""COMPUTED_VALUE"""),"p2/庫存")</f>
        <v>p2/庫存</v>
      </c>
      <c r="F384" s="1">
        <f ca="1">IFERROR(__xludf.DUMMYFUNCTION("""COMPUTED_VALUE"""),60)</f>
        <v>60</v>
      </c>
      <c r="G384" s="1"/>
      <c r="H384" s="1" t="str">
        <f ca="1">IFERROR(__xludf.DUMMYFUNCTION("""COMPUTED_VALUE"""),"P2")</f>
        <v>P2</v>
      </c>
      <c r="I384" s="1" t="str">
        <f ca="1">IFERROR(__xludf.DUMMYFUNCTION("""COMPUTED_VALUE"""),"Simon")</f>
        <v>Simon</v>
      </c>
    </row>
    <row r="385" spans="1:9" ht="12.7" x14ac:dyDescent="0.4">
      <c r="A385" s="2">
        <f ca="1">IFERROR(__xludf.DUMMYFUNCTION("""COMPUTED_VALUE"""),45441.9594268402)</f>
        <v>45441.9594268402</v>
      </c>
      <c r="B385" s="1" t="str">
        <f ca="1">IFERROR(__xludf.DUMMYFUNCTION("""COMPUTED_VALUE"""),"庫存調整")</f>
        <v>庫存調整</v>
      </c>
      <c r="C385" s="1" t="str">
        <f ca="1">IFERROR(__xludf.DUMMYFUNCTION("""COMPUTED_VALUE"""),"ME0020000525")</f>
        <v>ME0020000525</v>
      </c>
      <c r="D385" s="1" t="str">
        <f ca="1">IFERROR(__xludf.DUMMYFUNCTION("""COMPUTED_VALUE"""),"All/共用")</f>
        <v>All/共用</v>
      </c>
      <c r="E385" s="1" t="str">
        <f ca="1">IFERROR(__xludf.DUMMYFUNCTION("""COMPUTED_VALUE"""),"p2/庫存")</f>
        <v>p2/庫存</v>
      </c>
      <c r="F385" s="1">
        <f ca="1">IFERROR(__xludf.DUMMYFUNCTION("""COMPUTED_VALUE"""),1)</f>
        <v>1</v>
      </c>
      <c r="G385" s="1" t="str">
        <f ca="1">IFERROR(__xludf.DUMMYFUNCTION("""COMPUTED_VALUE"""),"2403E88F5B5B")</f>
        <v>2403E88F5B5B</v>
      </c>
      <c r="H385" s="1" t="str">
        <f ca="1">IFERROR(__xludf.DUMMYFUNCTION("""COMPUTED_VALUE"""),"P2")</f>
        <v>P2</v>
      </c>
      <c r="I385" s="1" t="str">
        <f ca="1">IFERROR(__xludf.DUMMYFUNCTION("""COMPUTED_VALUE"""),"Simon")</f>
        <v>Simon</v>
      </c>
    </row>
    <row r="386" spans="1:9" ht="12.7" x14ac:dyDescent="0.4">
      <c r="A386" s="2">
        <f ca="1">IFERROR(__xludf.DUMMYFUNCTION("""COMPUTED_VALUE"""),45441.9641099074)</f>
        <v>45441.9641099074</v>
      </c>
      <c r="B386" s="1" t="str">
        <f ca="1">IFERROR(__xludf.DUMMYFUNCTION("""COMPUTED_VALUE"""),"庫存調整")</f>
        <v>庫存調整</v>
      </c>
      <c r="C386" s="1" t="str">
        <f ca="1">IFERROR(__xludf.DUMMYFUNCTION("""COMPUTED_VALUE"""),"ME0120000270")</f>
        <v>ME0120000270</v>
      </c>
      <c r="D386" s="1" t="str">
        <f ca="1">IFERROR(__xludf.DUMMYFUNCTION("""COMPUTED_VALUE"""),"All/共用")</f>
        <v>All/共用</v>
      </c>
      <c r="E386" s="1" t="str">
        <f ca="1">IFERROR(__xludf.DUMMYFUNCTION("""COMPUTED_VALUE"""),"p2/庫存")</f>
        <v>p2/庫存</v>
      </c>
      <c r="F386" s="1">
        <f ca="1">IFERROR(__xludf.DUMMYFUNCTION("""COMPUTED_VALUE"""),1)</f>
        <v>1</v>
      </c>
      <c r="G386" s="1"/>
      <c r="H386" s="1" t="str">
        <f ca="1">IFERROR(__xludf.DUMMYFUNCTION("""COMPUTED_VALUE"""),"P2")</f>
        <v>P2</v>
      </c>
      <c r="I386" s="1" t="str">
        <f ca="1">IFERROR(__xludf.DUMMYFUNCTION("""COMPUTED_VALUE"""),"Simon")</f>
        <v>Simon</v>
      </c>
    </row>
    <row r="387" spans="1:9" ht="12.7" x14ac:dyDescent="0.4">
      <c r="A387" s="2">
        <f ca="1">IFERROR(__xludf.DUMMYFUNCTION("""COMPUTED_VALUE"""),45441.9656342361)</f>
        <v>45441.965634236098</v>
      </c>
      <c r="B387" s="1" t="str">
        <f ca="1">IFERROR(__xludf.DUMMYFUNCTION("""COMPUTED_VALUE"""),"庫存調整")</f>
        <v>庫存調整</v>
      </c>
      <c r="C387" s="1" t="str">
        <f ca="1">IFERROR(__xludf.DUMMYFUNCTION("""COMPUTED_VALUE"""),"ME0070000140")</f>
        <v>ME0070000140</v>
      </c>
      <c r="D387" s="1" t="str">
        <f ca="1">IFERROR(__xludf.DUMMYFUNCTION("""COMPUTED_VALUE"""),"All/BA")</f>
        <v>All/BA</v>
      </c>
      <c r="E387" s="1" t="str">
        <f ca="1">IFERROR(__xludf.DUMMYFUNCTION("""COMPUTED_VALUE"""),"p2/庫存")</f>
        <v>p2/庫存</v>
      </c>
      <c r="F387" s="1">
        <f ca="1">IFERROR(__xludf.DUMMYFUNCTION("""COMPUTED_VALUE"""),1)</f>
        <v>1</v>
      </c>
      <c r="G387" s="1"/>
      <c r="H387" s="1" t="str">
        <f ca="1">IFERROR(__xludf.DUMMYFUNCTION("""COMPUTED_VALUE"""),"P2")</f>
        <v>P2</v>
      </c>
      <c r="I387" s="1" t="str">
        <f ca="1">IFERROR(__xludf.DUMMYFUNCTION("""COMPUTED_VALUE"""),"Simon")</f>
        <v>Simon</v>
      </c>
    </row>
    <row r="388" spans="1:9" ht="12.7" x14ac:dyDescent="0.4">
      <c r="A388" s="2">
        <f ca="1">IFERROR(__xludf.DUMMYFUNCTION("""COMPUTED_VALUE"""),45441.9820128125)</f>
        <v>45441.982012812499</v>
      </c>
      <c r="B388" s="1" t="str">
        <f ca="1">IFERROR(__xludf.DUMMYFUNCTION("""COMPUTED_VALUE"""),"庫存調整")</f>
        <v>庫存調整</v>
      </c>
      <c r="C388" s="1" t="str">
        <f ca="1">IFERROR(__xludf.DUMMYFUNCTION("""COMPUTED_VALUE"""),"MM0220000046")</f>
        <v>MM0220000046</v>
      </c>
      <c r="D388" s="1" t="str">
        <f ca="1">IFERROR(__xludf.DUMMYFUNCTION("""COMPUTED_VALUE"""),"All/共用")</f>
        <v>All/共用</v>
      </c>
      <c r="E388" s="1" t="str">
        <f ca="1">IFERROR(__xludf.DUMMYFUNCTION("""COMPUTED_VALUE"""),"p1/庫存")</f>
        <v>p1/庫存</v>
      </c>
      <c r="F388" s="1">
        <f ca="1">IFERROR(__xludf.DUMMYFUNCTION("""COMPUTED_VALUE"""),2)</f>
        <v>2</v>
      </c>
      <c r="G388" s="1"/>
      <c r="H388" s="1" t="str">
        <f ca="1">IFERROR(__xludf.DUMMYFUNCTION("""COMPUTED_VALUE"""),"P1")</f>
        <v>P1</v>
      </c>
      <c r="I388" s="1" t="str">
        <f ca="1">IFERROR(__xludf.DUMMYFUNCTION("""COMPUTED_VALUE"""),"Simon")</f>
        <v>Simon</v>
      </c>
    </row>
    <row r="389" spans="1:9" ht="12.7" x14ac:dyDescent="0.4">
      <c r="A389" s="2">
        <f ca="1">IFERROR(__xludf.DUMMYFUNCTION("""COMPUTED_VALUE"""),45442.2967904166)</f>
        <v>45442.2967904166</v>
      </c>
      <c r="B389" s="1" t="str">
        <f ca="1">IFERROR(__xludf.DUMMYFUNCTION("""COMPUTED_VALUE"""),"領料")</f>
        <v>領料</v>
      </c>
      <c r="C389" s="1" t="str">
        <f ca="1">IFERROR(__xludf.DUMMYFUNCTION("""COMPUTED_VALUE"""),"MM0260000077")</f>
        <v>MM0260000077</v>
      </c>
      <c r="D389" s="1" t="str">
        <f ca="1">IFERROR(__xludf.DUMMYFUNCTION("""COMPUTED_VALUE"""),"All/BA")</f>
        <v>All/BA</v>
      </c>
      <c r="E389" s="1" t="str">
        <f ca="1">IFERROR(__xludf.DUMMYFUNCTION("""COMPUTED_VALUE"""),"p2/庫存")</f>
        <v>p2/庫存</v>
      </c>
      <c r="F389" s="1">
        <f ca="1">IFERROR(__xludf.DUMMYFUNCTION("""COMPUTED_VALUE"""),60)</f>
        <v>60</v>
      </c>
      <c r="G389" s="1"/>
      <c r="H389" s="1" t="str">
        <f ca="1">IFERROR(__xludf.DUMMYFUNCTION("""COMPUTED_VALUE"""),"P2")</f>
        <v>P2</v>
      </c>
      <c r="I389" s="1" t="str">
        <f ca="1">IFERROR(__xludf.DUMMYFUNCTION("""COMPUTED_VALUE"""),"Simon")</f>
        <v>Simon</v>
      </c>
    </row>
    <row r="390" spans="1:9" ht="12.7" x14ac:dyDescent="0.4">
      <c r="A390" s="2">
        <f ca="1">IFERROR(__xludf.DUMMYFUNCTION("""COMPUTED_VALUE"""),45442.4288941898)</f>
        <v>45442.428894189798</v>
      </c>
      <c r="B390" s="1" t="str">
        <f ca="1">IFERROR(__xludf.DUMMYFUNCTION("""COMPUTED_VALUE"""),"返修")</f>
        <v>返修</v>
      </c>
      <c r="C390" s="1" t="str">
        <f ca="1">IFERROR(__xludf.DUMMYFUNCTION("""COMPUTED_VALUE"""),"AGT000000006")</f>
        <v>AGT000000006</v>
      </c>
      <c r="D390" s="1" t="str">
        <f ca="1">IFERROR(__xludf.DUMMYFUNCTION("""COMPUTED_VALUE"""),"All/共用")</f>
        <v>All/共用</v>
      </c>
      <c r="E390" s="1" t="str">
        <f ca="1">IFERROR(__xludf.DUMMYFUNCTION("""COMPUTED_VALUE"""),"p1/庫存")</f>
        <v>p1/庫存</v>
      </c>
      <c r="F390" s="1">
        <f ca="1">IFERROR(__xludf.DUMMYFUNCTION("""COMPUTED_VALUE"""),4)</f>
        <v>4</v>
      </c>
      <c r="G390" s="1"/>
      <c r="H390" s="1" t="str">
        <f ca="1">IFERROR(__xludf.DUMMYFUNCTION("""COMPUTED_VALUE"""),"P1")</f>
        <v>P1</v>
      </c>
      <c r="I390" s="1" t="str">
        <f ca="1">IFERROR(__xludf.DUMMYFUNCTION("""COMPUTED_VALUE"""),"Chiao Yu")</f>
        <v>Chiao Yu</v>
      </c>
    </row>
    <row r="391" spans="1:9" ht="12.7" x14ac:dyDescent="0.4">
      <c r="A391" s="2">
        <f ca="1">IFERROR(__xludf.DUMMYFUNCTION("""COMPUTED_VALUE"""),45442.4294514236)</f>
        <v>45442.429451423603</v>
      </c>
      <c r="B391" s="1" t="str">
        <f ca="1">IFERROR(__xludf.DUMMYFUNCTION("""COMPUTED_VALUE"""),"返修")</f>
        <v>返修</v>
      </c>
      <c r="C391" s="1" t="str">
        <f ca="1">IFERROR(__xludf.DUMMYFUNCTION("""COMPUTED_VALUE"""),"ME0060000270")</f>
        <v>ME0060000270</v>
      </c>
      <c r="D391" s="1" t="str">
        <f ca="1">IFERROR(__xludf.DUMMYFUNCTION("""COMPUTED_VALUE"""),"All/共用")</f>
        <v>All/共用</v>
      </c>
      <c r="E391" s="1" t="str">
        <f ca="1">IFERROR(__xludf.DUMMYFUNCTION("""COMPUTED_VALUE"""),"p1/庫存")</f>
        <v>p1/庫存</v>
      </c>
      <c r="F391" s="1">
        <f ca="1">IFERROR(__xludf.DUMMYFUNCTION("""COMPUTED_VALUE"""),5)</f>
        <v>5</v>
      </c>
      <c r="G391" s="1"/>
      <c r="H391" s="1" t="str">
        <f ca="1">IFERROR(__xludf.DUMMYFUNCTION("""COMPUTED_VALUE"""),"P1")</f>
        <v>P1</v>
      </c>
      <c r="I391" s="1" t="str">
        <f ca="1">IFERROR(__xludf.DUMMYFUNCTION("""COMPUTED_VALUE"""),"Chiao Yu")</f>
        <v>Chiao Yu</v>
      </c>
    </row>
    <row r="392" spans="1:9" ht="12.7" x14ac:dyDescent="0.4">
      <c r="A392" s="2">
        <f ca="1">IFERROR(__xludf.DUMMYFUNCTION("""COMPUTED_VALUE"""),45442.4299222106)</f>
        <v>45442.429922210598</v>
      </c>
      <c r="B392" s="1" t="str">
        <f ca="1">IFERROR(__xludf.DUMMYFUNCTION("""COMPUTED_VALUE"""),"返修")</f>
        <v>返修</v>
      </c>
      <c r="C392" s="1" t="str">
        <f ca="1">IFERROR(__xludf.DUMMYFUNCTION("""COMPUTED_VALUE"""),"ME0060000270")</f>
        <v>ME0060000270</v>
      </c>
      <c r="D392" s="1" t="str">
        <f ca="1">IFERROR(__xludf.DUMMYFUNCTION("""COMPUTED_VALUE"""),"All/共用")</f>
        <v>All/共用</v>
      </c>
      <c r="E392" s="1" t="str">
        <f ca="1">IFERROR(__xludf.DUMMYFUNCTION("""COMPUTED_VALUE"""),"p2/庫存")</f>
        <v>p2/庫存</v>
      </c>
      <c r="F392" s="1">
        <f ca="1">IFERROR(__xludf.DUMMYFUNCTION("""COMPUTED_VALUE"""),13)</f>
        <v>13</v>
      </c>
      <c r="G392" s="1"/>
      <c r="H392" s="1" t="str">
        <f ca="1">IFERROR(__xludf.DUMMYFUNCTION("""COMPUTED_VALUE"""),"P2")</f>
        <v>P2</v>
      </c>
      <c r="I392" s="1" t="str">
        <f ca="1">IFERROR(__xludf.DUMMYFUNCTION("""COMPUTED_VALUE"""),"Chiao Yu")</f>
        <v>Chiao Yu</v>
      </c>
    </row>
    <row r="393" spans="1:9" ht="12.7" x14ac:dyDescent="0.4">
      <c r="A393" s="2">
        <f ca="1">IFERROR(__xludf.DUMMYFUNCTION("""COMPUTED_VALUE"""),45442.4494117824)</f>
        <v>45442.4494117824</v>
      </c>
      <c r="B393" s="1" t="str">
        <f ca="1">IFERROR(__xludf.DUMMYFUNCTION("""COMPUTED_VALUE"""),"庫存調整")</f>
        <v>庫存調整</v>
      </c>
      <c r="C393" s="1" t="str">
        <f ca="1">IFERROR(__xludf.DUMMYFUNCTION("""COMPUTED_VALUE"""),"ME0060000270")</f>
        <v>ME0060000270</v>
      </c>
      <c r="D393" s="1" t="str">
        <f ca="1">IFERROR(__xludf.DUMMYFUNCTION("""COMPUTED_VALUE"""),"All/共用")</f>
        <v>All/共用</v>
      </c>
      <c r="E393" s="1" t="str">
        <f ca="1">IFERROR(__xludf.DUMMYFUNCTION("""COMPUTED_VALUE"""),"p2/庫存")</f>
        <v>p2/庫存</v>
      </c>
      <c r="F393" s="1">
        <f ca="1">IFERROR(__xludf.DUMMYFUNCTION("""COMPUTED_VALUE"""),-13)</f>
        <v>-13</v>
      </c>
      <c r="G393" s="1"/>
      <c r="H393" s="1" t="str">
        <f ca="1">IFERROR(__xludf.DUMMYFUNCTION("""COMPUTED_VALUE"""),"P2")</f>
        <v>P2</v>
      </c>
      <c r="I393" s="1" t="str">
        <f ca="1">IFERROR(__xludf.DUMMYFUNCTION("""COMPUTED_VALUE"""),"Chiao Yu")</f>
        <v>Chiao Yu</v>
      </c>
    </row>
    <row r="394" spans="1:9" ht="12.7" x14ac:dyDescent="0.4">
      <c r="A394" s="2">
        <f ca="1">IFERROR(__xludf.DUMMYFUNCTION("""COMPUTED_VALUE"""),45442.4500496875)</f>
        <v>45442.450049687497</v>
      </c>
      <c r="B394" s="1" t="str">
        <f ca="1">IFERROR(__xludf.DUMMYFUNCTION("""COMPUTED_VALUE"""),"庫存調整")</f>
        <v>庫存調整</v>
      </c>
      <c r="C394" s="1" t="str">
        <f ca="1">IFERROR(__xludf.DUMMYFUNCTION("""COMPUTED_VALUE"""),"ME0060000270")</f>
        <v>ME0060000270</v>
      </c>
      <c r="D394" s="1" t="str">
        <f ca="1">IFERROR(__xludf.DUMMYFUNCTION("""COMPUTED_VALUE"""),"All/共用")</f>
        <v>All/共用</v>
      </c>
      <c r="E394" s="1" t="str">
        <f ca="1">IFERROR(__xludf.DUMMYFUNCTION("""COMPUTED_VALUE"""),"p1/庫存")</f>
        <v>p1/庫存</v>
      </c>
      <c r="F394" s="1">
        <f ca="1">IFERROR(__xludf.DUMMYFUNCTION("""COMPUTED_VALUE"""),13)</f>
        <v>13</v>
      </c>
      <c r="G394" s="1"/>
      <c r="H394" s="1" t="str">
        <f ca="1">IFERROR(__xludf.DUMMYFUNCTION("""COMPUTED_VALUE"""),"P1")</f>
        <v>P1</v>
      </c>
      <c r="I394" s="1" t="str">
        <f ca="1">IFERROR(__xludf.DUMMYFUNCTION("""COMPUTED_VALUE"""),"Chiao Yu")</f>
        <v>Chiao Yu</v>
      </c>
    </row>
    <row r="395" spans="1:9" ht="12.7" x14ac:dyDescent="0.4">
      <c r="A395" s="2">
        <f ca="1">IFERROR(__xludf.DUMMYFUNCTION("""COMPUTED_VALUE"""),45442.4776253935)</f>
        <v>45442.477625393498</v>
      </c>
      <c r="B395" s="1" t="str">
        <f ca="1">IFERROR(__xludf.DUMMYFUNCTION("""COMPUTED_VALUE"""),"返修")</f>
        <v>返修</v>
      </c>
      <c r="C395" s="1" t="str">
        <f ca="1">IFERROR(__xludf.DUMMYFUNCTION("""COMPUTED_VALUE"""),"ME0160000073")</f>
        <v>ME0160000073</v>
      </c>
      <c r="D395" s="1" t="str">
        <f ca="1">IFERROR(__xludf.DUMMYFUNCTION("""COMPUTED_VALUE"""),"All/BA")</f>
        <v>All/BA</v>
      </c>
      <c r="E395" s="1" t="str">
        <f ca="1">IFERROR(__xludf.DUMMYFUNCTION("""COMPUTED_VALUE"""),"p1/庫存")</f>
        <v>p1/庫存</v>
      </c>
      <c r="F395" s="1">
        <f ca="1">IFERROR(__xludf.DUMMYFUNCTION("""COMPUTED_VALUE"""),1)</f>
        <v>1</v>
      </c>
      <c r="G395" s="1" t="str">
        <f ca="1">IFERROR(__xludf.DUMMYFUNCTION("""COMPUTED_VALUE"""),"B2206371")</f>
        <v>B2206371</v>
      </c>
      <c r="H395" s="1" t="str">
        <f ca="1">IFERROR(__xludf.DUMMYFUNCTION("""COMPUTED_VALUE"""),"P1")</f>
        <v>P1</v>
      </c>
      <c r="I395" s="1" t="str">
        <f ca="1">IFERROR(__xludf.DUMMYFUNCTION("""COMPUTED_VALUE"""),"Chiao Yu")</f>
        <v>Chiao Yu</v>
      </c>
    </row>
    <row r="396" spans="1:9" ht="12.7" x14ac:dyDescent="0.4">
      <c r="A396" s="2">
        <f ca="1">IFERROR(__xludf.DUMMYFUNCTION("""COMPUTED_VALUE"""),45442.4803026967)</f>
        <v>45442.480302696698</v>
      </c>
      <c r="B396" s="1" t="str">
        <f ca="1">IFERROR(__xludf.DUMMYFUNCTION("""COMPUTED_VALUE"""),"返修")</f>
        <v>返修</v>
      </c>
      <c r="C396" s="1" t="str">
        <f ca="1">IFERROR(__xludf.DUMMYFUNCTION("""COMPUTED_VALUE"""),"ME0160000073")</f>
        <v>ME0160000073</v>
      </c>
      <c r="D396" s="1" t="str">
        <f ca="1">IFERROR(__xludf.DUMMYFUNCTION("""COMPUTED_VALUE"""),"All/BA")</f>
        <v>All/BA</v>
      </c>
      <c r="E396" s="1" t="str">
        <f ca="1">IFERROR(__xludf.DUMMYFUNCTION("""COMPUTED_VALUE"""),"p1/庫存")</f>
        <v>p1/庫存</v>
      </c>
      <c r="F396" s="1">
        <f ca="1">IFERROR(__xludf.DUMMYFUNCTION("""COMPUTED_VALUE"""),1)</f>
        <v>1</v>
      </c>
      <c r="G396" s="1" t="str">
        <f ca="1">IFERROR(__xludf.DUMMYFUNCTION("""COMPUTED_VALUE"""),"B2206368")</f>
        <v>B2206368</v>
      </c>
      <c r="H396" s="1" t="str">
        <f ca="1">IFERROR(__xludf.DUMMYFUNCTION("""COMPUTED_VALUE"""),"P1")</f>
        <v>P1</v>
      </c>
      <c r="I396" s="1" t="str">
        <f ca="1">IFERROR(__xludf.DUMMYFUNCTION("""COMPUTED_VALUE"""),"Chiao Yu")</f>
        <v>Chiao Yu</v>
      </c>
    </row>
    <row r="397" spans="1:9" ht="12.7" x14ac:dyDescent="0.4">
      <c r="A397" s="2">
        <f ca="1">IFERROR(__xludf.DUMMYFUNCTION("""COMPUTED_VALUE"""),45442.4820598842)</f>
        <v>45442.482059884198</v>
      </c>
      <c r="B397" s="1" t="str">
        <f ca="1">IFERROR(__xludf.DUMMYFUNCTION("""COMPUTED_VALUE"""),"料件上線時間")</f>
        <v>料件上線時間</v>
      </c>
      <c r="C397" s="1" t="str">
        <f ca="1">IFERROR(__xludf.DUMMYFUNCTION("""COMPUTED_VALUE"""),"ME0160000073")</f>
        <v>ME0160000073</v>
      </c>
      <c r="D397" s="1" t="str">
        <f ca="1">IFERROR(__xludf.DUMMYFUNCTION("""COMPUTED_VALUE"""),"All/BA")</f>
        <v>All/BA</v>
      </c>
      <c r="E397" s="1" t="str">
        <f ca="1">IFERROR(__xludf.DUMMYFUNCTION("""COMPUTED_VALUE"""),"p1/庫存")</f>
        <v>p1/庫存</v>
      </c>
      <c r="F397" s="1">
        <f ca="1">IFERROR(__xludf.DUMMYFUNCTION("""COMPUTED_VALUE"""),1)</f>
        <v>1</v>
      </c>
      <c r="G397" s="1" t="str">
        <f ca="1">IFERROR(__xludf.DUMMYFUNCTION("""COMPUTED_VALUE"""),"B2206368")</f>
        <v>B2206368</v>
      </c>
      <c r="H397" s="1" t="str">
        <f ca="1">IFERROR(__xludf.DUMMYFUNCTION("""COMPUTED_VALUE"""),"P1_009")</f>
        <v>P1_009</v>
      </c>
      <c r="I397" s="1" t="str">
        <f ca="1">IFERROR(__xludf.DUMMYFUNCTION("""COMPUTED_VALUE"""),"Chiao Yu")</f>
        <v>Chiao Yu</v>
      </c>
    </row>
    <row r="398" spans="1:9" ht="12.7" x14ac:dyDescent="0.4">
      <c r="A398" s="2">
        <f ca="1">IFERROR(__xludf.DUMMYFUNCTION("""COMPUTED_VALUE"""),45442.4894698495)</f>
        <v>45442.489469849497</v>
      </c>
      <c r="B398" s="1" t="str">
        <f ca="1">IFERROR(__xludf.DUMMYFUNCTION("""COMPUTED_VALUE"""),"送修")</f>
        <v>送修</v>
      </c>
      <c r="C398" s="1" t="str">
        <f ca="1">IFERROR(__xludf.DUMMYFUNCTION("""COMPUTED_VALUE"""),"ME0160000073")</f>
        <v>ME0160000073</v>
      </c>
      <c r="D398" s="1" t="str">
        <f ca="1">IFERROR(__xludf.DUMMYFUNCTION("""COMPUTED_VALUE"""),"All/BA")</f>
        <v>All/BA</v>
      </c>
      <c r="E398" s="1" t="str">
        <f ca="1">IFERROR(__xludf.DUMMYFUNCTION("""COMPUTED_VALUE"""),"p1/庫存")</f>
        <v>p1/庫存</v>
      </c>
      <c r="F398" s="1">
        <f ca="1">IFERROR(__xludf.DUMMYFUNCTION("""COMPUTED_VALUE"""),1)</f>
        <v>1</v>
      </c>
      <c r="G398" s="1" t="str">
        <f ca="1">IFERROR(__xludf.DUMMYFUNCTION("""COMPUTED_VALUE"""),"B1408044")</f>
        <v>B1408044</v>
      </c>
      <c r="H398" s="1" t="str">
        <f ca="1">IFERROR(__xludf.DUMMYFUNCTION("""COMPUTED_VALUE"""),"P1_009")</f>
        <v>P1_009</v>
      </c>
      <c r="I398" s="1" t="str">
        <f ca="1">IFERROR(__xludf.DUMMYFUNCTION("""COMPUTED_VALUE"""),"Chiao Yu")</f>
        <v>Chiao Yu</v>
      </c>
    </row>
    <row r="399" spans="1:9" ht="12.7" x14ac:dyDescent="0.4">
      <c r="A399" s="2">
        <f ca="1">IFERROR(__xludf.DUMMYFUNCTION("""COMPUTED_VALUE"""),45442.5330894328)</f>
        <v>45442.5330894328</v>
      </c>
      <c r="B399" s="1" t="str">
        <f ca="1">IFERROR(__xludf.DUMMYFUNCTION("""COMPUTED_VALUE"""),"進貨")</f>
        <v>進貨</v>
      </c>
      <c r="C399" s="1" t="str">
        <f ca="1">IFERROR(__xludf.DUMMYFUNCTION("""COMPUTED_VALUE"""),"A00700000482")</f>
        <v>A00700000482</v>
      </c>
      <c r="D399" s="1" t="str">
        <f ca="1">IFERROR(__xludf.DUMMYFUNCTION("""COMPUTED_VALUE"""),"All/SB")</f>
        <v>All/SB</v>
      </c>
      <c r="E399" s="1" t="str">
        <f ca="1">IFERROR(__xludf.DUMMYFUNCTION("""COMPUTED_VALUE"""),"p2/庫存")</f>
        <v>p2/庫存</v>
      </c>
      <c r="F399" s="1">
        <f ca="1">IFERROR(__xludf.DUMMYFUNCTION("""COMPUTED_VALUE"""),1)</f>
        <v>1</v>
      </c>
      <c r="G399" s="1"/>
      <c r="H399" s="1" t="str">
        <f ca="1">IFERROR(__xludf.DUMMYFUNCTION("""COMPUTED_VALUE"""),"P2")</f>
        <v>P2</v>
      </c>
      <c r="I399" s="1" t="str">
        <f ca="1">IFERROR(__xludf.DUMMYFUNCTION("""COMPUTED_VALUE"""),"Chiao Yu")</f>
        <v>Chiao Yu</v>
      </c>
    </row>
    <row r="400" spans="1:9" ht="12.7" x14ac:dyDescent="0.4">
      <c r="A400" s="2">
        <f ca="1">IFERROR(__xludf.DUMMYFUNCTION("""COMPUTED_VALUE"""),45442.5546966319)</f>
        <v>45442.554696631902</v>
      </c>
      <c r="B400" s="1" t="str">
        <f ca="1">IFERROR(__xludf.DUMMYFUNCTION("""COMPUTED_VALUE"""),"庫存調整")</f>
        <v>庫存調整</v>
      </c>
      <c r="C400" s="1" t="str">
        <f ca="1">IFERROR(__xludf.DUMMYFUNCTION("""COMPUTED_VALUE"""),"ME0060000270")</f>
        <v>ME0060000270</v>
      </c>
      <c r="D400" s="1" t="str">
        <f ca="1">IFERROR(__xludf.DUMMYFUNCTION("""COMPUTED_VALUE"""),"All/共用")</f>
        <v>All/共用</v>
      </c>
      <c r="E400" s="1" t="str">
        <f ca="1">IFERROR(__xludf.DUMMYFUNCTION("""COMPUTED_VALUE"""),"p1/庫存")</f>
        <v>p1/庫存</v>
      </c>
      <c r="F400" s="1">
        <f ca="1">IFERROR(__xludf.DUMMYFUNCTION("""COMPUTED_VALUE"""),-4)</f>
        <v>-4</v>
      </c>
      <c r="G400" s="1"/>
      <c r="H400" s="1" t="str">
        <f ca="1">IFERROR(__xludf.DUMMYFUNCTION("""COMPUTED_VALUE"""),"P1")</f>
        <v>P1</v>
      </c>
      <c r="I400" s="1" t="str">
        <f ca="1">IFERROR(__xludf.DUMMYFUNCTION("""COMPUTED_VALUE"""),"Chiao Yu")</f>
        <v>Chiao Yu</v>
      </c>
    </row>
    <row r="401" spans="1:9" ht="12.7" x14ac:dyDescent="0.4">
      <c r="A401" s="2">
        <f ca="1">IFERROR(__xludf.DUMMYFUNCTION("""COMPUTED_VALUE"""),45442.5551592476)</f>
        <v>45442.555159247597</v>
      </c>
      <c r="B401" s="1" t="str">
        <f ca="1">IFERROR(__xludf.DUMMYFUNCTION("""COMPUTED_VALUE"""),"庫存調整")</f>
        <v>庫存調整</v>
      </c>
      <c r="C401" s="1" t="str">
        <f ca="1">IFERROR(__xludf.DUMMYFUNCTION("""COMPUTED_VALUE"""),"ME0060000270")</f>
        <v>ME0060000270</v>
      </c>
      <c r="D401" s="1" t="str">
        <f ca="1">IFERROR(__xludf.DUMMYFUNCTION("""COMPUTED_VALUE"""),"All/共用")</f>
        <v>All/共用</v>
      </c>
      <c r="E401" s="1" t="str">
        <f ca="1">IFERROR(__xludf.DUMMYFUNCTION("""COMPUTED_VALUE"""),"p2/庫存")</f>
        <v>p2/庫存</v>
      </c>
      <c r="F401" s="1">
        <f ca="1">IFERROR(__xludf.DUMMYFUNCTION("""COMPUTED_VALUE"""),4)</f>
        <v>4</v>
      </c>
      <c r="G401" s="1"/>
      <c r="H401" s="1" t="str">
        <f ca="1">IFERROR(__xludf.DUMMYFUNCTION("""COMPUTED_VALUE"""),"P2")</f>
        <v>P2</v>
      </c>
      <c r="I401" s="1" t="str">
        <f ca="1">IFERROR(__xludf.DUMMYFUNCTION("""COMPUTED_VALUE"""),"Chiao Yu")</f>
        <v>Chiao Yu</v>
      </c>
    </row>
    <row r="402" spans="1:9" ht="12.7" x14ac:dyDescent="0.4">
      <c r="A402" s="2">
        <f ca="1">IFERROR(__xludf.DUMMYFUNCTION("""COMPUTED_VALUE"""),45442.5560266666)</f>
        <v>45442.5560266666</v>
      </c>
      <c r="B402" s="1" t="str">
        <f ca="1">IFERROR(__xludf.DUMMYFUNCTION("""COMPUTED_VALUE"""),"庫存調整")</f>
        <v>庫存調整</v>
      </c>
      <c r="C402" s="1" t="str">
        <f ca="1">IFERROR(__xludf.DUMMYFUNCTION("""COMPUTED_VALUE"""),"A00900000618")</f>
        <v>A00900000618</v>
      </c>
      <c r="D402" s="1" t="str">
        <f ca="1">IFERROR(__xludf.DUMMYFUNCTION("""COMPUTED_VALUE"""),"All/共用")</f>
        <v>All/共用</v>
      </c>
      <c r="E402" s="1" t="str">
        <f ca="1">IFERROR(__xludf.DUMMYFUNCTION("""COMPUTED_VALUE"""),"p2/庫存")</f>
        <v>p2/庫存</v>
      </c>
      <c r="F402" s="1">
        <f ca="1">IFERROR(__xludf.DUMMYFUNCTION("""COMPUTED_VALUE"""),-1)</f>
        <v>-1</v>
      </c>
      <c r="G402" s="1"/>
      <c r="H402" s="1" t="str">
        <f ca="1">IFERROR(__xludf.DUMMYFUNCTION("""COMPUTED_VALUE"""),"P2")</f>
        <v>P2</v>
      </c>
      <c r="I402" s="1" t="str">
        <f ca="1">IFERROR(__xludf.DUMMYFUNCTION("""COMPUTED_VALUE"""),"Chiao Yu")</f>
        <v>Chiao Yu</v>
      </c>
    </row>
    <row r="403" spans="1:9" ht="12.7" x14ac:dyDescent="0.4">
      <c r="A403" s="2">
        <f ca="1">IFERROR(__xludf.DUMMYFUNCTION("""COMPUTED_VALUE"""),45442.5565136805)</f>
        <v>45442.556513680502</v>
      </c>
      <c r="B403" s="1" t="str">
        <f ca="1">IFERROR(__xludf.DUMMYFUNCTION("""COMPUTED_VALUE"""),"庫存調整")</f>
        <v>庫存調整</v>
      </c>
      <c r="C403" s="1" t="str">
        <f ca="1">IFERROR(__xludf.DUMMYFUNCTION("""COMPUTED_VALUE"""),"A00900000618")</f>
        <v>A00900000618</v>
      </c>
      <c r="D403" s="1" t="str">
        <f ca="1">IFERROR(__xludf.DUMMYFUNCTION("""COMPUTED_VALUE"""),"All/共用")</f>
        <v>All/共用</v>
      </c>
      <c r="E403" s="1" t="str">
        <f ca="1">IFERROR(__xludf.DUMMYFUNCTION("""COMPUTED_VALUE"""),"p1/庫存")</f>
        <v>p1/庫存</v>
      </c>
      <c r="F403" s="1">
        <f ca="1">IFERROR(__xludf.DUMMYFUNCTION("""COMPUTED_VALUE"""),1)</f>
        <v>1</v>
      </c>
      <c r="G403" s="1"/>
      <c r="H403" s="1" t="str">
        <f ca="1">IFERROR(__xludf.DUMMYFUNCTION("""COMPUTED_VALUE"""),"P1")</f>
        <v>P1</v>
      </c>
      <c r="I403" s="1" t="str">
        <f ca="1">IFERROR(__xludf.DUMMYFUNCTION("""COMPUTED_VALUE"""),"Chiao Yu")</f>
        <v>Chiao Yu</v>
      </c>
    </row>
    <row r="404" spans="1:9" ht="12.7" x14ac:dyDescent="0.4">
      <c r="A404" s="2">
        <f ca="1">IFERROR(__xludf.DUMMYFUNCTION("""COMPUTED_VALUE"""),45442.5818353472)</f>
        <v>45442.581835347199</v>
      </c>
      <c r="B404" s="1" t="str">
        <f ca="1">IFERROR(__xludf.DUMMYFUNCTION("""COMPUTED_VALUE"""),"領料")</f>
        <v>領料</v>
      </c>
      <c r="C404" s="1" t="str">
        <f ca="1">IFERROR(__xludf.DUMMYFUNCTION("""COMPUTED_VALUE"""),"MM0220000046")</f>
        <v>MM0220000046</v>
      </c>
      <c r="D404" s="1" t="str">
        <f ca="1">IFERROR(__xludf.DUMMYFUNCTION("""COMPUTED_VALUE"""),"All/共用")</f>
        <v>All/共用</v>
      </c>
      <c r="E404" s="1" t="str">
        <f ca="1">IFERROR(__xludf.DUMMYFUNCTION("""COMPUTED_VALUE"""),"p1/庫存")</f>
        <v>p1/庫存</v>
      </c>
      <c r="F404" s="1">
        <f ca="1">IFERROR(__xludf.DUMMYFUNCTION("""COMPUTED_VALUE"""),1)</f>
        <v>1</v>
      </c>
      <c r="G404" s="1"/>
      <c r="H404" s="1" t="str">
        <f ca="1">IFERROR(__xludf.DUMMYFUNCTION("""COMPUTED_VALUE"""),"P1")</f>
        <v>P1</v>
      </c>
      <c r="I404" s="1" t="str">
        <f ca="1">IFERROR(__xludf.DUMMYFUNCTION("""COMPUTED_VALUE"""),"Chiao Yu")</f>
        <v>Chiao Yu</v>
      </c>
    </row>
    <row r="405" spans="1:9" ht="12.7" x14ac:dyDescent="0.4">
      <c r="A405" s="2">
        <f ca="1">IFERROR(__xludf.DUMMYFUNCTION("""COMPUTED_VALUE"""),45443.4902783101)</f>
        <v>45443.490278310099</v>
      </c>
      <c r="B405" s="1" t="str">
        <f ca="1">IFERROR(__xludf.DUMMYFUNCTION("""COMPUTED_VALUE"""),"料件上線時間")</f>
        <v>料件上線時間</v>
      </c>
      <c r="C405" s="1" t="str">
        <f ca="1">IFERROR(__xludf.DUMMYFUNCTION("""COMPUTED_VALUE"""),"ME0160000073")</f>
        <v>ME0160000073</v>
      </c>
      <c r="D405" s="1" t="str">
        <f ca="1">IFERROR(__xludf.DUMMYFUNCTION("""COMPUTED_VALUE"""),"All/BA")</f>
        <v>All/BA</v>
      </c>
      <c r="E405" s="1" t="str">
        <f ca="1">IFERROR(__xludf.DUMMYFUNCTION("""COMPUTED_VALUE"""),"p1/庫存")</f>
        <v>p1/庫存</v>
      </c>
      <c r="F405" s="1">
        <f ca="1">IFERROR(__xludf.DUMMYFUNCTION("""COMPUTED_VALUE"""),1)</f>
        <v>1</v>
      </c>
      <c r="G405" s="1" t="str">
        <f ca="1">IFERROR(__xludf.DUMMYFUNCTION("""COMPUTED_VALUE"""),"B2206371")</f>
        <v>B2206371</v>
      </c>
      <c r="H405" s="1" t="str">
        <f ca="1">IFERROR(__xludf.DUMMYFUNCTION("""COMPUTED_VALUE"""),"P1_016")</f>
        <v>P1_016</v>
      </c>
      <c r="I405" s="1" t="str">
        <f ca="1">IFERROR(__xludf.DUMMYFUNCTION("""COMPUTED_VALUE"""),"Chiao Yu")</f>
        <v>Chiao Yu</v>
      </c>
    </row>
    <row r="406" spans="1:9" ht="12.7" x14ac:dyDescent="0.4">
      <c r="A406" s="2">
        <f ca="1">IFERROR(__xludf.DUMMYFUNCTION("""COMPUTED_VALUE"""),45443.4913157523)</f>
        <v>45443.491315752297</v>
      </c>
      <c r="B406" s="1" t="str">
        <f ca="1">IFERROR(__xludf.DUMMYFUNCTION("""COMPUTED_VALUE"""),"送修")</f>
        <v>送修</v>
      </c>
      <c r="C406" s="1" t="str">
        <f ca="1">IFERROR(__xludf.DUMMYFUNCTION("""COMPUTED_VALUE"""),"ME0160000073")</f>
        <v>ME0160000073</v>
      </c>
      <c r="D406" s="1" t="str">
        <f ca="1">IFERROR(__xludf.DUMMYFUNCTION("""COMPUTED_VALUE"""),"All/BA")</f>
        <v>All/BA</v>
      </c>
      <c r="E406" s="1" t="str">
        <f ca="1">IFERROR(__xludf.DUMMYFUNCTION("""COMPUTED_VALUE"""),"p1/庫存")</f>
        <v>p1/庫存</v>
      </c>
      <c r="F406" s="1">
        <f ca="1">IFERROR(__xludf.DUMMYFUNCTION("""COMPUTED_VALUE"""),1)</f>
        <v>1</v>
      </c>
      <c r="G406" s="1" t="str">
        <f ca="1">IFERROR(__xludf.DUMMYFUNCTION("""COMPUTED_VALUE"""),"B1406006")</f>
        <v>B1406006</v>
      </c>
      <c r="H406" s="1" t="str">
        <f ca="1">IFERROR(__xludf.DUMMYFUNCTION("""COMPUTED_VALUE"""),"P1_016")</f>
        <v>P1_016</v>
      </c>
      <c r="I406" s="1" t="str">
        <f ca="1">IFERROR(__xludf.DUMMYFUNCTION("""COMPUTED_VALUE"""),"Chiao Yu")</f>
        <v>Chiao Yu</v>
      </c>
    </row>
    <row r="407" spans="1:9" ht="12.7" x14ac:dyDescent="0.4">
      <c r="A407" s="2">
        <f ca="1">IFERROR(__xludf.DUMMYFUNCTION("""COMPUTED_VALUE"""),45447.0483125115)</f>
        <v>45447.048312511499</v>
      </c>
      <c r="B407" s="1" t="str">
        <f ca="1">IFERROR(__xludf.DUMMYFUNCTION("""COMPUTED_VALUE"""),"返修")</f>
        <v>返修</v>
      </c>
      <c r="C407" s="1" t="str">
        <f ca="1">IFERROR(__xludf.DUMMYFUNCTION("""COMPUTED_VALUE"""),"ME0020000525")</f>
        <v>ME0020000525</v>
      </c>
      <c r="D407" s="1" t="str">
        <f ca="1">IFERROR(__xludf.DUMMYFUNCTION("""COMPUTED_VALUE"""),"All/共用")</f>
        <v>All/共用</v>
      </c>
      <c r="E407" s="1" t="str">
        <f ca="1">IFERROR(__xludf.DUMMYFUNCTION("""COMPUTED_VALUE"""),"p1/庫存")</f>
        <v>p1/庫存</v>
      </c>
      <c r="F407" s="1">
        <f ca="1">IFERROR(__xludf.DUMMYFUNCTION("""COMPUTED_VALUE"""),1)</f>
        <v>1</v>
      </c>
      <c r="G407" s="1" t="str">
        <f ca="1">IFERROR(__xludf.DUMMYFUNCTION("""COMPUTED_VALUE"""),"2412E8A0C020")</f>
        <v>2412E8A0C020</v>
      </c>
      <c r="H407" s="1" t="str">
        <f ca="1">IFERROR(__xludf.DUMMYFUNCTION("""COMPUTED_VALUE"""),"P1_028")</f>
        <v>P1_028</v>
      </c>
      <c r="I407" s="1" t="str">
        <f ca="1">IFERROR(__xludf.DUMMYFUNCTION("""COMPUTED_VALUE"""),"Simon")</f>
        <v>Simon</v>
      </c>
    </row>
    <row r="408" spans="1:9" ht="12.7" x14ac:dyDescent="0.4">
      <c r="A408" s="2">
        <f ca="1">IFERROR(__xludf.DUMMYFUNCTION("""COMPUTED_VALUE"""),45447.2302142013)</f>
        <v>45447.2302142013</v>
      </c>
      <c r="B408" s="1" t="str">
        <f ca="1">IFERROR(__xludf.DUMMYFUNCTION("""COMPUTED_VALUE"""),"領料")</f>
        <v>領料</v>
      </c>
      <c r="C408" s="1" t="str">
        <f ca="1">IFERROR(__xludf.DUMMYFUNCTION("""COMPUTED_VALUE"""),"MM0260000249")</f>
        <v>MM0260000249</v>
      </c>
      <c r="D408" s="1" t="str">
        <f ca="1">IFERROR(__xludf.DUMMYFUNCTION("""COMPUTED_VALUE"""),"All/RL")</f>
        <v>All/RL</v>
      </c>
      <c r="E408" s="1" t="str">
        <f ca="1">IFERROR(__xludf.DUMMYFUNCTION("""COMPUTED_VALUE"""),"p2/庫存")</f>
        <v>p2/庫存</v>
      </c>
      <c r="F408" s="1">
        <f ca="1">IFERROR(__xludf.DUMMYFUNCTION("""COMPUTED_VALUE"""),1)</f>
        <v>1</v>
      </c>
      <c r="G408" s="1"/>
      <c r="H408" s="1" t="str">
        <f ca="1">IFERROR(__xludf.DUMMYFUNCTION("""COMPUTED_VALUE"""),"P2_1001")</f>
        <v>P2_1001</v>
      </c>
      <c r="I408" s="1" t="str">
        <f ca="1">IFERROR(__xludf.DUMMYFUNCTION("""COMPUTED_VALUE"""),"Simon")</f>
        <v>Simon</v>
      </c>
    </row>
    <row r="409" spans="1:9" ht="12.7" x14ac:dyDescent="0.4">
      <c r="A409" s="2">
        <f ca="1">IFERROR(__xludf.DUMMYFUNCTION("""COMPUTED_VALUE"""),45447.231338125)</f>
        <v>45447.231338124999</v>
      </c>
      <c r="B409" s="1" t="str">
        <f ca="1">IFERROR(__xludf.DUMMYFUNCTION("""COMPUTED_VALUE"""),"庫存調整")</f>
        <v>庫存調整</v>
      </c>
      <c r="C409" s="1" t="str">
        <f ca="1">IFERROR(__xludf.DUMMYFUNCTION("""COMPUTED_VALUE"""),"AGT000000007")</f>
        <v>AGT000000007</v>
      </c>
      <c r="D409" s="1" t="str">
        <f ca="1">IFERROR(__xludf.DUMMYFUNCTION("""COMPUTED_VALUE"""),"All/共用")</f>
        <v>All/共用</v>
      </c>
      <c r="E409" s="1" t="str">
        <f ca="1">IFERROR(__xludf.DUMMYFUNCTION("""COMPUTED_VALUE"""),"p1/庫存")</f>
        <v>p1/庫存</v>
      </c>
      <c r="F409" s="1">
        <f ca="1">IFERROR(__xludf.DUMMYFUNCTION("""COMPUTED_VALUE"""),-1)</f>
        <v>-1</v>
      </c>
      <c r="G409" s="1"/>
      <c r="H409" s="1" t="str">
        <f ca="1">IFERROR(__xludf.DUMMYFUNCTION("""COMPUTED_VALUE"""),"P1")</f>
        <v>P1</v>
      </c>
      <c r="I409" s="1" t="str">
        <f ca="1">IFERROR(__xludf.DUMMYFUNCTION("""COMPUTED_VALUE"""),"Simon")</f>
        <v>Simon</v>
      </c>
    </row>
    <row r="410" spans="1:9" ht="12.7" x14ac:dyDescent="0.4">
      <c r="A410" s="2">
        <f ca="1">IFERROR(__xludf.DUMMYFUNCTION("""COMPUTED_VALUE"""),45447.2321828703)</f>
        <v>45447.232182870299</v>
      </c>
      <c r="B410" s="1" t="str">
        <f ca="1">IFERROR(__xludf.DUMMYFUNCTION("""COMPUTED_VALUE"""),"庫存調整")</f>
        <v>庫存調整</v>
      </c>
      <c r="C410" s="1" t="str">
        <f ca="1">IFERROR(__xludf.DUMMYFUNCTION("""COMPUTED_VALUE"""),"AGT000000007")</f>
        <v>AGT000000007</v>
      </c>
      <c r="D410" s="1" t="str">
        <f ca="1">IFERROR(__xludf.DUMMYFUNCTION("""COMPUTED_VALUE"""),"All/共用")</f>
        <v>All/共用</v>
      </c>
      <c r="E410" s="1" t="str">
        <f ca="1">IFERROR(__xludf.DUMMYFUNCTION("""COMPUTED_VALUE"""),"p2/庫存")</f>
        <v>p2/庫存</v>
      </c>
      <c r="F410" s="1">
        <f ca="1">IFERROR(__xludf.DUMMYFUNCTION("""COMPUTED_VALUE"""),1)</f>
        <v>1</v>
      </c>
      <c r="G410" s="1"/>
      <c r="H410" s="1" t="str">
        <f ca="1">IFERROR(__xludf.DUMMYFUNCTION("""COMPUTED_VALUE"""),"P2")</f>
        <v>P2</v>
      </c>
      <c r="I410" s="1" t="str">
        <f ca="1">IFERROR(__xludf.DUMMYFUNCTION("""COMPUTED_VALUE"""),"Simon")</f>
        <v>Simon</v>
      </c>
    </row>
    <row r="411" spans="1:9" ht="12.7" x14ac:dyDescent="0.4">
      <c r="A411" s="2">
        <f ca="1">IFERROR(__xludf.DUMMYFUNCTION("""COMPUTED_VALUE"""),45447.2330642592)</f>
        <v>45447.233064259199</v>
      </c>
      <c r="B411" s="1" t="str">
        <f ca="1">IFERROR(__xludf.DUMMYFUNCTION("""COMPUTED_VALUE"""),"領料")</f>
        <v>領料</v>
      </c>
      <c r="C411" s="1" t="str">
        <f ca="1">IFERROR(__xludf.DUMMYFUNCTION("""COMPUTED_VALUE"""),"AGT000000007")</f>
        <v>AGT000000007</v>
      </c>
      <c r="D411" s="1" t="str">
        <f ca="1">IFERROR(__xludf.DUMMYFUNCTION("""COMPUTED_VALUE"""),"All/共用")</f>
        <v>All/共用</v>
      </c>
      <c r="E411" s="1" t="str">
        <f ca="1">IFERROR(__xludf.DUMMYFUNCTION("""COMPUTED_VALUE"""),"p2/庫存")</f>
        <v>p2/庫存</v>
      </c>
      <c r="F411" s="1">
        <f ca="1">IFERROR(__xludf.DUMMYFUNCTION("""COMPUTED_VALUE"""),1)</f>
        <v>1</v>
      </c>
      <c r="G411" s="1"/>
      <c r="H411" s="1" t="str">
        <f ca="1">IFERROR(__xludf.DUMMYFUNCTION("""COMPUTED_VALUE"""),"P2_048")</f>
        <v>P2_048</v>
      </c>
      <c r="I411" s="1" t="str">
        <f ca="1">IFERROR(__xludf.DUMMYFUNCTION("""COMPUTED_VALUE"""),"Simon")</f>
        <v>Simon</v>
      </c>
    </row>
    <row r="412" spans="1:9" ht="12.7" x14ac:dyDescent="0.4">
      <c r="A412" s="2">
        <f ca="1">IFERROR(__xludf.DUMMYFUNCTION("""COMPUTED_VALUE"""),45448.3703603472)</f>
        <v>45448.370360347202</v>
      </c>
      <c r="B412" s="1" t="str">
        <f ca="1">IFERROR(__xludf.DUMMYFUNCTION("""COMPUTED_VALUE"""),"送修")</f>
        <v>送修</v>
      </c>
      <c r="C412" s="1" t="str">
        <f ca="1">IFERROR(__xludf.DUMMYFUNCTION("""COMPUTED_VALUE"""),"ME0060000270")</f>
        <v>ME0060000270</v>
      </c>
      <c r="D412" s="1" t="str">
        <f ca="1">IFERROR(__xludf.DUMMYFUNCTION("""COMPUTED_VALUE"""),"All/共用")</f>
        <v>All/共用</v>
      </c>
      <c r="E412" s="1" t="str">
        <f ca="1">IFERROR(__xludf.DUMMYFUNCTION("""COMPUTED_VALUE"""),"p2/庫存")</f>
        <v>p2/庫存</v>
      </c>
      <c r="F412" s="1">
        <f ca="1">IFERROR(__xludf.DUMMYFUNCTION("""COMPUTED_VALUE"""),1)</f>
        <v>1</v>
      </c>
      <c r="G412" s="1"/>
      <c r="H412" s="1" t="str">
        <f ca="1">IFERROR(__xludf.DUMMYFUNCTION("""COMPUTED_VALUE"""),"P2_031")</f>
        <v>P2_031</v>
      </c>
      <c r="I412" s="1" t="str">
        <f ca="1">IFERROR(__xludf.DUMMYFUNCTION("""COMPUTED_VALUE"""),"Barry")</f>
        <v>Barry</v>
      </c>
    </row>
    <row r="413" spans="1:9" ht="12.7" x14ac:dyDescent="0.4">
      <c r="A413" s="2">
        <f ca="1">IFERROR(__xludf.DUMMYFUNCTION("""COMPUTED_VALUE"""),45454.6398436574)</f>
        <v>45454.639843657402</v>
      </c>
      <c r="B413" s="1" t="str">
        <f ca="1">IFERROR(__xludf.DUMMYFUNCTION("""COMPUTED_VALUE"""),"庫存調整")</f>
        <v>庫存調整</v>
      </c>
      <c r="C413" s="1" t="str">
        <f ca="1">IFERROR(__xludf.DUMMYFUNCTION("""COMPUTED_VALUE"""),"ME0020000554")</f>
        <v>ME0020000554</v>
      </c>
      <c r="D413" s="1" t="str">
        <f ca="1">IFERROR(__xludf.DUMMYFUNCTION("""COMPUTED_VALUE"""),"All/共用")</f>
        <v>All/共用</v>
      </c>
      <c r="E413" s="1" t="str">
        <f ca="1">IFERROR(__xludf.DUMMYFUNCTION("""COMPUTED_VALUE"""),"p1/庫存")</f>
        <v>p1/庫存</v>
      </c>
      <c r="F413" s="1">
        <f ca="1">IFERROR(__xludf.DUMMYFUNCTION("""COMPUTED_VALUE"""),1)</f>
        <v>1</v>
      </c>
      <c r="G413" s="1"/>
      <c r="H413" s="1" t="str">
        <f ca="1">IFERROR(__xludf.DUMMYFUNCTION("""COMPUTED_VALUE"""),"P1")</f>
        <v>P1</v>
      </c>
      <c r="I413" s="1" t="str">
        <f ca="1">IFERROR(__xludf.DUMMYFUNCTION("""COMPUTED_VALUE"""),"Chiao Yu")</f>
        <v>Chiao Yu</v>
      </c>
    </row>
    <row r="414" spans="1:9" ht="12.7" x14ac:dyDescent="0.4">
      <c r="A414" s="2">
        <f ca="1">IFERROR(__xludf.DUMMYFUNCTION("""COMPUTED_VALUE"""),45456.111847662)</f>
        <v>45456.111847662003</v>
      </c>
      <c r="B414" s="1" t="str">
        <f ca="1">IFERROR(__xludf.DUMMYFUNCTION("""COMPUTED_VALUE"""),"領料")</f>
        <v>領料</v>
      </c>
      <c r="C414" s="1" t="str">
        <f ca="1">IFERROR(__xludf.DUMMYFUNCTION("""COMPUTED_VALUE"""),"ME0060000270")</f>
        <v>ME0060000270</v>
      </c>
      <c r="D414" s="1" t="str">
        <f ca="1">IFERROR(__xludf.DUMMYFUNCTION("""COMPUTED_VALUE"""),"All/共用")</f>
        <v>All/共用</v>
      </c>
      <c r="E414" s="1" t="str">
        <f ca="1">IFERROR(__xludf.DUMMYFUNCTION("""COMPUTED_VALUE"""),"p2/庫存")</f>
        <v>p2/庫存</v>
      </c>
      <c r="F414" s="1">
        <f ca="1">IFERROR(__xludf.DUMMYFUNCTION("""COMPUTED_VALUE"""),3)</f>
        <v>3</v>
      </c>
      <c r="G414" s="1"/>
      <c r="H414" s="1" t="str">
        <f ca="1">IFERROR(__xludf.DUMMYFUNCTION("""COMPUTED_VALUE"""),"P2")</f>
        <v>P2</v>
      </c>
      <c r="I414" s="1" t="str">
        <f ca="1">IFERROR(__xludf.DUMMYFUNCTION("""COMPUTED_VALUE"""),"Simon")</f>
        <v>Simon</v>
      </c>
    </row>
    <row r="415" spans="1:9" ht="12.7" x14ac:dyDescent="0.4">
      <c r="A415" s="2">
        <f ca="1">IFERROR(__xludf.DUMMYFUNCTION("""COMPUTED_VALUE"""),45456.2461221296)</f>
        <v>45456.246122129603</v>
      </c>
      <c r="B415" s="1" t="str">
        <f ca="1">IFERROR(__xludf.DUMMYFUNCTION("""COMPUTED_VALUE"""),"庫存調整")</f>
        <v>庫存調整</v>
      </c>
      <c r="C415" s="1" t="str">
        <f ca="1">IFERROR(__xludf.DUMMYFUNCTION("""COMPUTED_VALUE"""),"ME0010000382")</f>
        <v>ME0010000382</v>
      </c>
      <c r="D415" s="1" t="str">
        <f ca="1">IFERROR(__xludf.DUMMYFUNCTION("""COMPUTED_VALUE"""),"All/共用")</f>
        <v>All/共用</v>
      </c>
      <c r="E415" s="1" t="str">
        <f ca="1">IFERROR(__xludf.DUMMYFUNCTION("""COMPUTED_VALUE"""),"p2/庫存")</f>
        <v>p2/庫存</v>
      </c>
      <c r="F415" s="1">
        <f ca="1">IFERROR(__xludf.DUMMYFUNCTION("""COMPUTED_VALUE"""),-1)</f>
        <v>-1</v>
      </c>
      <c r="G415" s="1"/>
      <c r="H415" s="1" t="str">
        <f ca="1">IFERROR(__xludf.DUMMYFUNCTION("""COMPUTED_VALUE"""),"P2")</f>
        <v>P2</v>
      </c>
      <c r="I415" s="1" t="str">
        <f ca="1">IFERROR(__xludf.DUMMYFUNCTION("""COMPUTED_VALUE"""),"Simon")</f>
        <v>Simon</v>
      </c>
    </row>
    <row r="416" spans="1:9" ht="12.7" x14ac:dyDescent="0.4">
      <c r="A416" s="2">
        <f ca="1">IFERROR(__xludf.DUMMYFUNCTION("""COMPUTED_VALUE"""),45456.2711053356)</f>
        <v>45456.271105335603</v>
      </c>
      <c r="B416" s="1" t="str">
        <f ca="1">IFERROR(__xludf.DUMMYFUNCTION("""COMPUTED_VALUE"""),"領料")</f>
        <v>領料</v>
      </c>
      <c r="C416" s="1" t="str">
        <f ca="1">IFERROR(__xludf.DUMMYFUNCTION("""COMPUTED_VALUE"""),"MM0260000249")</f>
        <v>MM0260000249</v>
      </c>
      <c r="D416" s="1" t="str">
        <f ca="1">IFERROR(__xludf.DUMMYFUNCTION("""COMPUTED_VALUE"""),"All/RL")</f>
        <v>All/RL</v>
      </c>
      <c r="E416" s="1" t="str">
        <f ca="1">IFERROR(__xludf.DUMMYFUNCTION("""COMPUTED_VALUE"""),"p2/庫存")</f>
        <v>p2/庫存</v>
      </c>
      <c r="F416" s="1">
        <f ca="1">IFERROR(__xludf.DUMMYFUNCTION("""COMPUTED_VALUE"""),1)</f>
        <v>1</v>
      </c>
      <c r="G416" s="1"/>
      <c r="H416" s="1" t="str">
        <f ca="1">IFERROR(__xludf.DUMMYFUNCTION("""COMPUTED_VALUE"""),"P2_1002")</f>
        <v>P2_1002</v>
      </c>
      <c r="I416" s="1" t="str">
        <f ca="1">IFERROR(__xludf.DUMMYFUNCTION("""COMPUTED_VALUE"""),"Simon")</f>
        <v>Simon</v>
      </c>
    </row>
    <row r="417" spans="1:9" ht="12.7" x14ac:dyDescent="0.4">
      <c r="A417" s="2">
        <f ca="1">IFERROR(__xludf.DUMMYFUNCTION("""COMPUTED_VALUE"""),45456.3535234143)</f>
        <v>45456.353523414298</v>
      </c>
      <c r="B417" s="1" t="str">
        <f ca="1">IFERROR(__xludf.DUMMYFUNCTION("""COMPUTED_VALUE"""),"料件上線時間")</f>
        <v>料件上線時間</v>
      </c>
      <c r="C417" s="1" t="str">
        <f ca="1">IFERROR(__xludf.DUMMYFUNCTION("""COMPUTED_VALUE"""),"ME0160000073")</f>
        <v>ME0160000073</v>
      </c>
      <c r="D417" s="1" t="str">
        <f ca="1">IFERROR(__xludf.DUMMYFUNCTION("""COMPUTED_VALUE"""),"All/BA")</f>
        <v>All/BA</v>
      </c>
      <c r="E417" s="1" t="str">
        <f ca="1">IFERROR(__xludf.DUMMYFUNCTION("""COMPUTED_VALUE"""),"p1/庫存")</f>
        <v>p1/庫存</v>
      </c>
      <c r="F417" s="1">
        <f ca="1">IFERROR(__xludf.DUMMYFUNCTION("""COMPUTED_VALUE"""),1)</f>
        <v>1</v>
      </c>
      <c r="G417" s="1" t="str">
        <f ca="1">IFERROR(__xludf.DUMMYFUNCTION("""COMPUTED_VALUE"""),"B2206375")</f>
        <v>B2206375</v>
      </c>
      <c r="H417" s="1" t="str">
        <f ca="1">IFERROR(__xludf.DUMMYFUNCTION("""COMPUTED_VALUE"""),"P2_048")</f>
        <v>P2_048</v>
      </c>
      <c r="I417" s="1" t="str">
        <f ca="1">IFERROR(__xludf.DUMMYFUNCTION("""COMPUTED_VALUE"""),"Chiao Yu")</f>
        <v>Chiao Yu</v>
      </c>
    </row>
    <row r="418" spans="1:9" ht="12.7" x14ac:dyDescent="0.4">
      <c r="A418" s="2">
        <f ca="1">IFERROR(__xludf.DUMMYFUNCTION("""COMPUTED_VALUE"""),45456.5994328703)</f>
        <v>45456.599432870302</v>
      </c>
      <c r="B418" s="1" t="str">
        <f ca="1">IFERROR(__xludf.DUMMYFUNCTION("""COMPUTED_VALUE"""),"領料")</f>
        <v>領料</v>
      </c>
      <c r="C418" s="1" t="str">
        <f ca="1">IFERROR(__xludf.DUMMYFUNCTION("""COMPUTED_VALUE"""),"ME0120000085")</f>
        <v>ME0120000085</v>
      </c>
      <c r="D418" s="1" t="str">
        <f ca="1">IFERROR(__xludf.DUMMYFUNCTION("""COMPUTED_VALUE"""),"All/BA")</f>
        <v>All/BA</v>
      </c>
      <c r="E418" s="1" t="str">
        <f ca="1">IFERROR(__xludf.DUMMYFUNCTION("""COMPUTED_VALUE"""),"p1/庫存")</f>
        <v>p1/庫存</v>
      </c>
      <c r="F418" s="1">
        <f ca="1">IFERROR(__xludf.DUMMYFUNCTION("""COMPUTED_VALUE"""),180)</f>
        <v>180</v>
      </c>
      <c r="G418" s="1"/>
      <c r="H418" s="1" t="str">
        <f ca="1">IFERROR(__xludf.DUMMYFUNCTION("""COMPUTED_VALUE"""),"P1")</f>
        <v>P1</v>
      </c>
      <c r="I418" s="1" t="str">
        <f ca="1">IFERROR(__xludf.DUMMYFUNCTION("""COMPUTED_VALUE"""),"Chiao Yu")</f>
        <v>Chiao Yu</v>
      </c>
    </row>
    <row r="419" spans="1:9" ht="12.7" x14ac:dyDescent="0.4">
      <c r="A419" s="2">
        <f ca="1">IFERROR(__xludf.DUMMYFUNCTION("""COMPUTED_VALUE"""),45463.2745974884)</f>
        <v>45463.274597488402</v>
      </c>
      <c r="B419" s="1" t="str">
        <f ca="1">IFERROR(__xludf.DUMMYFUNCTION("""COMPUTED_VALUE"""),"送修")</f>
        <v>送修</v>
      </c>
      <c r="C419" s="1" t="str">
        <f ca="1">IFERROR(__xludf.DUMMYFUNCTION("""COMPUTED_VALUE"""),"A00100000731")</f>
        <v>A00100000731</v>
      </c>
      <c r="D419" s="1" t="str">
        <f ca="1">IFERROR(__xludf.DUMMYFUNCTION("""COMPUTED_VALUE"""),"All/BA")</f>
        <v>All/BA</v>
      </c>
      <c r="E419" s="1" t="str">
        <f ca="1">IFERROR(__xludf.DUMMYFUNCTION("""COMPUTED_VALUE"""),"p2/庫存")</f>
        <v>p2/庫存</v>
      </c>
      <c r="F419" s="1">
        <f ca="1">IFERROR(__xludf.DUMMYFUNCTION("""COMPUTED_VALUE"""),1)</f>
        <v>1</v>
      </c>
      <c r="G419" s="1" t="str">
        <f ca="1">IFERROR(__xludf.DUMMYFUNCTION("""COMPUTED_VALUE"""),"10F178")</f>
        <v>10F178</v>
      </c>
      <c r="H419" s="1" t="str">
        <f ca="1">IFERROR(__xludf.DUMMYFUNCTION("""COMPUTED_VALUE"""),"P2_041")</f>
        <v>P2_041</v>
      </c>
      <c r="I419" s="1" t="str">
        <f ca="1">IFERROR(__xludf.DUMMYFUNCTION("""COMPUTED_VALUE"""),"Simon")</f>
        <v>Simon</v>
      </c>
    </row>
    <row r="420" spans="1:9" ht="12.7" x14ac:dyDescent="0.4">
      <c r="A420" s="2">
        <f ca="1">IFERROR(__xludf.DUMMYFUNCTION("""COMPUTED_VALUE"""),45463.2772254976)</f>
        <v>45463.277225497601</v>
      </c>
      <c r="B420" s="1" t="str">
        <f ca="1">IFERROR(__xludf.DUMMYFUNCTION("""COMPUTED_VALUE"""),"料件上線時間")</f>
        <v>料件上線時間</v>
      </c>
      <c r="C420" s="1" t="str">
        <f ca="1">IFERROR(__xludf.DUMMYFUNCTION("""COMPUTED_VALUE"""),"A00100000731")</f>
        <v>A00100000731</v>
      </c>
      <c r="D420" s="1" t="str">
        <f ca="1">IFERROR(__xludf.DUMMYFUNCTION("""COMPUTED_VALUE"""),"All/BA")</f>
        <v>All/BA</v>
      </c>
      <c r="E420" s="1" t="str">
        <f ca="1">IFERROR(__xludf.DUMMYFUNCTION("""COMPUTED_VALUE"""),"p2/庫存")</f>
        <v>p2/庫存</v>
      </c>
      <c r="F420" s="1">
        <f ca="1">IFERROR(__xludf.DUMMYFUNCTION("""COMPUTED_VALUE"""),1)</f>
        <v>1</v>
      </c>
      <c r="G420" s="1" t="str">
        <f ca="1">IFERROR(__xludf.DUMMYFUNCTION("""COMPUTED_VALUE"""),"04F389 ")</f>
        <v xml:space="preserve">04F389 </v>
      </c>
      <c r="H420" s="1" t="str">
        <f ca="1">IFERROR(__xludf.DUMMYFUNCTION("""COMPUTED_VALUE"""),"P2_041")</f>
        <v>P2_041</v>
      </c>
      <c r="I420" s="1" t="str">
        <f ca="1">IFERROR(__xludf.DUMMYFUNCTION("""COMPUTED_VALUE"""),"Simon")</f>
        <v>Simon</v>
      </c>
    </row>
    <row r="421" spans="1:9" ht="12.7" x14ac:dyDescent="0.4">
      <c r="A421" s="2">
        <f ca="1">IFERROR(__xludf.DUMMYFUNCTION("""COMPUTED_VALUE"""),45463.6913810532)</f>
        <v>45463.691381053199</v>
      </c>
      <c r="B421" s="1" t="str">
        <f ca="1">IFERROR(__xludf.DUMMYFUNCTION("""COMPUTED_VALUE"""),"領料")</f>
        <v>領料</v>
      </c>
      <c r="C421" s="1" t="str">
        <f ca="1">IFERROR(__xludf.DUMMYFUNCTION("""COMPUTED_VALUE"""),"ME0010000263")</f>
        <v>ME0010000263</v>
      </c>
      <c r="D421" s="1" t="str">
        <f ca="1">IFERROR(__xludf.DUMMYFUNCTION("""COMPUTED_VALUE"""),"All/共用")</f>
        <v>All/共用</v>
      </c>
      <c r="E421" s="1" t="str">
        <f ca="1">IFERROR(__xludf.DUMMYFUNCTION("""COMPUTED_VALUE"""),"p1/庫存")</f>
        <v>p1/庫存</v>
      </c>
      <c r="F421" s="1">
        <f ca="1">IFERROR(__xludf.DUMMYFUNCTION("""COMPUTED_VALUE"""),2)</f>
        <v>2</v>
      </c>
      <c r="G421" s="1"/>
      <c r="H421" s="1" t="str">
        <f ca="1">IFERROR(__xludf.DUMMYFUNCTION("""COMPUTED_VALUE"""),"P1")</f>
        <v>P1</v>
      </c>
      <c r="I421" s="1" t="str">
        <f ca="1">IFERROR(__xludf.DUMMYFUNCTION("""COMPUTED_VALUE"""),"Chiao Yu")</f>
        <v>Chiao Yu</v>
      </c>
    </row>
    <row r="422" spans="1:9" ht="12.7" x14ac:dyDescent="0.4">
      <c r="A422" s="2">
        <f ca="1">IFERROR(__xludf.DUMMYFUNCTION("""COMPUTED_VALUE"""),45464.1736687731)</f>
        <v>45464.173668773103</v>
      </c>
      <c r="B422" s="1" t="str">
        <f ca="1">IFERROR(__xludf.DUMMYFUNCTION("""COMPUTED_VALUE"""),"領料")</f>
        <v>領料</v>
      </c>
      <c r="C422" s="1" t="str">
        <f ca="1">IFERROR(__xludf.DUMMYFUNCTION("""COMPUTED_VALUE"""),"AGT000000007")</f>
        <v>AGT000000007</v>
      </c>
      <c r="D422" s="1" t="str">
        <f ca="1">IFERROR(__xludf.DUMMYFUNCTION("""COMPUTED_VALUE"""),"All/共用")</f>
        <v>All/共用</v>
      </c>
      <c r="E422" s="1" t="str">
        <f ca="1">IFERROR(__xludf.DUMMYFUNCTION("""COMPUTED_VALUE"""),"p1/庫存")</f>
        <v>p1/庫存</v>
      </c>
      <c r="F422" s="1">
        <f ca="1">IFERROR(__xludf.DUMMYFUNCTION("""COMPUTED_VALUE"""),1)</f>
        <v>1</v>
      </c>
      <c r="G422" s="1"/>
      <c r="H422" s="1" t="str">
        <f ca="1">IFERROR(__xludf.DUMMYFUNCTION("""COMPUTED_VALUE"""),"P1_3001")</f>
        <v>P1_3001</v>
      </c>
      <c r="I422" s="1" t="str">
        <f ca="1">IFERROR(__xludf.DUMMYFUNCTION("""COMPUTED_VALUE"""),"Simon")</f>
        <v>Simon</v>
      </c>
    </row>
    <row r="423" spans="1:9" ht="12.7" x14ac:dyDescent="0.4">
      <c r="A423" s="2">
        <f ca="1">IFERROR(__xludf.DUMMYFUNCTION("""COMPUTED_VALUE"""),45464.2964171759)</f>
        <v>45464.296417175901</v>
      </c>
      <c r="B423" s="1" t="str">
        <f ca="1">IFERROR(__xludf.DUMMYFUNCTION("""COMPUTED_VALUE"""),"領料")</f>
        <v>領料</v>
      </c>
      <c r="C423" s="1" t="str">
        <f ca="1">IFERROR(__xludf.DUMMYFUNCTION("""COMPUTED_VALUE"""),"MM0260000157")</f>
        <v>MM0260000157</v>
      </c>
      <c r="D423" s="1" t="str">
        <f ca="1">IFERROR(__xludf.DUMMYFUNCTION("""COMPUTED_VALUE"""),"All/BA")</f>
        <v>All/BA</v>
      </c>
      <c r="E423" s="1" t="str">
        <f ca="1">IFERROR(__xludf.DUMMYFUNCTION("""COMPUTED_VALUE"""),"p2/庫存")</f>
        <v>p2/庫存</v>
      </c>
      <c r="F423" s="1">
        <f ca="1">IFERROR(__xludf.DUMMYFUNCTION("""COMPUTED_VALUE"""),2)</f>
        <v>2</v>
      </c>
      <c r="G423" s="1"/>
      <c r="H423" s="1" t="str">
        <f ca="1">IFERROR(__xludf.DUMMYFUNCTION("""COMPUTED_VALUE"""),"P2_2003")</f>
        <v>P2_2003</v>
      </c>
      <c r="I423" s="1" t="str">
        <f ca="1">IFERROR(__xludf.DUMMYFUNCTION("""COMPUTED_VALUE"""),"Simon")</f>
        <v>Simon</v>
      </c>
    </row>
    <row r="424" spans="1:9" ht="12.7" x14ac:dyDescent="0.4">
      <c r="A424" s="2">
        <f ca="1">IFERROR(__xludf.DUMMYFUNCTION("""COMPUTED_VALUE"""),45467.4190152546)</f>
        <v>45467.4190152546</v>
      </c>
      <c r="B424" s="1" t="str">
        <f ca="1">IFERROR(__xludf.DUMMYFUNCTION("""COMPUTED_VALUE"""),"領料")</f>
        <v>領料</v>
      </c>
      <c r="C424" s="1" t="str">
        <f ca="1">IFERROR(__xludf.DUMMYFUNCTION("""COMPUTED_VALUE"""),"ME0030000058")</f>
        <v>ME0030000058</v>
      </c>
      <c r="D424" s="1" t="str">
        <f ca="1">IFERROR(__xludf.DUMMYFUNCTION("""COMPUTED_VALUE"""),"All/共用")</f>
        <v>All/共用</v>
      </c>
      <c r="E424" s="1" t="str">
        <f ca="1">IFERROR(__xludf.DUMMYFUNCTION("""COMPUTED_VALUE"""),"p2/庫存")</f>
        <v>p2/庫存</v>
      </c>
      <c r="F424" s="1">
        <f ca="1">IFERROR(__xludf.DUMMYFUNCTION("""COMPUTED_VALUE"""),1)</f>
        <v>1</v>
      </c>
      <c r="G424" s="1"/>
      <c r="H424" s="1" t="str">
        <f ca="1">IFERROR(__xludf.DUMMYFUNCTION("""COMPUTED_VALUE"""),"P2")</f>
        <v>P2</v>
      </c>
      <c r="I424" s="1" t="str">
        <f ca="1">IFERROR(__xludf.DUMMYFUNCTION("""COMPUTED_VALUE"""),"Simon")</f>
        <v>Simon</v>
      </c>
    </row>
    <row r="425" spans="1:9" ht="12.7" x14ac:dyDescent="0.4">
      <c r="A425" s="2">
        <f ca="1">IFERROR(__xludf.DUMMYFUNCTION("""COMPUTED_VALUE"""),45468.2775689351)</f>
        <v>45468.277568935096</v>
      </c>
      <c r="B425" s="1" t="str">
        <f ca="1">IFERROR(__xludf.DUMMYFUNCTION("""COMPUTED_VALUE"""),"領料")</f>
        <v>領料</v>
      </c>
      <c r="C425" s="1" t="str">
        <f ca="1">IFERROR(__xludf.DUMMYFUNCTION("""COMPUTED_VALUE"""),"AGT000000007")</f>
        <v>AGT000000007</v>
      </c>
      <c r="D425" s="1" t="str">
        <f ca="1">IFERROR(__xludf.DUMMYFUNCTION("""COMPUTED_VALUE"""),"All/共用")</f>
        <v>All/共用</v>
      </c>
      <c r="E425" s="1" t="str">
        <f ca="1">IFERROR(__xludf.DUMMYFUNCTION("""COMPUTED_VALUE"""),"p2/庫存")</f>
        <v>p2/庫存</v>
      </c>
      <c r="F425" s="1">
        <f ca="1">IFERROR(__xludf.DUMMYFUNCTION("""COMPUTED_VALUE"""),1)</f>
        <v>1</v>
      </c>
      <c r="G425" s="1"/>
      <c r="H425" s="1" t="str">
        <f ca="1">IFERROR(__xludf.DUMMYFUNCTION("""COMPUTED_VALUE"""),"P2_047")</f>
        <v>P2_047</v>
      </c>
      <c r="I425" s="1" t="str">
        <f ca="1">IFERROR(__xludf.DUMMYFUNCTION("""COMPUTED_VALUE"""),"Simon")</f>
        <v>Simon</v>
      </c>
    </row>
    <row r="426" spans="1:9" ht="12.7" x14ac:dyDescent="0.4">
      <c r="A426" s="2">
        <f ca="1">IFERROR(__xludf.DUMMYFUNCTION("""COMPUTED_VALUE"""),45468.5261732175)</f>
        <v>45468.526173217499</v>
      </c>
      <c r="B426" s="1" t="str">
        <f ca="1">IFERROR(__xludf.DUMMYFUNCTION("""COMPUTED_VALUE"""),"領料")</f>
        <v>領料</v>
      </c>
      <c r="C426" s="1" t="str">
        <f ca="1">IFERROR(__xludf.DUMMYFUNCTION("""COMPUTED_VALUE"""),"ME0010000263")</f>
        <v>ME0010000263</v>
      </c>
      <c r="D426" s="1" t="str">
        <f ca="1">IFERROR(__xludf.DUMMYFUNCTION("""COMPUTED_VALUE"""),"All/共用")</f>
        <v>All/共用</v>
      </c>
      <c r="E426" s="1" t="str">
        <f ca="1">IFERROR(__xludf.DUMMYFUNCTION("""COMPUTED_VALUE"""),"p1/庫存")</f>
        <v>p1/庫存</v>
      </c>
      <c r="F426" s="1">
        <f ca="1">IFERROR(__xludf.DUMMYFUNCTION("""COMPUTED_VALUE"""),1)</f>
        <v>1</v>
      </c>
      <c r="G426" s="1"/>
      <c r="H426" s="1" t="str">
        <f ca="1">IFERROR(__xludf.DUMMYFUNCTION("""COMPUTED_VALUE"""),"P1")</f>
        <v>P1</v>
      </c>
      <c r="I426" s="1" t="str">
        <f ca="1">IFERROR(__xludf.DUMMYFUNCTION("""COMPUTED_VALUE"""),"Chiao Yu")</f>
        <v>Chiao Yu</v>
      </c>
    </row>
    <row r="427" spans="1:9" ht="12.7" x14ac:dyDescent="0.4">
      <c r="A427" s="2">
        <f ca="1">IFERROR(__xludf.DUMMYFUNCTION("""COMPUTED_VALUE"""),45474.6230568171)</f>
        <v>45474.623056817101</v>
      </c>
      <c r="B427" s="1" t="str">
        <f ca="1">IFERROR(__xludf.DUMMYFUNCTION("""COMPUTED_VALUE"""),"返修")</f>
        <v>返修</v>
      </c>
      <c r="C427" s="1" t="str">
        <f ca="1">IFERROR(__xludf.DUMMYFUNCTION("""COMPUTED_VALUE"""),"ME0060000270")</f>
        <v>ME0060000270</v>
      </c>
      <c r="D427" s="1" t="str">
        <f ca="1">IFERROR(__xludf.DUMMYFUNCTION("""COMPUTED_VALUE"""),"All/共用")</f>
        <v>All/共用</v>
      </c>
      <c r="E427" s="1" t="str">
        <f ca="1">IFERROR(__xludf.DUMMYFUNCTION("""COMPUTED_VALUE"""),"p2/庫存")</f>
        <v>p2/庫存</v>
      </c>
      <c r="F427" s="1">
        <f ca="1">IFERROR(__xludf.DUMMYFUNCTION("""COMPUTED_VALUE"""),1)</f>
        <v>1</v>
      </c>
      <c r="G427" s="1"/>
      <c r="H427" s="1" t="str">
        <f ca="1">IFERROR(__xludf.DUMMYFUNCTION("""COMPUTED_VALUE"""),"P2_031")</f>
        <v>P2_031</v>
      </c>
      <c r="I427" s="1" t="str">
        <f ca="1">IFERROR(__xludf.DUMMYFUNCTION("""COMPUTED_VALUE"""),"Simon")</f>
        <v>Simon</v>
      </c>
    </row>
    <row r="428" spans="1:9" ht="12.7" x14ac:dyDescent="0.4">
      <c r="A428" s="2">
        <f ca="1">IFERROR(__xludf.DUMMYFUNCTION("""COMPUTED_VALUE"""),45475.3937734722)</f>
        <v>45475.393773472199</v>
      </c>
      <c r="B428" s="1" t="str">
        <f ca="1">IFERROR(__xludf.DUMMYFUNCTION("""COMPUTED_VALUE"""),"領料")</f>
        <v>領料</v>
      </c>
      <c r="C428" s="1" t="str">
        <f ca="1">IFERROR(__xludf.DUMMYFUNCTION("""COMPUTED_VALUE"""),"ME0060000270")</f>
        <v>ME0060000270</v>
      </c>
      <c r="D428" s="1" t="str">
        <f ca="1">IFERROR(__xludf.DUMMYFUNCTION("""COMPUTED_VALUE"""),"All/共用")</f>
        <v>All/共用</v>
      </c>
      <c r="E428" s="1" t="str">
        <f ca="1">IFERROR(__xludf.DUMMYFUNCTION("""COMPUTED_VALUE"""),"p1/庫存")</f>
        <v>p1/庫存</v>
      </c>
      <c r="F428" s="1">
        <f ca="1">IFERROR(__xludf.DUMMYFUNCTION("""COMPUTED_VALUE"""),1)</f>
        <v>1</v>
      </c>
      <c r="G428" s="1"/>
      <c r="H428" s="1" t="str">
        <f ca="1">IFERROR(__xludf.DUMMYFUNCTION("""COMPUTED_VALUE"""),"P1_001")</f>
        <v>P1_001</v>
      </c>
      <c r="I428" s="1" t="str">
        <f ca="1">IFERROR(__xludf.DUMMYFUNCTION("""COMPUTED_VALUE"""),"Chiao Yu")</f>
        <v>Chiao Yu</v>
      </c>
    </row>
    <row r="429" spans="1:9" ht="12.7" x14ac:dyDescent="0.4">
      <c r="A429" s="2">
        <f ca="1">IFERROR(__xludf.DUMMYFUNCTION("""COMPUTED_VALUE"""),45475.5674657523)</f>
        <v>45475.567465752298</v>
      </c>
      <c r="B429" s="1" t="str">
        <f ca="1">IFERROR(__xludf.DUMMYFUNCTION("""COMPUTED_VALUE"""),"進貨")</f>
        <v>進貨</v>
      </c>
      <c r="C429" s="1" t="str">
        <f ca="1">IFERROR(__xludf.DUMMYFUNCTION("""COMPUTED_VALUE"""),"AGT000000009")</f>
        <v>AGT000000009</v>
      </c>
      <c r="D429" s="1" t="str">
        <f ca="1">IFERROR(__xludf.DUMMYFUNCTION("""COMPUTED_VALUE"""),"All/共用")</f>
        <v>All/共用</v>
      </c>
      <c r="E429" s="1" t="str">
        <f ca="1">IFERROR(__xludf.DUMMYFUNCTION("""COMPUTED_VALUE"""),"p2/庫存")</f>
        <v>p2/庫存</v>
      </c>
      <c r="F429" s="1">
        <f ca="1">IFERROR(__xludf.DUMMYFUNCTION("""COMPUTED_VALUE"""),200)</f>
        <v>200</v>
      </c>
      <c r="G429" s="1"/>
      <c r="H429" s="1" t="str">
        <f ca="1">IFERROR(__xludf.DUMMYFUNCTION("""COMPUTED_VALUE"""),"P2")</f>
        <v>P2</v>
      </c>
      <c r="I429" s="1" t="str">
        <f ca="1">IFERROR(__xludf.DUMMYFUNCTION("""COMPUTED_VALUE"""),"Chiao Yu")</f>
        <v>Chiao Yu</v>
      </c>
    </row>
    <row r="430" spans="1:9" ht="12.7" x14ac:dyDescent="0.4">
      <c r="A430" s="2">
        <f ca="1">IFERROR(__xludf.DUMMYFUNCTION("""COMPUTED_VALUE"""),45475.5682145023)</f>
        <v>45475.568214502302</v>
      </c>
      <c r="B430" s="1" t="str">
        <f ca="1">IFERROR(__xludf.DUMMYFUNCTION("""COMPUTED_VALUE"""),"進貨")</f>
        <v>進貨</v>
      </c>
      <c r="C430" s="1" t="str">
        <f ca="1">IFERROR(__xludf.DUMMYFUNCTION("""COMPUTED_VALUE"""),"AGT000000010")</f>
        <v>AGT000000010</v>
      </c>
      <c r="D430" s="1" t="str">
        <f ca="1">IFERROR(__xludf.DUMMYFUNCTION("""COMPUTED_VALUE"""),"All/共用")</f>
        <v>All/共用</v>
      </c>
      <c r="E430" s="1" t="str">
        <f ca="1">IFERROR(__xludf.DUMMYFUNCTION("""COMPUTED_VALUE"""),"p2/庫存")</f>
        <v>p2/庫存</v>
      </c>
      <c r="F430" s="1">
        <f ca="1">IFERROR(__xludf.DUMMYFUNCTION("""COMPUTED_VALUE"""),200)</f>
        <v>200</v>
      </c>
      <c r="G430" s="1"/>
      <c r="H430" s="1" t="str">
        <f ca="1">IFERROR(__xludf.DUMMYFUNCTION("""COMPUTED_VALUE"""),"P2")</f>
        <v>P2</v>
      </c>
      <c r="I430" s="1" t="str">
        <f ca="1">IFERROR(__xludf.DUMMYFUNCTION("""COMPUTED_VALUE"""),"Chiao Yu")</f>
        <v>Chiao Yu</v>
      </c>
    </row>
    <row r="431" spans="1:9" ht="12.7" x14ac:dyDescent="0.4">
      <c r="A431" s="2">
        <f ca="1">IFERROR(__xludf.DUMMYFUNCTION("""COMPUTED_VALUE"""),45475.6978802546)</f>
        <v>45475.6978802546</v>
      </c>
      <c r="B431" s="1" t="str">
        <f ca="1">IFERROR(__xludf.DUMMYFUNCTION("""COMPUTED_VALUE"""),"領料")</f>
        <v>領料</v>
      </c>
      <c r="C431" s="1" t="str">
        <f ca="1">IFERROR(__xludf.DUMMYFUNCTION("""COMPUTED_VALUE"""),"ME0010000263")</f>
        <v>ME0010000263</v>
      </c>
      <c r="D431" s="1" t="str">
        <f ca="1">IFERROR(__xludf.DUMMYFUNCTION("""COMPUTED_VALUE"""),"All/共用")</f>
        <v>All/共用</v>
      </c>
      <c r="E431" s="1" t="str">
        <f ca="1">IFERROR(__xludf.DUMMYFUNCTION("""COMPUTED_VALUE"""),"p1/庫存")</f>
        <v>p1/庫存</v>
      </c>
      <c r="F431" s="1">
        <f ca="1">IFERROR(__xludf.DUMMYFUNCTION("""COMPUTED_VALUE"""),1)</f>
        <v>1</v>
      </c>
      <c r="G431" s="1"/>
      <c r="H431" s="1" t="str">
        <f ca="1">IFERROR(__xludf.DUMMYFUNCTION("""COMPUTED_VALUE"""),"P1")</f>
        <v>P1</v>
      </c>
      <c r="I431" s="1" t="str">
        <f ca="1">IFERROR(__xludf.DUMMYFUNCTION("""COMPUTED_VALUE"""),"Simon")</f>
        <v>Simon</v>
      </c>
    </row>
    <row r="432" spans="1:9" ht="12.7" x14ac:dyDescent="0.4">
      <c r="A432" s="2">
        <f ca="1">IFERROR(__xludf.DUMMYFUNCTION("""COMPUTED_VALUE"""),45475.7345528703)</f>
        <v>45475.734552870301</v>
      </c>
      <c r="B432" s="1" t="str">
        <f ca="1">IFERROR(__xludf.DUMMYFUNCTION("""COMPUTED_VALUE"""),"進貨")</f>
        <v>進貨</v>
      </c>
      <c r="C432" s="1" t="str">
        <f ca="1">IFERROR(__xludf.DUMMYFUNCTION("""COMPUTED_VALUE"""),"MM0260000249")</f>
        <v>MM0260000249</v>
      </c>
      <c r="D432" s="1" t="str">
        <f ca="1">IFERROR(__xludf.DUMMYFUNCTION("""COMPUTED_VALUE"""),"All/RL")</f>
        <v>All/RL</v>
      </c>
      <c r="E432" s="1" t="str">
        <f ca="1">IFERROR(__xludf.DUMMYFUNCTION("""COMPUTED_VALUE"""),"p2/庫存")</f>
        <v>p2/庫存</v>
      </c>
      <c r="F432" s="1">
        <f ca="1">IFERROR(__xludf.DUMMYFUNCTION("""COMPUTED_VALUE"""),2)</f>
        <v>2</v>
      </c>
      <c r="G432" s="1"/>
      <c r="H432" s="1" t="str">
        <f ca="1">IFERROR(__xludf.DUMMYFUNCTION("""COMPUTED_VALUE"""),"P2")</f>
        <v>P2</v>
      </c>
      <c r="I432" s="1" t="str">
        <f ca="1">IFERROR(__xludf.DUMMYFUNCTION("""COMPUTED_VALUE"""),"Chiao Yu")</f>
        <v>Chiao Yu</v>
      </c>
    </row>
    <row r="433" spans="1:9" ht="12.7" x14ac:dyDescent="0.4">
      <c r="A433" s="2">
        <f ca="1">IFERROR(__xludf.DUMMYFUNCTION("""COMPUTED_VALUE"""),45476.5552288541)</f>
        <v>45476.5552288541</v>
      </c>
      <c r="B433" s="1" t="str">
        <f ca="1">IFERROR(__xludf.DUMMYFUNCTION("""COMPUTED_VALUE"""),"庫存調整")</f>
        <v>庫存調整</v>
      </c>
      <c r="C433" s="1" t="str">
        <f ca="1">IFERROR(__xludf.DUMMYFUNCTION("""COMPUTED_VALUE"""),"AGT000000001")</f>
        <v>AGT000000001</v>
      </c>
      <c r="D433" s="1" t="str">
        <f ca="1">IFERROR(__xludf.DUMMYFUNCTION("""COMPUTED_VALUE"""),"All/共用")</f>
        <v>All/共用</v>
      </c>
      <c r="E433" s="1" t="str">
        <f ca="1">IFERROR(__xludf.DUMMYFUNCTION("""COMPUTED_VALUE"""),"p2/庫存")</f>
        <v>p2/庫存</v>
      </c>
      <c r="F433" s="1">
        <f ca="1">IFERROR(__xludf.DUMMYFUNCTION("""COMPUTED_VALUE"""),1)</f>
        <v>1</v>
      </c>
      <c r="G433" s="1"/>
      <c r="H433" s="1" t="str">
        <f ca="1">IFERROR(__xludf.DUMMYFUNCTION("""COMPUTED_VALUE"""),"P2")</f>
        <v>P2</v>
      </c>
      <c r="I433" s="1" t="str">
        <f ca="1">IFERROR(__xludf.DUMMYFUNCTION("""COMPUTED_VALUE"""),"Chiao Yu")</f>
        <v>Chiao Yu</v>
      </c>
    </row>
    <row r="434" spans="1:9" ht="12.7" x14ac:dyDescent="0.4">
      <c r="A434" s="2">
        <f ca="1">IFERROR(__xludf.DUMMYFUNCTION("""COMPUTED_VALUE"""),45476.5561809027)</f>
        <v>45476.556180902699</v>
      </c>
      <c r="B434" s="1" t="str">
        <f ca="1">IFERROR(__xludf.DUMMYFUNCTION("""COMPUTED_VALUE"""),"庫存調整")</f>
        <v>庫存調整</v>
      </c>
      <c r="C434" s="1" t="str">
        <f ca="1">IFERROR(__xludf.DUMMYFUNCTION("""COMPUTED_VALUE"""),"ME0030000058")</f>
        <v>ME0030000058</v>
      </c>
      <c r="D434" s="1" t="str">
        <f ca="1">IFERROR(__xludf.DUMMYFUNCTION("""COMPUTED_VALUE"""),"All/共用")</f>
        <v>All/共用</v>
      </c>
      <c r="E434" s="1" t="str">
        <f ca="1">IFERROR(__xludf.DUMMYFUNCTION("""COMPUTED_VALUE"""),"p2/庫存")</f>
        <v>p2/庫存</v>
      </c>
      <c r="F434" s="1">
        <f ca="1">IFERROR(__xludf.DUMMYFUNCTION("""COMPUTED_VALUE"""),1)</f>
        <v>1</v>
      </c>
      <c r="G434" s="1"/>
      <c r="H434" s="1" t="str">
        <f ca="1">IFERROR(__xludf.DUMMYFUNCTION("""COMPUTED_VALUE"""),"P2")</f>
        <v>P2</v>
      </c>
      <c r="I434" s="1" t="str">
        <f ca="1">IFERROR(__xludf.DUMMYFUNCTION("""COMPUTED_VALUE"""),"Simon")</f>
        <v>Simon</v>
      </c>
    </row>
    <row r="435" spans="1:9" ht="12.7" x14ac:dyDescent="0.4">
      <c r="A435" s="2">
        <f ca="1">IFERROR(__xludf.DUMMYFUNCTION("""COMPUTED_VALUE"""),45477.4124806712)</f>
        <v>45477.412480671199</v>
      </c>
      <c r="B435" s="1" t="str">
        <f ca="1">IFERROR(__xludf.DUMMYFUNCTION("""COMPUTED_VALUE"""),"庫存調整")</f>
        <v>庫存調整</v>
      </c>
      <c r="C435" s="1" t="str">
        <f ca="1">IFERROR(__xludf.DUMMYFUNCTION("""COMPUTED_VALUE"""),"AGT000000001")</f>
        <v>AGT000000001</v>
      </c>
      <c r="D435" s="1" t="str">
        <f ca="1">IFERROR(__xludf.DUMMYFUNCTION("""COMPUTED_VALUE"""),"All/共用")</f>
        <v>All/共用</v>
      </c>
      <c r="E435" s="1" t="str">
        <f ca="1">IFERROR(__xludf.DUMMYFUNCTION("""COMPUTED_VALUE"""),"p2/庫存")</f>
        <v>p2/庫存</v>
      </c>
      <c r="F435" s="1">
        <f ca="1">IFERROR(__xludf.DUMMYFUNCTION("""COMPUTED_VALUE"""),-1)</f>
        <v>-1</v>
      </c>
      <c r="G435" s="1"/>
      <c r="H435" s="1" t="str">
        <f ca="1">IFERROR(__xludf.DUMMYFUNCTION("""COMPUTED_VALUE"""),"P2")</f>
        <v>P2</v>
      </c>
      <c r="I435" s="1" t="str">
        <f ca="1">IFERROR(__xludf.DUMMYFUNCTION("""COMPUTED_VALUE"""),"Chiao Yu")</f>
        <v>Chiao Yu</v>
      </c>
    </row>
    <row r="436" spans="1:9" ht="12.7" x14ac:dyDescent="0.4">
      <c r="A436" s="2">
        <f ca="1">IFERROR(__xludf.DUMMYFUNCTION("""COMPUTED_VALUE"""),45483.4098380439)</f>
        <v>45483.409838043903</v>
      </c>
      <c r="B436" s="1" t="str">
        <f ca="1">IFERROR(__xludf.DUMMYFUNCTION("""COMPUTED_VALUE"""),"送修")</f>
        <v>送修</v>
      </c>
      <c r="C436" s="1" t="str">
        <f ca="1">IFERROR(__xludf.DUMMYFUNCTION("""COMPUTED_VALUE"""),"A00100000731")</f>
        <v>A00100000731</v>
      </c>
      <c r="D436" s="1" t="str">
        <f ca="1">IFERROR(__xludf.DUMMYFUNCTION("""COMPUTED_VALUE"""),"All/BA")</f>
        <v>All/BA</v>
      </c>
      <c r="E436" s="1" t="str">
        <f ca="1">IFERROR(__xludf.DUMMYFUNCTION("""COMPUTED_VALUE"""),"p1/庫存")</f>
        <v>p1/庫存</v>
      </c>
      <c r="F436" s="1">
        <f ca="1">IFERROR(__xludf.DUMMYFUNCTION("""COMPUTED_VALUE"""),1)</f>
        <v>1</v>
      </c>
      <c r="G436" s="1" t="str">
        <f ca="1">IFERROR(__xludf.DUMMYFUNCTION("""COMPUTED_VALUE"""),"05F424")</f>
        <v>05F424</v>
      </c>
      <c r="H436" s="1" t="str">
        <f ca="1">IFERROR(__xludf.DUMMYFUNCTION("""COMPUTED_VALUE"""),"P1_010")</f>
        <v>P1_010</v>
      </c>
      <c r="I436" s="1" t="str">
        <f ca="1">IFERROR(__xludf.DUMMYFUNCTION("""COMPUTED_VALUE"""),"Chiao Yu")</f>
        <v>Chiao Yu</v>
      </c>
    </row>
    <row r="437" spans="1:9" ht="12.7" x14ac:dyDescent="0.4">
      <c r="A437" s="2">
        <f ca="1">IFERROR(__xludf.DUMMYFUNCTION("""COMPUTED_VALUE"""),45483.4107251504)</f>
        <v>45483.410725150403</v>
      </c>
      <c r="B437" s="1" t="str">
        <f ca="1">IFERROR(__xludf.DUMMYFUNCTION("""COMPUTED_VALUE"""),"庫存調整")</f>
        <v>庫存調整</v>
      </c>
      <c r="C437" s="1" t="str">
        <f ca="1">IFERROR(__xludf.DUMMYFUNCTION("""COMPUTED_VALUE"""),"A00100000731")</f>
        <v>A00100000731</v>
      </c>
      <c r="D437" s="1" t="str">
        <f ca="1">IFERROR(__xludf.DUMMYFUNCTION("""COMPUTED_VALUE"""),"All/BA")</f>
        <v>All/BA</v>
      </c>
      <c r="E437" s="1" t="str">
        <f ca="1">IFERROR(__xludf.DUMMYFUNCTION("""COMPUTED_VALUE"""),"p1/庫存")</f>
        <v>p1/庫存</v>
      </c>
      <c r="F437" s="1">
        <f ca="1">IFERROR(__xludf.DUMMYFUNCTION("""COMPUTED_VALUE"""),-2)</f>
        <v>-2</v>
      </c>
      <c r="G437" s="1"/>
      <c r="H437" s="1" t="str">
        <f ca="1">IFERROR(__xludf.DUMMYFUNCTION("""COMPUTED_VALUE"""),"P1")</f>
        <v>P1</v>
      </c>
      <c r="I437" s="1" t="str">
        <f ca="1">IFERROR(__xludf.DUMMYFUNCTION("""COMPUTED_VALUE"""),"Chiao Yu")</f>
        <v>Chiao Yu</v>
      </c>
    </row>
    <row r="438" spans="1:9" ht="12.7" x14ac:dyDescent="0.4">
      <c r="A438" s="2">
        <f ca="1">IFERROR(__xludf.DUMMYFUNCTION("""COMPUTED_VALUE"""),45483.4117728819)</f>
        <v>45483.411772881896</v>
      </c>
      <c r="B438" s="1" t="str">
        <f ca="1">IFERROR(__xludf.DUMMYFUNCTION("""COMPUTED_VALUE"""),"料件上線時間")</f>
        <v>料件上線時間</v>
      </c>
      <c r="C438" s="1" t="str">
        <f ca="1">IFERROR(__xludf.DUMMYFUNCTION("""COMPUTED_VALUE"""),"A00100000731")</f>
        <v>A00100000731</v>
      </c>
      <c r="D438" s="1" t="str">
        <f ca="1">IFERROR(__xludf.DUMMYFUNCTION("""COMPUTED_VALUE"""),"All/BA")</f>
        <v>All/BA</v>
      </c>
      <c r="E438" s="1" t="str">
        <f ca="1">IFERROR(__xludf.DUMMYFUNCTION("""COMPUTED_VALUE"""),"p1/庫存")</f>
        <v>p1/庫存</v>
      </c>
      <c r="F438" s="1">
        <f ca="1">IFERROR(__xludf.DUMMYFUNCTION("""COMPUTED_VALUE"""),1)</f>
        <v>1</v>
      </c>
      <c r="G438" s="1" t="str">
        <f ca="1">IFERROR(__xludf.DUMMYFUNCTION("""COMPUTED_VALUE"""),"10F497")</f>
        <v>10F497</v>
      </c>
      <c r="H438" s="1" t="str">
        <f ca="1">IFERROR(__xludf.DUMMYFUNCTION("""COMPUTED_VALUE"""),"P1_010")</f>
        <v>P1_010</v>
      </c>
      <c r="I438" s="1" t="str">
        <f ca="1">IFERROR(__xludf.DUMMYFUNCTION("""COMPUTED_VALUE"""),"Chiao Yu")</f>
        <v>Chiao Yu</v>
      </c>
    </row>
    <row r="439" spans="1:9" ht="12.7" x14ac:dyDescent="0.4">
      <c r="A439" s="2">
        <f ca="1">IFERROR(__xludf.DUMMYFUNCTION("""COMPUTED_VALUE"""),45483.6734315277)</f>
        <v>45483.673431527699</v>
      </c>
      <c r="B439" s="1" t="str">
        <f ca="1">IFERROR(__xludf.DUMMYFUNCTION("""COMPUTED_VALUE"""),"領料")</f>
        <v>領料</v>
      </c>
      <c r="C439" s="1" t="str">
        <f ca="1">IFERROR(__xludf.DUMMYFUNCTION("""COMPUTED_VALUE"""),"ME0010000263")</f>
        <v>ME0010000263</v>
      </c>
      <c r="D439" s="1" t="str">
        <f ca="1">IFERROR(__xludf.DUMMYFUNCTION("""COMPUTED_VALUE"""),"All/共用")</f>
        <v>All/共用</v>
      </c>
      <c r="E439" s="1" t="str">
        <f ca="1">IFERROR(__xludf.DUMMYFUNCTION("""COMPUTED_VALUE"""),"p1/庫存")</f>
        <v>p1/庫存</v>
      </c>
      <c r="F439" s="1">
        <f ca="1">IFERROR(__xludf.DUMMYFUNCTION("""COMPUTED_VALUE"""),1)</f>
        <v>1</v>
      </c>
      <c r="G439" s="1"/>
      <c r="H439" s="1" t="str">
        <f ca="1">IFERROR(__xludf.DUMMYFUNCTION("""COMPUTED_VALUE"""),"P1")</f>
        <v>P1</v>
      </c>
      <c r="I439" s="1" t="str">
        <f ca="1">IFERROR(__xludf.DUMMYFUNCTION("""COMPUTED_VALUE"""),"Chiao Yu")</f>
        <v>Chiao Yu</v>
      </c>
    </row>
    <row r="440" spans="1:9" ht="12.7" x14ac:dyDescent="0.4">
      <c r="A440" s="2">
        <f ca="1">IFERROR(__xludf.DUMMYFUNCTION("""COMPUTED_VALUE"""),45483.8213545254)</f>
        <v>45483.821354525397</v>
      </c>
      <c r="B440" s="1" t="str">
        <f ca="1">IFERROR(__xludf.DUMMYFUNCTION("""COMPUTED_VALUE"""),"庫存調整")</f>
        <v>庫存調整</v>
      </c>
      <c r="C440" s="1" t="str">
        <f ca="1">IFERROR(__xludf.DUMMYFUNCTION("""COMPUTED_VALUE"""),"ME0060000270")</f>
        <v>ME0060000270</v>
      </c>
      <c r="D440" s="1" t="str">
        <f ca="1">IFERROR(__xludf.DUMMYFUNCTION("""COMPUTED_VALUE"""),"All/共用")</f>
        <v>All/共用</v>
      </c>
      <c r="E440" s="1" t="str">
        <f ca="1">IFERROR(__xludf.DUMMYFUNCTION("""COMPUTED_VALUE"""),"p2/庫存")</f>
        <v>p2/庫存</v>
      </c>
      <c r="F440" s="1">
        <f ca="1">IFERROR(__xludf.DUMMYFUNCTION("""COMPUTED_VALUE"""),1)</f>
        <v>1</v>
      </c>
      <c r="G440" s="1"/>
      <c r="H440" s="1" t="str">
        <f ca="1">IFERROR(__xludf.DUMMYFUNCTION("""COMPUTED_VALUE"""),"P2")</f>
        <v>P2</v>
      </c>
      <c r="I440" s="1" t="str">
        <f ca="1">IFERROR(__xludf.DUMMYFUNCTION("""COMPUTED_VALUE"""),"Simon")</f>
        <v>Simon</v>
      </c>
    </row>
    <row r="441" spans="1:9" ht="12.7" x14ac:dyDescent="0.4">
      <c r="A441" s="2">
        <f ca="1">IFERROR(__xludf.DUMMYFUNCTION("""COMPUTED_VALUE"""),45484.8114403703)</f>
        <v>45484.8114403703</v>
      </c>
      <c r="B441" s="1" t="str">
        <f ca="1">IFERROR(__xludf.DUMMYFUNCTION("""COMPUTED_VALUE"""),"庫存調整")</f>
        <v>庫存調整</v>
      </c>
      <c r="C441" s="1" t="str">
        <f ca="1">IFERROR(__xludf.DUMMYFUNCTION("""COMPUTED_VALUE"""),"AGT000000006")</f>
        <v>AGT000000006</v>
      </c>
      <c r="D441" s="1" t="str">
        <f ca="1">IFERROR(__xludf.DUMMYFUNCTION("""COMPUTED_VALUE"""),"All/共用")</f>
        <v>All/共用</v>
      </c>
      <c r="E441" s="1" t="str">
        <f ca="1">IFERROR(__xludf.DUMMYFUNCTION("""COMPUTED_VALUE"""),"p1/庫存")</f>
        <v>p1/庫存</v>
      </c>
      <c r="F441" s="1">
        <f ca="1">IFERROR(__xludf.DUMMYFUNCTION("""COMPUTED_VALUE"""),-6)</f>
        <v>-6</v>
      </c>
      <c r="G441" s="1"/>
      <c r="H441" s="1" t="str">
        <f ca="1">IFERROR(__xludf.DUMMYFUNCTION("""COMPUTED_VALUE"""),"P1")</f>
        <v>P1</v>
      </c>
      <c r="I441" s="1" t="str">
        <f ca="1">IFERROR(__xludf.DUMMYFUNCTION("""COMPUTED_VALUE"""),"Chiao Yu")</f>
        <v>Chiao Yu</v>
      </c>
    </row>
    <row r="442" spans="1:9" ht="12.7" x14ac:dyDescent="0.4">
      <c r="A442" s="2">
        <f ca="1">IFERROR(__xludf.DUMMYFUNCTION("""COMPUTED_VALUE"""),45484.8121260301)</f>
        <v>45484.812126030098</v>
      </c>
      <c r="B442" s="1" t="str">
        <f ca="1">IFERROR(__xludf.DUMMYFUNCTION("""COMPUTED_VALUE"""),"庫存調整")</f>
        <v>庫存調整</v>
      </c>
      <c r="C442" s="1" t="str">
        <f ca="1">IFERROR(__xludf.DUMMYFUNCTION("""COMPUTED_VALUE"""),"AGT000000006")</f>
        <v>AGT000000006</v>
      </c>
      <c r="D442" s="1" t="str">
        <f ca="1">IFERROR(__xludf.DUMMYFUNCTION("""COMPUTED_VALUE"""),"All/共用")</f>
        <v>All/共用</v>
      </c>
      <c r="E442" s="1" t="str">
        <f ca="1">IFERROR(__xludf.DUMMYFUNCTION("""COMPUTED_VALUE"""),"p2/庫存")</f>
        <v>p2/庫存</v>
      </c>
      <c r="F442" s="1">
        <f ca="1">IFERROR(__xludf.DUMMYFUNCTION("""COMPUTED_VALUE"""),-4)</f>
        <v>-4</v>
      </c>
      <c r="G442" s="1"/>
      <c r="H442" s="1" t="str">
        <f ca="1">IFERROR(__xludf.DUMMYFUNCTION("""COMPUTED_VALUE"""),"P2")</f>
        <v>P2</v>
      </c>
      <c r="I442" s="1" t="str">
        <f ca="1">IFERROR(__xludf.DUMMYFUNCTION("""COMPUTED_VALUE"""),"Chiao Yu")</f>
        <v>Chiao Yu</v>
      </c>
    </row>
    <row r="443" spans="1:9" ht="12.7" x14ac:dyDescent="0.4">
      <c r="A443" s="2">
        <f ca="1">IFERROR(__xludf.DUMMYFUNCTION("""COMPUTED_VALUE"""),45484.8128384259)</f>
        <v>45484.812838425903</v>
      </c>
      <c r="B443" s="1" t="str">
        <f ca="1">IFERROR(__xludf.DUMMYFUNCTION("""COMPUTED_VALUE"""),"庫存調整")</f>
        <v>庫存調整</v>
      </c>
      <c r="C443" s="1" t="str">
        <f ca="1">IFERROR(__xludf.DUMMYFUNCTION("""COMPUTED_VALUE"""),"ME0060000278")</f>
        <v>ME0060000278</v>
      </c>
      <c r="D443" s="1" t="str">
        <f ca="1">IFERROR(__xludf.DUMMYFUNCTION("""COMPUTED_VALUE"""),"All/共用")</f>
        <v>All/共用</v>
      </c>
      <c r="E443" s="1" t="str">
        <f ca="1">IFERROR(__xludf.DUMMYFUNCTION("""COMPUTED_VALUE"""),"p1/庫存")</f>
        <v>p1/庫存</v>
      </c>
      <c r="F443" s="1">
        <f ca="1">IFERROR(__xludf.DUMMYFUNCTION("""COMPUTED_VALUE"""),6)</f>
        <v>6</v>
      </c>
      <c r="G443" s="1"/>
      <c r="H443" s="1" t="str">
        <f ca="1">IFERROR(__xludf.DUMMYFUNCTION("""COMPUTED_VALUE"""),"P1")</f>
        <v>P1</v>
      </c>
      <c r="I443" s="1" t="str">
        <f ca="1">IFERROR(__xludf.DUMMYFUNCTION("""COMPUTED_VALUE"""),"Chiao Yu")</f>
        <v>Chiao Yu</v>
      </c>
    </row>
    <row r="444" spans="1:9" ht="12.7" x14ac:dyDescent="0.4">
      <c r="A444" s="2">
        <f ca="1">IFERROR(__xludf.DUMMYFUNCTION("""COMPUTED_VALUE"""),45484.8135639699)</f>
        <v>45484.813563969903</v>
      </c>
      <c r="B444" s="1" t="str">
        <f ca="1">IFERROR(__xludf.DUMMYFUNCTION("""COMPUTED_VALUE"""),"庫存調整")</f>
        <v>庫存調整</v>
      </c>
      <c r="C444" s="1" t="str">
        <f ca="1">IFERROR(__xludf.DUMMYFUNCTION("""COMPUTED_VALUE"""),"ME0060000278")</f>
        <v>ME0060000278</v>
      </c>
      <c r="D444" s="1" t="str">
        <f ca="1">IFERROR(__xludf.DUMMYFUNCTION("""COMPUTED_VALUE"""),"All/共用")</f>
        <v>All/共用</v>
      </c>
      <c r="E444" s="1" t="str">
        <f ca="1">IFERROR(__xludf.DUMMYFUNCTION("""COMPUTED_VALUE"""),"p2/庫存")</f>
        <v>p2/庫存</v>
      </c>
      <c r="F444" s="1">
        <f ca="1">IFERROR(__xludf.DUMMYFUNCTION("""COMPUTED_VALUE"""),4)</f>
        <v>4</v>
      </c>
      <c r="G444" s="1"/>
      <c r="H444" s="1" t="str">
        <f ca="1">IFERROR(__xludf.DUMMYFUNCTION("""COMPUTED_VALUE"""),"P2")</f>
        <v>P2</v>
      </c>
      <c r="I444" s="1" t="str">
        <f ca="1">IFERROR(__xludf.DUMMYFUNCTION("""COMPUTED_VALUE"""),"Chiao Yu")</f>
        <v>Chiao Yu</v>
      </c>
    </row>
    <row r="445" spans="1:9" ht="12.7" x14ac:dyDescent="0.4">
      <c r="A445" s="2">
        <f ca="1">IFERROR(__xludf.DUMMYFUNCTION("""COMPUTED_VALUE"""),45484.8150141666)</f>
        <v>45484.815014166597</v>
      </c>
      <c r="B445" s="1" t="str">
        <f ca="1">IFERROR(__xludf.DUMMYFUNCTION("""COMPUTED_VALUE"""),"庫存調整")</f>
        <v>庫存調整</v>
      </c>
      <c r="C445" s="1" t="str">
        <f ca="1">IFERROR(__xludf.DUMMYFUNCTION("""COMPUTED_VALUE"""),"ME0060000277")</f>
        <v>ME0060000277</v>
      </c>
      <c r="D445" s="1" t="str">
        <f ca="1">IFERROR(__xludf.DUMMYFUNCTION("""COMPUTED_VALUE"""),"All/共用")</f>
        <v>All/共用</v>
      </c>
      <c r="E445" s="1" t="str">
        <f ca="1">IFERROR(__xludf.DUMMYFUNCTION("""COMPUTED_VALUE"""),"p1/庫存")</f>
        <v>p1/庫存</v>
      </c>
      <c r="F445" s="1">
        <f ca="1">IFERROR(__xludf.DUMMYFUNCTION("""COMPUTED_VALUE"""),17)</f>
        <v>17</v>
      </c>
      <c r="G445" s="1"/>
      <c r="H445" s="1" t="str">
        <f ca="1">IFERROR(__xludf.DUMMYFUNCTION("""COMPUTED_VALUE"""),"P1")</f>
        <v>P1</v>
      </c>
      <c r="I445" s="1" t="str">
        <f ca="1">IFERROR(__xludf.DUMMYFUNCTION("""COMPUTED_VALUE"""),"Simon")</f>
        <v>Simon</v>
      </c>
    </row>
    <row r="446" spans="1:9" ht="12.7" x14ac:dyDescent="0.4">
      <c r="A446" s="2">
        <f ca="1">IFERROR(__xludf.DUMMYFUNCTION("""COMPUTED_VALUE"""),45484.8160761805)</f>
        <v>45484.816076180497</v>
      </c>
      <c r="B446" s="1" t="str">
        <f ca="1">IFERROR(__xludf.DUMMYFUNCTION("""COMPUTED_VALUE"""),"庫存調整")</f>
        <v>庫存調整</v>
      </c>
      <c r="C446" s="1" t="str">
        <f ca="1">IFERROR(__xludf.DUMMYFUNCTION("""COMPUTED_VALUE"""),"ME0060000277")</f>
        <v>ME0060000277</v>
      </c>
      <c r="D446" s="1" t="str">
        <f ca="1">IFERROR(__xludf.DUMMYFUNCTION("""COMPUTED_VALUE"""),"All/共用")</f>
        <v>All/共用</v>
      </c>
      <c r="E446" s="1" t="str">
        <f ca="1">IFERROR(__xludf.DUMMYFUNCTION("""COMPUTED_VALUE"""),"p2/庫存")</f>
        <v>p2/庫存</v>
      </c>
      <c r="F446" s="1">
        <f ca="1">IFERROR(__xludf.DUMMYFUNCTION("""COMPUTED_VALUE"""),6)</f>
        <v>6</v>
      </c>
      <c r="G446" s="1"/>
      <c r="H446" s="1" t="str">
        <f ca="1">IFERROR(__xludf.DUMMYFUNCTION("""COMPUTED_VALUE"""),"P2")</f>
        <v>P2</v>
      </c>
      <c r="I446" s="1" t="str">
        <f ca="1">IFERROR(__xludf.DUMMYFUNCTION("""COMPUTED_VALUE"""),"Simon")</f>
        <v>Simon</v>
      </c>
    </row>
    <row r="447" spans="1:9" ht="12.7" x14ac:dyDescent="0.4">
      <c r="A447" s="2">
        <f ca="1">IFERROR(__xludf.DUMMYFUNCTION("""COMPUTED_VALUE"""),45484.8177098958)</f>
        <v>45484.817709895797</v>
      </c>
      <c r="B447" s="1" t="str">
        <f ca="1">IFERROR(__xludf.DUMMYFUNCTION("""COMPUTED_VALUE"""),"庫存調整")</f>
        <v>庫存調整</v>
      </c>
      <c r="C447" s="1" t="str">
        <f ca="1">IFERROR(__xludf.DUMMYFUNCTION("""COMPUTED_VALUE"""),"ME0060000270")</f>
        <v>ME0060000270</v>
      </c>
      <c r="D447" s="1" t="str">
        <f ca="1">IFERROR(__xludf.DUMMYFUNCTION("""COMPUTED_VALUE"""),"All/共用")</f>
        <v>All/共用</v>
      </c>
      <c r="E447" s="1" t="str">
        <f ca="1">IFERROR(__xludf.DUMMYFUNCTION("""COMPUTED_VALUE"""),"p1/庫存")</f>
        <v>p1/庫存</v>
      </c>
      <c r="F447" s="1">
        <f ca="1">IFERROR(__xludf.DUMMYFUNCTION("""COMPUTED_VALUE"""),-17)</f>
        <v>-17</v>
      </c>
      <c r="G447" s="1"/>
      <c r="H447" s="1" t="str">
        <f ca="1">IFERROR(__xludf.DUMMYFUNCTION("""COMPUTED_VALUE"""),"P1")</f>
        <v>P1</v>
      </c>
      <c r="I447" s="1" t="str">
        <f ca="1">IFERROR(__xludf.DUMMYFUNCTION("""COMPUTED_VALUE"""),"Simon")</f>
        <v>Simon</v>
      </c>
    </row>
    <row r="448" spans="1:9" ht="12.7" x14ac:dyDescent="0.4">
      <c r="A448" s="2">
        <f ca="1">IFERROR(__xludf.DUMMYFUNCTION("""COMPUTED_VALUE"""),45484.8190653356)</f>
        <v>45484.8190653356</v>
      </c>
      <c r="B448" s="1" t="str">
        <f ca="1">IFERROR(__xludf.DUMMYFUNCTION("""COMPUTED_VALUE"""),"庫存調整")</f>
        <v>庫存調整</v>
      </c>
      <c r="C448" s="1" t="str">
        <f ca="1">IFERROR(__xludf.DUMMYFUNCTION("""COMPUTED_VALUE"""),"ME0060000270")</f>
        <v>ME0060000270</v>
      </c>
      <c r="D448" s="1" t="str">
        <f ca="1">IFERROR(__xludf.DUMMYFUNCTION("""COMPUTED_VALUE"""),"All/共用")</f>
        <v>All/共用</v>
      </c>
      <c r="E448" s="1" t="str">
        <f ca="1">IFERROR(__xludf.DUMMYFUNCTION("""COMPUTED_VALUE"""),"p2/庫存")</f>
        <v>p2/庫存</v>
      </c>
      <c r="F448" s="1">
        <f ca="1">IFERROR(__xludf.DUMMYFUNCTION("""COMPUTED_VALUE"""),-6)</f>
        <v>-6</v>
      </c>
      <c r="G448" s="1"/>
      <c r="H448" s="1" t="str">
        <f ca="1">IFERROR(__xludf.DUMMYFUNCTION("""COMPUTED_VALUE"""),"P2")</f>
        <v>P2</v>
      </c>
      <c r="I448" s="1" t="str">
        <f ca="1">IFERROR(__xludf.DUMMYFUNCTION("""COMPUTED_VALUE"""),"Simon")</f>
        <v>Simon</v>
      </c>
    </row>
    <row r="449" spans="1:9" ht="12.7" x14ac:dyDescent="0.4">
      <c r="A449" s="2">
        <f ca="1">IFERROR(__xludf.DUMMYFUNCTION("""COMPUTED_VALUE"""),45485.3811891203)</f>
        <v>45485.3811891203</v>
      </c>
      <c r="B449" s="1" t="str">
        <f ca="1">IFERROR(__xludf.DUMMYFUNCTION("""COMPUTED_VALUE"""),"庫存調整")</f>
        <v>庫存調整</v>
      </c>
      <c r="C449" s="1" t="str">
        <f ca="1">IFERROR(__xludf.DUMMYFUNCTION("""COMPUTED_VALUE"""),"AGT000000005")</f>
        <v>AGT000000005</v>
      </c>
      <c r="D449" s="1" t="str">
        <f ca="1">IFERROR(__xludf.DUMMYFUNCTION("""COMPUTED_VALUE"""),"All/共用")</f>
        <v>All/共用</v>
      </c>
      <c r="E449" s="1" t="str">
        <f ca="1">IFERROR(__xludf.DUMMYFUNCTION("""COMPUTED_VALUE"""),"p2/庫存")</f>
        <v>p2/庫存</v>
      </c>
      <c r="F449" s="1">
        <f ca="1">IFERROR(__xludf.DUMMYFUNCTION("""COMPUTED_VALUE"""),5)</f>
        <v>5</v>
      </c>
      <c r="G449" s="1"/>
      <c r="H449" s="1" t="str">
        <f ca="1">IFERROR(__xludf.DUMMYFUNCTION("""COMPUTED_VALUE"""),"P2")</f>
        <v>P2</v>
      </c>
      <c r="I449" s="1" t="str">
        <f ca="1">IFERROR(__xludf.DUMMYFUNCTION("""COMPUTED_VALUE"""),"Chiao Yu")</f>
        <v>Chiao Yu</v>
      </c>
    </row>
    <row r="450" spans="1:9" ht="12.7" x14ac:dyDescent="0.4">
      <c r="A450" s="2">
        <f ca="1">IFERROR(__xludf.DUMMYFUNCTION("""COMPUTED_VALUE"""),45485.3821370254)</f>
        <v>45485.382137025401</v>
      </c>
      <c r="B450" s="1" t="str">
        <f ca="1">IFERROR(__xludf.DUMMYFUNCTION("""COMPUTED_VALUE"""),"庫存調整")</f>
        <v>庫存調整</v>
      </c>
      <c r="C450" s="1" t="str">
        <f ca="1">IFERROR(__xludf.DUMMYFUNCTION("""COMPUTED_VALUE"""),"ME0060000278")</f>
        <v>ME0060000278</v>
      </c>
      <c r="D450" s="1" t="str">
        <f ca="1">IFERROR(__xludf.DUMMYFUNCTION("""COMPUTED_VALUE"""),"All/共用")</f>
        <v>All/共用</v>
      </c>
      <c r="E450" s="1" t="str">
        <f ca="1">IFERROR(__xludf.DUMMYFUNCTION("""COMPUTED_VALUE"""),"p2/庫存")</f>
        <v>p2/庫存</v>
      </c>
      <c r="F450" s="1">
        <f ca="1">IFERROR(__xludf.DUMMYFUNCTION("""COMPUTED_VALUE"""),5)</f>
        <v>5</v>
      </c>
      <c r="G450" s="1"/>
      <c r="H450" s="1" t="str">
        <f ca="1">IFERROR(__xludf.DUMMYFUNCTION("""COMPUTED_VALUE"""),"P2")</f>
        <v>P2</v>
      </c>
      <c r="I450" s="1" t="str">
        <f ca="1">IFERROR(__xludf.DUMMYFUNCTION("""COMPUTED_VALUE"""),"Chiao Yu")</f>
        <v>Chiao Yu</v>
      </c>
    </row>
    <row r="451" spans="1:9" ht="12.7" x14ac:dyDescent="0.4">
      <c r="A451" s="2">
        <f ca="1">IFERROR(__xludf.DUMMYFUNCTION("""COMPUTED_VALUE"""),45485.733195868)</f>
        <v>45485.733195868001</v>
      </c>
      <c r="B451" s="1" t="str">
        <f ca="1">IFERROR(__xludf.DUMMYFUNCTION("""COMPUTED_VALUE"""),"返修")</f>
        <v>返修</v>
      </c>
      <c r="C451" s="1" t="str">
        <f ca="1">IFERROR(__xludf.DUMMYFUNCTION("""COMPUTED_VALUE"""),"AGT000000005")</f>
        <v>AGT000000005</v>
      </c>
      <c r="D451" s="1" t="str">
        <f ca="1">IFERROR(__xludf.DUMMYFUNCTION("""COMPUTED_VALUE"""),"All/共用")</f>
        <v>All/共用</v>
      </c>
      <c r="E451" s="1" t="str">
        <f ca="1">IFERROR(__xludf.DUMMYFUNCTION("""COMPUTED_VALUE"""),"p1/庫存")</f>
        <v>p1/庫存</v>
      </c>
      <c r="F451" s="1">
        <f ca="1">IFERROR(__xludf.DUMMYFUNCTION("""COMPUTED_VALUE"""),1)</f>
        <v>1</v>
      </c>
      <c r="G451" s="1"/>
      <c r="H451" s="1" t="str">
        <f ca="1">IFERROR(__xludf.DUMMYFUNCTION("""COMPUTED_VALUE"""),"P1")</f>
        <v>P1</v>
      </c>
      <c r="I451" s="1" t="str">
        <f ca="1">IFERROR(__xludf.DUMMYFUNCTION("""COMPUTED_VALUE"""),"Chiao Yu")</f>
        <v>Chiao Yu</v>
      </c>
    </row>
    <row r="452" spans="1:9" ht="12.7" x14ac:dyDescent="0.4">
      <c r="A452" s="2">
        <f ca="1">IFERROR(__xludf.DUMMYFUNCTION("""COMPUTED_VALUE"""),45489.062275949)</f>
        <v>45489.062275949</v>
      </c>
      <c r="B452" s="1" t="str">
        <f ca="1">IFERROR(__xludf.DUMMYFUNCTION("""COMPUTED_VALUE"""),"領料")</f>
        <v>領料</v>
      </c>
      <c r="C452" s="1" t="str">
        <f ca="1">IFERROR(__xludf.DUMMYFUNCTION("""COMPUTED_VALUE"""),"ME0010000263")</f>
        <v>ME0010000263</v>
      </c>
      <c r="D452" s="1" t="str">
        <f ca="1">IFERROR(__xludf.DUMMYFUNCTION("""COMPUTED_VALUE"""),"All/共用")</f>
        <v>All/共用</v>
      </c>
      <c r="E452" s="1" t="str">
        <f ca="1">IFERROR(__xludf.DUMMYFUNCTION("""COMPUTED_VALUE"""),"p1/庫存")</f>
        <v>p1/庫存</v>
      </c>
      <c r="F452" s="1">
        <f ca="1">IFERROR(__xludf.DUMMYFUNCTION("""COMPUTED_VALUE"""),1)</f>
        <v>1</v>
      </c>
      <c r="G452" s="1"/>
      <c r="H452" s="1" t="str">
        <f ca="1">IFERROR(__xludf.DUMMYFUNCTION("""COMPUTED_VALUE"""),"P1")</f>
        <v>P1</v>
      </c>
      <c r="I452" s="1" t="str">
        <f ca="1">IFERROR(__xludf.DUMMYFUNCTION("""COMPUTED_VALUE"""),"Uri")</f>
        <v>Uri</v>
      </c>
    </row>
    <row r="453" spans="1:9" ht="12.7" x14ac:dyDescent="0.4">
      <c r="A453" s="2">
        <f ca="1">IFERROR(__xludf.DUMMYFUNCTION("""COMPUTED_VALUE"""),45489.6728307175)</f>
        <v>45489.6728307175</v>
      </c>
      <c r="B453" s="1" t="str">
        <f ca="1">IFERROR(__xludf.DUMMYFUNCTION("""COMPUTED_VALUE"""),"庫存調整")</f>
        <v>庫存調整</v>
      </c>
      <c r="C453" s="1" t="str">
        <f ca="1">IFERROR(__xludf.DUMMYFUNCTION("""COMPUTED_VALUE"""),"ME0010000263")</f>
        <v>ME0010000263</v>
      </c>
      <c r="D453" s="1" t="str">
        <f ca="1">IFERROR(__xludf.DUMMYFUNCTION("""COMPUTED_VALUE"""),"All/共用")</f>
        <v>All/共用</v>
      </c>
      <c r="E453" s="1" t="str">
        <f ca="1">IFERROR(__xludf.DUMMYFUNCTION("""COMPUTED_VALUE"""),"p1/庫存")</f>
        <v>p1/庫存</v>
      </c>
      <c r="F453" s="1">
        <f ca="1">IFERROR(__xludf.DUMMYFUNCTION("""COMPUTED_VALUE"""),1)</f>
        <v>1</v>
      </c>
      <c r="G453" s="1"/>
      <c r="H453" s="1" t="str">
        <f ca="1">IFERROR(__xludf.DUMMYFUNCTION("""COMPUTED_VALUE"""),"P1")</f>
        <v>P1</v>
      </c>
      <c r="I453" s="1" t="str">
        <f ca="1">IFERROR(__xludf.DUMMYFUNCTION("""COMPUTED_VALUE"""),"Chiao Yu")</f>
        <v>Chiao Yu</v>
      </c>
    </row>
    <row r="454" spans="1:9" ht="12.7" x14ac:dyDescent="0.4">
      <c r="A454" s="2">
        <f ca="1">IFERROR(__xludf.DUMMYFUNCTION("""COMPUTED_VALUE"""),45490.0697294328)</f>
        <v>45490.069729432798</v>
      </c>
      <c r="B454" s="1" t="str">
        <f ca="1">IFERROR(__xludf.DUMMYFUNCTION("""COMPUTED_VALUE"""),"送修")</f>
        <v>送修</v>
      </c>
      <c r="C454" s="1" t="str">
        <f ca="1">IFERROR(__xludf.DUMMYFUNCTION("""COMPUTED_VALUE"""),"ME0100000056")</f>
        <v>ME0100000056</v>
      </c>
      <c r="D454" s="1" t="str">
        <f ca="1">IFERROR(__xludf.DUMMYFUNCTION("""COMPUTED_VALUE"""),"All/BA")</f>
        <v>All/BA</v>
      </c>
      <c r="E454" s="1" t="str">
        <f ca="1">IFERROR(__xludf.DUMMYFUNCTION("""COMPUTED_VALUE"""),"p1/庫存")</f>
        <v>p1/庫存</v>
      </c>
      <c r="F454" s="1">
        <f ca="1">IFERROR(__xludf.DUMMYFUNCTION("""COMPUTED_VALUE"""),1)</f>
        <v>1</v>
      </c>
      <c r="G454" s="1" t="str">
        <f ca="1">IFERROR(__xludf.DUMMYFUNCTION("""COMPUTED_VALUE"""),"step motor P10-001")</f>
        <v>step motor P10-001</v>
      </c>
      <c r="H454" s="1" t="str">
        <f ca="1">IFERROR(__xludf.DUMMYFUNCTION("""COMPUTED_VALUE"""),"P1_007")</f>
        <v>P1_007</v>
      </c>
      <c r="I454" s="1" t="str">
        <f ca="1">IFERROR(__xludf.DUMMYFUNCTION("""COMPUTED_VALUE"""),"Simon")</f>
        <v>Simon</v>
      </c>
    </row>
    <row r="455" spans="1:9" ht="12.7" x14ac:dyDescent="0.4">
      <c r="A455" s="2">
        <f ca="1">IFERROR(__xludf.DUMMYFUNCTION("""COMPUTED_VALUE"""),45490.0720856828)</f>
        <v>45490.072085682797</v>
      </c>
      <c r="B455" s="1" t="str">
        <f ca="1">IFERROR(__xludf.DUMMYFUNCTION("""COMPUTED_VALUE"""),"料件上線時間")</f>
        <v>料件上線時間</v>
      </c>
      <c r="C455" s="1" t="str">
        <f ca="1">IFERROR(__xludf.DUMMYFUNCTION("""COMPUTED_VALUE"""),"ME0100000056")</f>
        <v>ME0100000056</v>
      </c>
      <c r="D455" s="1" t="str">
        <f ca="1">IFERROR(__xludf.DUMMYFUNCTION("""COMPUTED_VALUE"""),"All/BA")</f>
        <v>All/BA</v>
      </c>
      <c r="E455" s="1" t="str">
        <f ca="1">IFERROR(__xludf.DUMMYFUNCTION("""COMPUTED_VALUE"""),"p1/庫存")</f>
        <v>p1/庫存</v>
      </c>
      <c r="F455" s="1">
        <f ca="1">IFERROR(__xludf.DUMMYFUNCTION("""COMPUTED_VALUE"""),1)</f>
        <v>1</v>
      </c>
      <c r="G455" s="1" t="str">
        <f ca="1">IFERROR(__xludf.DUMMYFUNCTION("""COMPUTED_VALUE"""),"step motor P10-002")</f>
        <v>step motor P10-002</v>
      </c>
      <c r="H455" s="1" t="str">
        <f ca="1">IFERROR(__xludf.DUMMYFUNCTION("""COMPUTED_VALUE"""),"P1_007")</f>
        <v>P1_007</v>
      </c>
      <c r="I455" s="1" t="str">
        <f ca="1">IFERROR(__xludf.DUMMYFUNCTION("""COMPUTED_VALUE"""),"Simon")</f>
        <v>Simon</v>
      </c>
    </row>
    <row r="456" spans="1:9" ht="12.7" x14ac:dyDescent="0.4">
      <c r="A456" s="2">
        <f ca="1">IFERROR(__xludf.DUMMYFUNCTION("""COMPUTED_VALUE"""),45490.3897160995)</f>
        <v>45490.389716099497</v>
      </c>
      <c r="B456" s="1" t="str">
        <f ca="1">IFERROR(__xludf.DUMMYFUNCTION("""COMPUTED_VALUE"""),"庫存調整")</f>
        <v>庫存調整</v>
      </c>
      <c r="C456" s="1" t="str">
        <f ca="1">IFERROR(__xludf.DUMMYFUNCTION("""COMPUTED_VALUE"""),"AGT000000005")</f>
        <v>AGT000000005</v>
      </c>
      <c r="D456" s="1" t="str">
        <f ca="1">IFERROR(__xludf.DUMMYFUNCTION("""COMPUTED_VALUE"""),"All/共用")</f>
        <v>All/共用</v>
      </c>
      <c r="E456" s="1" t="str">
        <f ca="1">IFERROR(__xludf.DUMMYFUNCTION("""COMPUTED_VALUE"""),"p2/庫存")</f>
        <v>p2/庫存</v>
      </c>
      <c r="F456" s="1">
        <f ca="1">IFERROR(__xludf.DUMMYFUNCTION("""COMPUTED_VALUE"""),21)</f>
        <v>21</v>
      </c>
      <c r="G456" s="1"/>
      <c r="H456" s="1" t="str">
        <f ca="1">IFERROR(__xludf.DUMMYFUNCTION("""COMPUTED_VALUE"""),"P2")</f>
        <v>P2</v>
      </c>
      <c r="I456" s="1" t="str">
        <f ca="1">IFERROR(__xludf.DUMMYFUNCTION("""COMPUTED_VALUE"""),"Simon")</f>
        <v>Simon</v>
      </c>
    </row>
    <row r="457" spans="1:9" ht="12.7" x14ac:dyDescent="0.4">
      <c r="A457" s="2">
        <f ca="1">IFERROR(__xludf.DUMMYFUNCTION("""COMPUTED_VALUE"""),45490.3910845254)</f>
        <v>45490.391084525399</v>
      </c>
      <c r="B457" s="1" t="str">
        <f ca="1">IFERROR(__xludf.DUMMYFUNCTION("""COMPUTED_VALUE"""),"庫存調整")</f>
        <v>庫存調整</v>
      </c>
      <c r="C457" s="1" t="str">
        <f ca="1">IFERROR(__xludf.DUMMYFUNCTION("""COMPUTED_VALUE"""),"ME0060000278")</f>
        <v>ME0060000278</v>
      </c>
      <c r="D457" s="1" t="str">
        <f ca="1">IFERROR(__xludf.DUMMYFUNCTION("""COMPUTED_VALUE"""),"All/共用")</f>
        <v>All/共用</v>
      </c>
      <c r="E457" s="1" t="str">
        <f ca="1">IFERROR(__xludf.DUMMYFUNCTION("""COMPUTED_VALUE"""),"p2/庫存")</f>
        <v>p2/庫存</v>
      </c>
      <c r="F457" s="1">
        <f ca="1">IFERROR(__xludf.DUMMYFUNCTION("""COMPUTED_VALUE"""),21)</f>
        <v>21</v>
      </c>
      <c r="G457" s="1"/>
      <c r="H457" s="1" t="str">
        <f ca="1">IFERROR(__xludf.DUMMYFUNCTION("""COMPUTED_VALUE"""),"P2")</f>
        <v>P2</v>
      </c>
      <c r="I457" s="1" t="str">
        <f ca="1">IFERROR(__xludf.DUMMYFUNCTION("""COMPUTED_VALUE"""),"Simon")</f>
        <v>Simon</v>
      </c>
    </row>
    <row r="458" spans="1:9" ht="12.7" x14ac:dyDescent="0.4">
      <c r="A458" s="2">
        <f ca="1">IFERROR(__xludf.DUMMYFUNCTION("""COMPUTED_VALUE"""),45490.4034756944)</f>
        <v>45490.403475694402</v>
      </c>
      <c r="B458" s="1" t="str">
        <f ca="1">IFERROR(__xludf.DUMMYFUNCTION("""COMPUTED_VALUE"""),"料件上線時間")</f>
        <v>料件上線時間</v>
      </c>
      <c r="C458" s="1" t="str">
        <f ca="1">IFERROR(__xludf.DUMMYFUNCTION("""COMPUTED_VALUE"""),"A00100000731")</f>
        <v>A00100000731</v>
      </c>
      <c r="D458" s="1" t="str">
        <f ca="1">IFERROR(__xludf.DUMMYFUNCTION("""COMPUTED_VALUE"""),"All/BA")</f>
        <v>All/BA</v>
      </c>
      <c r="E458" s="1" t="str">
        <f ca="1">IFERROR(__xludf.DUMMYFUNCTION("""COMPUTED_VALUE"""),"p2/庫存")</f>
        <v>p2/庫存</v>
      </c>
      <c r="F458" s="1">
        <f ca="1">IFERROR(__xludf.DUMMYFUNCTION("""COMPUTED_VALUE"""),1)</f>
        <v>1</v>
      </c>
      <c r="G458" s="1" t="str">
        <f ca="1">IFERROR(__xludf.DUMMYFUNCTION("""COMPUTED_VALUE"""),"10F497")</f>
        <v>10F497</v>
      </c>
      <c r="H458" s="1" t="str">
        <f ca="1">IFERROR(__xludf.DUMMYFUNCTION("""COMPUTED_VALUE"""),"P2_051")</f>
        <v>P2_051</v>
      </c>
      <c r="I458" s="1" t="str">
        <f ca="1">IFERROR(__xludf.DUMMYFUNCTION("""COMPUTED_VALUE"""),"Simon")</f>
        <v>Simon</v>
      </c>
    </row>
    <row r="459" spans="1:9" ht="12.7" x14ac:dyDescent="0.4">
      <c r="A459" s="2">
        <f ca="1">IFERROR(__xludf.DUMMYFUNCTION("""COMPUTED_VALUE"""),45490.404555324)</f>
        <v>45490.404555323999</v>
      </c>
      <c r="B459" s="1" t="str">
        <f ca="1">IFERROR(__xludf.DUMMYFUNCTION("""COMPUTED_VALUE"""),"料件上線時間")</f>
        <v>料件上線時間</v>
      </c>
      <c r="C459" s="1" t="str">
        <f ca="1">IFERROR(__xludf.DUMMYFUNCTION("""COMPUTED_VALUE"""),"A00100000731")</f>
        <v>A00100000731</v>
      </c>
      <c r="D459" s="1" t="str">
        <f ca="1">IFERROR(__xludf.DUMMYFUNCTION("""COMPUTED_VALUE"""),"All/BA")</f>
        <v>All/BA</v>
      </c>
      <c r="E459" s="1" t="str">
        <f ca="1">IFERROR(__xludf.DUMMYFUNCTION("""COMPUTED_VALUE"""),"p2/庫存")</f>
        <v>p2/庫存</v>
      </c>
      <c r="F459" s="1">
        <f ca="1">IFERROR(__xludf.DUMMYFUNCTION("""COMPUTED_VALUE"""),1)</f>
        <v>1</v>
      </c>
      <c r="G459" s="1" t="str">
        <f ca="1">IFERROR(__xludf.DUMMYFUNCTION("""COMPUTED_VALUE"""),"03F459")</f>
        <v>03F459</v>
      </c>
      <c r="H459" s="1" t="str">
        <f ca="1">IFERROR(__xludf.DUMMYFUNCTION("""COMPUTED_VALUE"""),"P2_051")</f>
        <v>P2_051</v>
      </c>
      <c r="I459" s="1" t="str">
        <f ca="1">IFERROR(__xludf.DUMMYFUNCTION("""COMPUTED_VALUE"""),"Simon")</f>
        <v>Simon</v>
      </c>
    </row>
    <row r="460" spans="1:9" ht="12.7" x14ac:dyDescent="0.4">
      <c r="A460" s="2">
        <f ca="1">IFERROR(__xludf.DUMMYFUNCTION("""COMPUTED_VALUE"""),45490.4752443287)</f>
        <v>45490.4752443287</v>
      </c>
      <c r="B460" s="1" t="str">
        <f ca="1">IFERROR(__xludf.DUMMYFUNCTION("""COMPUTED_VALUE"""),"庫存調整")</f>
        <v>庫存調整</v>
      </c>
      <c r="C460" s="1" t="str">
        <f ca="1">IFERROR(__xludf.DUMMYFUNCTION("""COMPUTED_VALUE"""),"A00100000721")</f>
        <v>A00100000721</v>
      </c>
      <c r="D460" s="1" t="str">
        <f ca="1">IFERROR(__xludf.DUMMYFUNCTION("""COMPUTED_VALUE"""),"All/BA")</f>
        <v>All/BA</v>
      </c>
      <c r="E460" s="1" t="str">
        <f ca="1">IFERROR(__xludf.DUMMYFUNCTION("""COMPUTED_VALUE"""),"p1/庫存")</f>
        <v>p1/庫存</v>
      </c>
      <c r="F460" s="1">
        <f ca="1">IFERROR(__xludf.DUMMYFUNCTION("""COMPUTED_VALUE"""),1)</f>
        <v>1</v>
      </c>
      <c r="G460" s="1"/>
      <c r="H460" s="1" t="str">
        <f ca="1">IFERROR(__xludf.DUMMYFUNCTION("""COMPUTED_VALUE"""),"P1")</f>
        <v>P1</v>
      </c>
      <c r="I460" s="1" t="str">
        <f ca="1">IFERROR(__xludf.DUMMYFUNCTION("""COMPUTED_VALUE"""),"Simon")</f>
        <v>Simon</v>
      </c>
    </row>
    <row r="461" spans="1:9" ht="12.7" x14ac:dyDescent="0.4">
      <c r="A461" s="2">
        <f ca="1">IFERROR(__xludf.DUMMYFUNCTION("""COMPUTED_VALUE"""),45490.4787786226)</f>
        <v>45490.478778622601</v>
      </c>
      <c r="B461" s="1" t="str">
        <f ca="1">IFERROR(__xludf.DUMMYFUNCTION("""COMPUTED_VALUE"""),"送修")</f>
        <v>送修</v>
      </c>
      <c r="C461" s="1" t="str">
        <f ca="1">IFERROR(__xludf.DUMMYFUNCTION("""COMPUTED_VALUE"""),"A00100000721")</f>
        <v>A00100000721</v>
      </c>
      <c r="D461" s="1" t="str">
        <f ca="1">IFERROR(__xludf.DUMMYFUNCTION("""COMPUTED_VALUE"""),"All/BA")</f>
        <v>All/BA</v>
      </c>
      <c r="E461" s="1" t="str">
        <f ca="1">IFERROR(__xludf.DUMMYFUNCTION("""COMPUTED_VALUE"""),"p2/庫存")</f>
        <v>p2/庫存</v>
      </c>
      <c r="F461" s="1">
        <f ca="1">IFERROR(__xludf.DUMMYFUNCTION("""COMPUTED_VALUE"""),1)</f>
        <v>1</v>
      </c>
      <c r="G461" s="1"/>
      <c r="H461" s="1" t="str">
        <f ca="1">IFERROR(__xludf.DUMMYFUNCTION("""COMPUTED_VALUE"""),"P2_051")</f>
        <v>P2_051</v>
      </c>
      <c r="I461" s="1" t="str">
        <f ca="1">IFERROR(__xludf.DUMMYFUNCTION("""COMPUTED_VALUE"""),"Simon")</f>
        <v>Simon</v>
      </c>
    </row>
    <row r="462" spans="1:9" ht="12.7" x14ac:dyDescent="0.4">
      <c r="A462" s="2">
        <f ca="1">IFERROR(__xludf.DUMMYFUNCTION("""COMPUTED_VALUE"""),45490.4811792013)</f>
        <v>45490.481179201299</v>
      </c>
      <c r="B462" s="1" t="str">
        <f ca="1">IFERROR(__xludf.DUMMYFUNCTION("""COMPUTED_VALUE"""),"返修")</f>
        <v>返修</v>
      </c>
      <c r="C462" s="1" t="str">
        <f ca="1">IFERROR(__xludf.DUMMYFUNCTION("""COMPUTED_VALUE"""),"ME0070000316")</f>
        <v>ME0070000316</v>
      </c>
      <c r="D462" s="1" t="str">
        <f ca="1">IFERROR(__xludf.DUMMYFUNCTION("""COMPUTED_VALUE"""),"All/BA")</f>
        <v>All/BA</v>
      </c>
      <c r="E462" s="1" t="str">
        <f ca="1">IFERROR(__xludf.DUMMYFUNCTION("""COMPUTED_VALUE"""),"p2/庫存")</f>
        <v>p2/庫存</v>
      </c>
      <c r="F462" s="1">
        <f ca="1">IFERROR(__xludf.DUMMYFUNCTION("""COMPUTED_VALUE"""),1)</f>
        <v>1</v>
      </c>
      <c r="G462" s="1"/>
      <c r="H462" s="1" t="str">
        <f ca="1">IFERROR(__xludf.DUMMYFUNCTION("""COMPUTED_VALUE"""),"P2_042")</f>
        <v>P2_042</v>
      </c>
      <c r="I462" s="1" t="str">
        <f ca="1">IFERROR(__xludf.DUMMYFUNCTION("""COMPUTED_VALUE"""),"Chiao Yu")</f>
        <v>Chiao Yu</v>
      </c>
    </row>
    <row r="463" spans="1:9" ht="12.7" x14ac:dyDescent="0.4">
      <c r="A463" s="2">
        <f ca="1">IFERROR(__xludf.DUMMYFUNCTION("""COMPUTED_VALUE"""),45491.3248901388)</f>
        <v>45491.3248901388</v>
      </c>
      <c r="B463" s="1" t="str">
        <f ca="1">IFERROR(__xludf.DUMMYFUNCTION("""COMPUTED_VALUE"""),"庫存調整")</f>
        <v>庫存調整</v>
      </c>
      <c r="C463" s="1" t="str">
        <f ca="1">IFERROR(__xludf.DUMMYFUNCTION("""COMPUTED_VALUE"""),"AGT000000005")</f>
        <v>AGT000000005</v>
      </c>
      <c r="D463" s="1" t="str">
        <f ca="1">IFERROR(__xludf.DUMMYFUNCTION("""COMPUTED_VALUE"""),"All/共用")</f>
        <v>All/共用</v>
      </c>
      <c r="E463" s="1" t="str">
        <f ca="1">IFERROR(__xludf.DUMMYFUNCTION("""COMPUTED_VALUE"""),"p2/庫存")</f>
        <v>p2/庫存</v>
      </c>
      <c r="F463" s="1">
        <f ca="1">IFERROR(__xludf.DUMMYFUNCTION("""COMPUTED_VALUE"""),12)</f>
        <v>12</v>
      </c>
      <c r="G463" s="1"/>
      <c r="H463" s="1" t="str">
        <f ca="1">IFERROR(__xludf.DUMMYFUNCTION("""COMPUTED_VALUE"""),"P2")</f>
        <v>P2</v>
      </c>
      <c r="I463" s="1" t="str">
        <f ca="1">IFERROR(__xludf.DUMMYFUNCTION("""COMPUTED_VALUE"""),"Simon")</f>
        <v>Simon</v>
      </c>
    </row>
    <row r="464" spans="1:9" ht="12.7" x14ac:dyDescent="0.4">
      <c r="A464" s="2">
        <f ca="1">IFERROR(__xludf.DUMMYFUNCTION("""COMPUTED_VALUE"""),45491.3283662615)</f>
        <v>45491.328366261499</v>
      </c>
      <c r="B464" s="1" t="str">
        <f ca="1">IFERROR(__xludf.DUMMYFUNCTION("""COMPUTED_VALUE"""),"庫存調整")</f>
        <v>庫存調整</v>
      </c>
      <c r="C464" s="1" t="str">
        <f ca="1">IFERROR(__xludf.DUMMYFUNCTION("""COMPUTED_VALUE"""),"ME0060000278")</f>
        <v>ME0060000278</v>
      </c>
      <c r="D464" s="1" t="str">
        <f ca="1">IFERROR(__xludf.DUMMYFUNCTION("""COMPUTED_VALUE"""),"All/共用")</f>
        <v>All/共用</v>
      </c>
      <c r="E464" s="1" t="str">
        <f ca="1">IFERROR(__xludf.DUMMYFUNCTION("""COMPUTED_VALUE"""),"p2/庫存")</f>
        <v>p2/庫存</v>
      </c>
      <c r="F464" s="1">
        <f ca="1">IFERROR(__xludf.DUMMYFUNCTION("""COMPUTED_VALUE"""),12)</f>
        <v>12</v>
      </c>
      <c r="G464" s="1"/>
      <c r="H464" s="1" t="str">
        <f ca="1">IFERROR(__xludf.DUMMYFUNCTION("""COMPUTED_VALUE"""),"P2")</f>
        <v>P2</v>
      </c>
      <c r="I464" s="1" t="str">
        <f ca="1">IFERROR(__xludf.DUMMYFUNCTION("""COMPUTED_VALUE"""),"Simon")</f>
        <v>Simon</v>
      </c>
    </row>
    <row r="465" spans="1:9" ht="12.7" x14ac:dyDescent="0.4">
      <c r="A465" s="2">
        <f ca="1">IFERROR(__xludf.DUMMYFUNCTION("""COMPUTED_VALUE"""),45492.3755882523)</f>
        <v>45492.375588252296</v>
      </c>
      <c r="B465" s="1" t="str">
        <f ca="1">IFERROR(__xludf.DUMMYFUNCTION("""COMPUTED_VALUE"""),"庫存調整")</f>
        <v>庫存調整</v>
      </c>
      <c r="C465" s="1" t="str">
        <f ca="1">IFERROR(__xludf.DUMMYFUNCTION("""COMPUTED_VALUE"""),"AGT000000005")</f>
        <v>AGT000000005</v>
      </c>
      <c r="D465" s="1" t="str">
        <f ca="1">IFERROR(__xludf.DUMMYFUNCTION("""COMPUTED_VALUE"""),"All/共用")</f>
        <v>All/共用</v>
      </c>
      <c r="E465" s="1" t="str">
        <f ca="1">IFERROR(__xludf.DUMMYFUNCTION("""COMPUTED_VALUE"""),"p2/庫存")</f>
        <v>p2/庫存</v>
      </c>
      <c r="F465" s="1">
        <f ca="1">IFERROR(__xludf.DUMMYFUNCTION("""COMPUTED_VALUE"""),4)</f>
        <v>4</v>
      </c>
      <c r="G465" s="1"/>
      <c r="H465" s="1" t="str">
        <f ca="1">IFERROR(__xludf.DUMMYFUNCTION("""COMPUTED_VALUE"""),"P2")</f>
        <v>P2</v>
      </c>
      <c r="I465" s="1" t="str">
        <f ca="1">IFERROR(__xludf.DUMMYFUNCTION("""COMPUTED_VALUE"""),"Chiao Yu")</f>
        <v>Chiao Yu</v>
      </c>
    </row>
    <row r="466" spans="1:9" ht="12.7" x14ac:dyDescent="0.4">
      <c r="A466" s="2">
        <f ca="1">IFERROR(__xludf.DUMMYFUNCTION("""COMPUTED_VALUE"""),45492.3762392013)</f>
        <v>45492.376239201301</v>
      </c>
      <c r="B466" s="1" t="str">
        <f ca="1">IFERROR(__xludf.DUMMYFUNCTION("""COMPUTED_VALUE"""),"庫存調整")</f>
        <v>庫存調整</v>
      </c>
      <c r="C466" s="1" t="str">
        <f ca="1">IFERROR(__xludf.DUMMYFUNCTION("""COMPUTED_VALUE"""),"ME0060000278")</f>
        <v>ME0060000278</v>
      </c>
      <c r="D466" s="1" t="str">
        <f ca="1">IFERROR(__xludf.DUMMYFUNCTION("""COMPUTED_VALUE"""),"All/共用")</f>
        <v>All/共用</v>
      </c>
      <c r="E466" s="1" t="str">
        <f ca="1">IFERROR(__xludf.DUMMYFUNCTION("""COMPUTED_VALUE"""),"p2/庫存")</f>
        <v>p2/庫存</v>
      </c>
      <c r="F466" s="1">
        <f ca="1">IFERROR(__xludf.DUMMYFUNCTION("""COMPUTED_VALUE"""),4)</f>
        <v>4</v>
      </c>
      <c r="G466" s="1"/>
      <c r="H466" s="1" t="str">
        <f ca="1">IFERROR(__xludf.DUMMYFUNCTION("""COMPUTED_VALUE"""),"P2")</f>
        <v>P2</v>
      </c>
      <c r="I466" s="1" t="str">
        <f ca="1">IFERROR(__xludf.DUMMYFUNCTION("""COMPUTED_VALUE"""),"Chiao Yu")</f>
        <v>Chiao Yu</v>
      </c>
    </row>
    <row r="467" spans="1:9" ht="12.7" x14ac:dyDescent="0.4">
      <c r="A467" s="2">
        <f ca="1">IFERROR(__xludf.DUMMYFUNCTION("""COMPUTED_VALUE"""),45492.7919763773)</f>
        <v>45492.791976377302</v>
      </c>
      <c r="B467" s="1" t="str">
        <f ca="1">IFERROR(__xludf.DUMMYFUNCTION("""COMPUTED_VALUE"""),"進貨")</f>
        <v>進貨</v>
      </c>
      <c r="C467" s="1" t="str">
        <f ca="1">IFERROR(__xludf.DUMMYFUNCTION("""COMPUTED_VALUE"""),"ME0030000076")</f>
        <v>ME0030000076</v>
      </c>
      <c r="D467" s="1" t="str">
        <f ca="1">IFERROR(__xludf.DUMMYFUNCTION("""COMPUTED_VALUE"""),"All/共用")</f>
        <v>All/共用</v>
      </c>
      <c r="E467" s="1" t="str">
        <f ca="1">IFERROR(__xludf.DUMMYFUNCTION("""COMPUTED_VALUE"""),"p1/庫存")</f>
        <v>p1/庫存</v>
      </c>
      <c r="F467" s="1">
        <f ca="1">IFERROR(__xludf.DUMMYFUNCTION("""COMPUTED_VALUE"""),5)</f>
        <v>5</v>
      </c>
      <c r="G467" s="1"/>
      <c r="H467" s="1" t="str">
        <f ca="1">IFERROR(__xludf.DUMMYFUNCTION("""COMPUTED_VALUE"""),"P1")</f>
        <v>P1</v>
      </c>
      <c r="I467" s="1" t="str">
        <f ca="1">IFERROR(__xludf.DUMMYFUNCTION("""COMPUTED_VALUE"""),"Chiao Yu")</f>
        <v>Chiao Yu</v>
      </c>
    </row>
    <row r="468" spans="1:9" ht="12.7" x14ac:dyDescent="0.4">
      <c r="A468" s="2">
        <f ca="1">IFERROR(__xludf.DUMMYFUNCTION("""COMPUTED_VALUE"""),45492.7923956018)</f>
        <v>45492.792395601798</v>
      </c>
      <c r="B468" s="1" t="str">
        <f ca="1">IFERROR(__xludf.DUMMYFUNCTION("""COMPUTED_VALUE"""),"進貨")</f>
        <v>進貨</v>
      </c>
      <c r="C468" s="1" t="str">
        <f ca="1">IFERROR(__xludf.DUMMYFUNCTION("""COMPUTED_VALUE"""),"ME0030000076")</f>
        <v>ME0030000076</v>
      </c>
      <c r="D468" s="1" t="str">
        <f ca="1">IFERROR(__xludf.DUMMYFUNCTION("""COMPUTED_VALUE"""),"All/共用")</f>
        <v>All/共用</v>
      </c>
      <c r="E468" s="1" t="str">
        <f ca="1">IFERROR(__xludf.DUMMYFUNCTION("""COMPUTED_VALUE"""),"p2/庫存")</f>
        <v>p2/庫存</v>
      </c>
      <c r="F468" s="1">
        <f ca="1">IFERROR(__xludf.DUMMYFUNCTION("""COMPUTED_VALUE"""),5)</f>
        <v>5</v>
      </c>
      <c r="G468" s="1"/>
      <c r="H468" s="1" t="str">
        <f ca="1">IFERROR(__xludf.DUMMYFUNCTION("""COMPUTED_VALUE"""),"P2")</f>
        <v>P2</v>
      </c>
      <c r="I468" s="1" t="str">
        <f ca="1">IFERROR(__xludf.DUMMYFUNCTION("""COMPUTED_VALUE"""),"Chiao Yu")</f>
        <v>Chiao Yu</v>
      </c>
    </row>
    <row r="469" spans="1:9" ht="12.7" x14ac:dyDescent="0.4">
      <c r="A469" s="2">
        <f ca="1">IFERROR(__xludf.DUMMYFUNCTION("""COMPUTED_VALUE"""),45492.8243448032)</f>
        <v>45492.824344803201</v>
      </c>
      <c r="B469" s="1" t="str">
        <f ca="1">IFERROR(__xludf.DUMMYFUNCTION("""COMPUTED_VALUE"""),"進貨")</f>
        <v>進貨</v>
      </c>
      <c r="C469" s="1" t="str">
        <f ca="1">IFERROR(__xludf.DUMMYFUNCTION("""COMPUTED_VALUE"""),"ME0030000075")</f>
        <v>ME0030000075</v>
      </c>
      <c r="D469" s="1" t="str">
        <f ca="1">IFERROR(__xludf.DUMMYFUNCTION("""COMPUTED_VALUE"""),"All/共用")</f>
        <v>All/共用</v>
      </c>
      <c r="E469" s="1" t="str">
        <f ca="1">IFERROR(__xludf.DUMMYFUNCTION("""COMPUTED_VALUE"""),"p1/庫存")</f>
        <v>p1/庫存</v>
      </c>
      <c r="F469" s="1">
        <f ca="1">IFERROR(__xludf.DUMMYFUNCTION("""COMPUTED_VALUE"""),1)</f>
        <v>1</v>
      </c>
      <c r="G469" s="1"/>
      <c r="H469" s="1" t="str">
        <f ca="1">IFERROR(__xludf.DUMMYFUNCTION("""COMPUTED_VALUE"""),"P1")</f>
        <v>P1</v>
      </c>
      <c r="I469" s="1" t="str">
        <f ca="1">IFERROR(__xludf.DUMMYFUNCTION("""COMPUTED_VALUE"""),"Chiao Yu")</f>
        <v>Chiao Yu</v>
      </c>
    </row>
    <row r="470" spans="1:9" ht="12.7" x14ac:dyDescent="0.4">
      <c r="A470" s="2">
        <f ca="1">IFERROR(__xludf.DUMMYFUNCTION("""COMPUTED_VALUE"""),45492.8247983217)</f>
        <v>45492.824798321701</v>
      </c>
      <c r="B470" s="1" t="str">
        <f ca="1">IFERROR(__xludf.DUMMYFUNCTION("""COMPUTED_VALUE"""),"庫存調整")</f>
        <v>庫存調整</v>
      </c>
      <c r="C470" s="1">
        <f ca="1">IFERROR(__xludf.DUMMYFUNCTION("""COMPUTED_VALUE"""),1)</f>
        <v>1</v>
      </c>
      <c r="D470" s="1" t="str">
        <f ca="1">IFERROR(__xludf.DUMMYFUNCTION("""COMPUTED_VALUE"""),"All/共用")</f>
        <v>All/共用</v>
      </c>
      <c r="E470" s="1" t="str">
        <f ca="1">IFERROR(__xludf.DUMMYFUNCTION("""COMPUTED_VALUE"""),"p2/庫存")</f>
        <v>p2/庫存</v>
      </c>
      <c r="F470" s="1">
        <f ca="1">IFERROR(__xludf.DUMMYFUNCTION("""COMPUTED_VALUE"""),1)</f>
        <v>1</v>
      </c>
      <c r="G470" s="1"/>
      <c r="H470" s="1" t="str">
        <f ca="1">IFERROR(__xludf.DUMMYFUNCTION("""COMPUTED_VALUE"""),"P2")</f>
        <v>P2</v>
      </c>
      <c r="I470" s="1" t="str">
        <f ca="1">IFERROR(__xludf.DUMMYFUNCTION("""COMPUTED_VALUE"""),"Chiao Yu")</f>
        <v>Chiao Yu</v>
      </c>
    </row>
    <row r="471" spans="1:9" ht="12.7" x14ac:dyDescent="0.4">
      <c r="A471" s="2">
        <f ca="1">IFERROR(__xludf.DUMMYFUNCTION("""COMPUTED_VALUE"""),45494.3928763194)</f>
        <v>45494.392876319398</v>
      </c>
      <c r="B471" s="1" t="str">
        <f ca="1">IFERROR(__xludf.DUMMYFUNCTION("""COMPUTED_VALUE"""),"領料")</f>
        <v>領料</v>
      </c>
      <c r="C471" s="1" t="str">
        <f ca="1">IFERROR(__xludf.DUMMYFUNCTION("""COMPUTED_VALUE"""),"A00700000482")</f>
        <v>A00700000482</v>
      </c>
      <c r="D471" s="1" t="str">
        <f ca="1">IFERROR(__xludf.DUMMYFUNCTION("""COMPUTED_VALUE"""),"All/SB")</f>
        <v>All/SB</v>
      </c>
      <c r="E471" s="1" t="str">
        <f ca="1">IFERROR(__xludf.DUMMYFUNCTION("""COMPUTED_VALUE"""),"p2/庫存")</f>
        <v>p2/庫存</v>
      </c>
      <c r="F471" s="1">
        <f ca="1">IFERROR(__xludf.DUMMYFUNCTION("""COMPUTED_VALUE"""),1)</f>
        <v>1</v>
      </c>
      <c r="G471" s="1"/>
      <c r="H471" s="1" t="str">
        <f ca="1">IFERROR(__xludf.DUMMYFUNCTION("""COMPUTED_VALUE"""),"P2_4002")</f>
        <v>P2_4002</v>
      </c>
      <c r="I471" s="1" t="str">
        <f ca="1">IFERROR(__xludf.DUMMYFUNCTION("""COMPUTED_VALUE"""),"Simon")</f>
        <v>Simon</v>
      </c>
    </row>
    <row r="472" spans="1:9" ht="12.7" x14ac:dyDescent="0.4">
      <c r="A472" s="2">
        <f ca="1">IFERROR(__xludf.DUMMYFUNCTION("""COMPUTED_VALUE"""),45495.3829565046)</f>
        <v>45495.382956504603</v>
      </c>
      <c r="B472" s="1" t="str">
        <f ca="1">IFERROR(__xludf.DUMMYFUNCTION("""COMPUTED_VALUE"""),"庫存調整")</f>
        <v>庫存調整</v>
      </c>
      <c r="C472" s="1" t="str">
        <f ca="1">IFERROR(__xludf.DUMMYFUNCTION("""COMPUTED_VALUE"""),"AGT000000005")</f>
        <v>AGT000000005</v>
      </c>
      <c r="D472" s="1" t="str">
        <f ca="1">IFERROR(__xludf.DUMMYFUNCTION("""COMPUTED_VALUE"""),"All/共用")</f>
        <v>All/共用</v>
      </c>
      <c r="E472" s="1" t="str">
        <f ca="1">IFERROR(__xludf.DUMMYFUNCTION("""COMPUTED_VALUE"""),"p2/庫存")</f>
        <v>p2/庫存</v>
      </c>
      <c r="F472" s="1">
        <f ca="1">IFERROR(__xludf.DUMMYFUNCTION("""COMPUTED_VALUE"""),6)</f>
        <v>6</v>
      </c>
      <c r="G472" s="1"/>
      <c r="H472" s="1" t="str">
        <f ca="1">IFERROR(__xludf.DUMMYFUNCTION("""COMPUTED_VALUE"""),"P2")</f>
        <v>P2</v>
      </c>
      <c r="I472" s="1" t="str">
        <f ca="1">IFERROR(__xludf.DUMMYFUNCTION("""COMPUTED_VALUE"""),"Simon")</f>
        <v>Simon</v>
      </c>
    </row>
    <row r="473" spans="1:9" ht="12.7" x14ac:dyDescent="0.4">
      <c r="A473" s="2">
        <f ca="1">IFERROR(__xludf.DUMMYFUNCTION("""COMPUTED_VALUE"""),45495.3843877314)</f>
        <v>45495.384387731399</v>
      </c>
      <c r="B473" s="1" t="str">
        <f ca="1">IFERROR(__xludf.DUMMYFUNCTION("""COMPUTED_VALUE"""),"庫存調整")</f>
        <v>庫存調整</v>
      </c>
      <c r="C473" s="1" t="str">
        <f ca="1">IFERROR(__xludf.DUMMYFUNCTION("""COMPUTED_VALUE"""),"ME0060000278")</f>
        <v>ME0060000278</v>
      </c>
      <c r="D473" s="1" t="str">
        <f ca="1">IFERROR(__xludf.DUMMYFUNCTION("""COMPUTED_VALUE"""),"All/共用")</f>
        <v>All/共用</v>
      </c>
      <c r="E473" s="1" t="str">
        <f ca="1">IFERROR(__xludf.DUMMYFUNCTION("""COMPUTED_VALUE"""),"p2/庫存")</f>
        <v>p2/庫存</v>
      </c>
      <c r="F473" s="1">
        <f ca="1">IFERROR(__xludf.DUMMYFUNCTION("""COMPUTED_VALUE"""),6)</f>
        <v>6</v>
      </c>
      <c r="G473" s="1"/>
      <c r="H473" s="1" t="str">
        <f ca="1">IFERROR(__xludf.DUMMYFUNCTION("""COMPUTED_VALUE"""),"P2")</f>
        <v>P2</v>
      </c>
      <c r="I473" s="1" t="str">
        <f ca="1">IFERROR(__xludf.DUMMYFUNCTION("""COMPUTED_VALUE"""),"Simon")</f>
        <v>Simon</v>
      </c>
    </row>
    <row r="474" spans="1:9" ht="12.7" x14ac:dyDescent="0.4">
      <c r="A474" s="2">
        <f ca="1">IFERROR(__xludf.DUMMYFUNCTION("""COMPUTED_VALUE"""),45496.4136097569)</f>
        <v>45496.413609756899</v>
      </c>
      <c r="B474" s="1" t="str">
        <f ca="1">IFERROR(__xludf.DUMMYFUNCTION("""COMPUTED_VALUE"""),"送修")</f>
        <v>送修</v>
      </c>
      <c r="C474" s="1" t="str">
        <f ca="1">IFERROR(__xludf.DUMMYFUNCTION("""COMPUTED_VALUE"""),"A00900000618")</f>
        <v>A00900000618</v>
      </c>
      <c r="D474" s="1" t="str">
        <f ca="1">IFERROR(__xludf.DUMMYFUNCTION("""COMPUTED_VALUE"""),"All/BA")</f>
        <v>All/BA</v>
      </c>
      <c r="E474" s="1" t="str">
        <f ca="1">IFERROR(__xludf.DUMMYFUNCTION("""COMPUTED_VALUE"""),"p2/庫存")</f>
        <v>p2/庫存</v>
      </c>
      <c r="F474" s="1">
        <f ca="1">IFERROR(__xludf.DUMMYFUNCTION("""COMPUTED_VALUE"""),1)</f>
        <v>1</v>
      </c>
      <c r="G474" s="1"/>
      <c r="H474" s="1" t="str">
        <f ca="1">IFERROR(__xludf.DUMMYFUNCTION("""COMPUTED_VALUE"""),"P2_036")</f>
        <v>P2_036</v>
      </c>
      <c r="I474" s="1" t="str">
        <f ca="1">IFERROR(__xludf.DUMMYFUNCTION("""COMPUTED_VALUE"""),"Chiao Yu")</f>
        <v>Chiao Yu</v>
      </c>
    </row>
    <row r="475" spans="1:9" ht="12.7" x14ac:dyDescent="0.4">
      <c r="A475" s="2">
        <f ca="1">IFERROR(__xludf.DUMMYFUNCTION("""COMPUTED_VALUE"""),45496.4150575694)</f>
        <v>45496.4150575694</v>
      </c>
      <c r="B475" s="1" t="str">
        <f ca="1">IFERROR(__xludf.DUMMYFUNCTION("""COMPUTED_VALUE"""),"進貨")</f>
        <v>進貨</v>
      </c>
      <c r="C475" s="1" t="str">
        <f ca="1">IFERROR(__xludf.DUMMYFUNCTION("""COMPUTED_VALUE"""),"MM0260000077")</f>
        <v>MM0260000077</v>
      </c>
      <c r="D475" s="1" t="str">
        <f ca="1">IFERROR(__xludf.DUMMYFUNCTION("""COMPUTED_VALUE"""),"All/BA")</f>
        <v>All/BA</v>
      </c>
      <c r="E475" s="1" t="str">
        <f ca="1">IFERROR(__xludf.DUMMYFUNCTION("""COMPUTED_VALUE"""),"p1/庫存")</f>
        <v>p1/庫存</v>
      </c>
      <c r="F475" s="1">
        <f ca="1">IFERROR(__xludf.DUMMYFUNCTION("""COMPUTED_VALUE"""),36)</f>
        <v>36</v>
      </c>
      <c r="G475" s="1"/>
      <c r="H475" s="1" t="str">
        <f ca="1">IFERROR(__xludf.DUMMYFUNCTION("""COMPUTED_VALUE"""),"P1")</f>
        <v>P1</v>
      </c>
      <c r="I475" s="1" t="str">
        <f ca="1">IFERROR(__xludf.DUMMYFUNCTION("""COMPUTED_VALUE"""),"Chiao Yu")</f>
        <v>Chiao Yu</v>
      </c>
    </row>
    <row r="476" spans="1:9" ht="12.7" x14ac:dyDescent="0.4">
      <c r="A476" s="2">
        <f ca="1">IFERROR(__xludf.DUMMYFUNCTION("""COMPUTED_VALUE"""),45496.4157646643)</f>
        <v>45496.4157646643</v>
      </c>
      <c r="B476" s="1" t="str">
        <f ca="1">IFERROR(__xludf.DUMMYFUNCTION("""COMPUTED_VALUE"""),"進貨")</f>
        <v>進貨</v>
      </c>
      <c r="C476" s="1" t="str">
        <f ca="1">IFERROR(__xludf.DUMMYFUNCTION("""COMPUTED_VALUE"""),"A00700000482")</f>
        <v>A00700000482</v>
      </c>
      <c r="D476" s="1" t="str">
        <f ca="1">IFERROR(__xludf.DUMMYFUNCTION("""COMPUTED_VALUE"""),"All/SB")</f>
        <v>All/SB</v>
      </c>
      <c r="E476" s="1" t="str">
        <f ca="1">IFERROR(__xludf.DUMMYFUNCTION("""COMPUTED_VALUE"""),"p2/庫存")</f>
        <v>p2/庫存</v>
      </c>
      <c r="F476" s="1">
        <f ca="1">IFERROR(__xludf.DUMMYFUNCTION("""COMPUTED_VALUE"""),2)</f>
        <v>2</v>
      </c>
      <c r="G476" s="1"/>
      <c r="H476" s="1" t="str">
        <f ca="1">IFERROR(__xludf.DUMMYFUNCTION("""COMPUTED_VALUE"""),"P2")</f>
        <v>P2</v>
      </c>
      <c r="I476" s="1" t="str">
        <f ca="1">IFERROR(__xludf.DUMMYFUNCTION("""COMPUTED_VALUE"""),"Chiao Yu")</f>
        <v>Chiao Yu</v>
      </c>
    </row>
    <row r="477" spans="1:9" ht="12.7" x14ac:dyDescent="0.4">
      <c r="A477" s="2">
        <f ca="1">IFERROR(__xludf.DUMMYFUNCTION("""COMPUTED_VALUE"""),45496.4168091666)</f>
        <v>45496.4168091666</v>
      </c>
      <c r="B477" s="1" t="str">
        <f ca="1">IFERROR(__xludf.DUMMYFUNCTION("""COMPUTED_VALUE"""),"庫存調整")</f>
        <v>庫存調整</v>
      </c>
      <c r="C477" s="1" t="str">
        <f ca="1">IFERROR(__xludf.DUMMYFUNCTION("""COMPUTED_VALUE"""),"A00900000618")</f>
        <v>A00900000618</v>
      </c>
      <c r="D477" s="1" t="str">
        <f ca="1">IFERROR(__xludf.DUMMYFUNCTION("""COMPUTED_VALUE"""),"All/共用")</f>
        <v>All/共用</v>
      </c>
      <c r="E477" s="1" t="str">
        <f ca="1">IFERROR(__xludf.DUMMYFUNCTION("""COMPUTED_VALUE"""),"p1/庫存")</f>
        <v>p1/庫存</v>
      </c>
      <c r="F477" s="1">
        <f ca="1">IFERROR(__xludf.DUMMYFUNCTION("""COMPUTED_VALUE"""),-1)</f>
        <v>-1</v>
      </c>
      <c r="G477" s="1"/>
      <c r="H477" s="1" t="str">
        <f ca="1">IFERROR(__xludf.DUMMYFUNCTION("""COMPUTED_VALUE"""),"P1")</f>
        <v>P1</v>
      </c>
      <c r="I477" s="1" t="str">
        <f ca="1">IFERROR(__xludf.DUMMYFUNCTION("""COMPUTED_VALUE"""),"Chiao Yu")</f>
        <v>Chiao Yu</v>
      </c>
    </row>
    <row r="478" spans="1:9" ht="12.7" x14ac:dyDescent="0.4">
      <c r="A478" s="2">
        <f ca="1">IFERROR(__xludf.DUMMYFUNCTION("""COMPUTED_VALUE"""),45496.4173488773)</f>
        <v>45496.417348877301</v>
      </c>
      <c r="B478" s="1" t="str">
        <f ca="1">IFERROR(__xludf.DUMMYFUNCTION("""COMPUTED_VALUE"""),"庫存調整")</f>
        <v>庫存調整</v>
      </c>
      <c r="C478" s="1" t="str">
        <f ca="1">IFERROR(__xludf.DUMMYFUNCTION("""COMPUTED_VALUE"""),"A00900000618")</f>
        <v>A00900000618</v>
      </c>
      <c r="D478" s="1" t="str">
        <f ca="1">IFERROR(__xludf.DUMMYFUNCTION("""COMPUTED_VALUE"""),"All/共用")</f>
        <v>All/共用</v>
      </c>
      <c r="E478" s="1" t="str">
        <f ca="1">IFERROR(__xludf.DUMMYFUNCTION("""COMPUTED_VALUE"""),"p2/庫存")</f>
        <v>p2/庫存</v>
      </c>
      <c r="F478" s="1">
        <f ca="1">IFERROR(__xludf.DUMMYFUNCTION("""COMPUTED_VALUE"""),1)</f>
        <v>1</v>
      </c>
      <c r="G478" s="1"/>
      <c r="H478" s="1" t="str">
        <f ca="1">IFERROR(__xludf.DUMMYFUNCTION("""COMPUTED_VALUE"""),"P2")</f>
        <v>P2</v>
      </c>
      <c r="I478" s="1" t="str">
        <f ca="1">IFERROR(__xludf.DUMMYFUNCTION("""COMPUTED_VALUE"""),"Chiao Yu")</f>
        <v>Chiao Yu</v>
      </c>
    </row>
    <row r="479" spans="1:9" ht="12.7" x14ac:dyDescent="0.4">
      <c r="A479" s="2">
        <f ca="1">IFERROR(__xludf.DUMMYFUNCTION("""COMPUTED_VALUE"""),45496.4304760185)</f>
        <v>45496.430476018497</v>
      </c>
      <c r="B479" s="1" t="str">
        <f ca="1">IFERROR(__xludf.DUMMYFUNCTION("""COMPUTED_VALUE"""),"進貨")</f>
        <v>進貨</v>
      </c>
      <c r="C479" s="1" t="str">
        <f ca="1">IFERROR(__xludf.DUMMYFUNCTION("""COMPUTED_VALUE"""),"MM0220000039")</f>
        <v>MM0220000039</v>
      </c>
      <c r="D479" s="1" t="str">
        <f ca="1">IFERROR(__xludf.DUMMYFUNCTION("""COMPUTED_VALUE"""),"All/共用")</f>
        <v>All/共用</v>
      </c>
      <c r="E479" s="1" t="str">
        <f ca="1">IFERROR(__xludf.DUMMYFUNCTION("""COMPUTED_VALUE"""),"p1/庫存")</f>
        <v>p1/庫存</v>
      </c>
      <c r="F479" s="1">
        <f ca="1">IFERROR(__xludf.DUMMYFUNCTION("""COMPUTED_VALUE"""),1)</f>
        <v>1</v>
      </c>
      <c r="G479" s="1"/>
      <c r="H479" s="1" t="str">
        <f ca="1">IFERROR(__xludf.DUMMYFUNCTION("""COMPUTED_VALUE"""),"P1")</f>
        <v>P1</v>
      </c>
      <c r="I479" s="1" t="str">
        <f ca="1">IFERROR(__xludf.DUMMYFUNCTION("""COMPUTED_VALUE"""),"Chiao Yu")</f>
        <v>Chiao Yu</v>
      </c>
    </row>
    <row r="480" spans="1:9" ht="12.7" x14ac:dyDescent="0.4">
      <c r="A480" s="2">
        <f ca="1">IFERROR(__xludf.DUMMYFUNCTION("""COMPUTED_VALUE"""),45496.4310186805)</f>
        <v>45496.431018680501</v>
      </c>
      <c r="B480" s="1" t="str">
        <f ca="1">IFERROR(__xludf.DUMMYFUNCTION("""COMPUTED_VALUE"""),"進貨")</f>
        <v>進貨</v>
      </c>
      <c r="C480" s="1" t="str">
        <f ca="1">IFERROR(__xludf.DUMMYFUNCTION("""COMPUTED_VALUE"""),"MM0220000039")</f>
        <v>MM0220000039</v>
      </c>
      <c r="D480" s="1" t="str">
        <f ca="1">IFERROR(__xludf.DUMMYFUNCTION("""COMPUTED_VALUE"""),"All/共用")</f>
        <v>All/共用</v>
      </c>
      <c r="E480" s="1" t="str">
        <f ca="1">IFERROR(__xludf.DUMMYFUNCTION("""COMPUTED_VALUE"""),"p2/庫存")</f>
        <v>p2/庫存</v>
      </c>
      <c r="F480" s="1">
        <f ca="1">IFERROR(__xludf.DUMMYFUNCTION("""COMPUTED_VALUE"""),1)</f>
        <v>1</v>
      </c>
      <c r="G480" s="1"/>
      <c r="H480" s="1" t="str">
        <f ca="1">IFERROR(__xludf.DUMMYFUNCTION("""COMPUTED_VALUE"""),"p2")</f>
        <v>p2</v>
      </c>
      <c r="I480" s="1" t="str">
        <f ca="1">IFERROR(__xludf.DUMMYFUNCTION("""COMPUTED_VALUE"""),"Chiao Yu")</f>
        <v>Chiao Yu</v>
      </c>
    </row>
    <row r="481" spans="1:9" ht="12.7" x14ac:dyDescent="0.4">
      <c r="A481" s="2">
        <f ca="1">IFERROR(__xludf.DUMMYFUNCTION("""COMPUTED_VALUE"""),45499.4089447685)</f>
        <v>45499.408944768496</v>
      </c>
      <c r="B481" s="1" t="str">
        <f ca="1">IFERROR(__xludf.DUMMYFUNCTION("""COMPUTED_VALUE"""),"庫存調整")</f>
        <v>庫存調整</v>
      </c>
      <c r="C481" s="1" t="str">
        <f ca="1">IFERROR(__xludf.DUMMYFUNCTION("""COMPUTED_VALUE"""),"AGT000000005")</f>
        <v>AGT000000005</v>
      </c>
      <c r="D481" s="1" t="str">
        <f ca="1">IFERROR(__xludf.DUMMYFUNCTION("""COMPUTED_VALUE"""),"All/共用")</f>
        <v>All/共用</v>
      </c>
      <c r="E481" s="1" t="str">
        <f ca="1">IFERROR(__xludf.DUMMYFUNCTION("""COMPUTED_VALUE"""),"p2/庫存")</f>
        <v>p2/庫存</v>
      </c>
      <c r="F481" s="1">
        <f ca="1">IFERROR(__xludf.DUMMYFUNCTION("""COMPUTED_VALUE"""),10)</f>
        <v>10</v>
      </c>
      <c r="G481" s="1"/>
      <c r="H481" s="1" t="str">
        <f ca="1">IFERROR(__xludf.DUMMYFUNCTION("""COMPUTED_VALUE"""),"P2")</f>
        <v>P2</v>
      </c>
      <c r="I481" s="1" t="str">
        <f ca="1">IFERROR(__xludf.DUMMYFUNCTION("""COMPUTED_VALUE"""),"Chiao Yu")</f>
        <v>Chiao Yu</v>
      </c>
    </row>
    <row r="482" spans="1:9" ht="12.7" x14ac:dyDescent="0.4">
      <c r="A482" s="2">
        <f ca="1">IFERROR(__xludf.DUMMYFUNCTION("""COMPUTED_VALUE"""),45499.4095584837)</f>
        <v>45499.409558483698</v>
      </c>
      <c r="B482" s="1" t="str">
        <f ca="1">IFERROR(__xludf.DUMMYFUNCTION("""COMPUTED_VALUE"""),"庫存調整")</f>
        <v>庫存調整</v>
      </c>
      <c r="C482" s="1" t="str">
        <f ca="1">IFERROR(__xludf.DUMMYFUNCTION("""COMPUTED_VALUE"""),"ME0060000278")</f>
        <v>ME0060000278</v>
      </c>
      <c r="D482" s="1" t="str">
        <f ca="1">IFERROR(__xludf.DUMMYFUNCTION("""COMPUTED_VALUE"""),"All/共用")</f>
        <v>All/共用</v>
      </c>
      <c r="E482" s="1" t="str">
        <f ca="1">IFERROR(__xludf.DUMMYFUNCTION("""COMPUTED_VALUE"""),"p2/庫存")</f>
        <v>p2/庫存</v>
      </c>
      <c r="F482" s="1">
        <f ca="1">IFERROR(__xludf.DUMMYFUNCTION("""COMPUTED_VALUE"""),10)</f>
        <v>10</v>
      </c>
      <c r="G482" s="1"/>
      <c r="H482" s="1" t="str">
        <f ca="1">IFERROR(__xludf.DUMMYFUNCTION("""COMPUTED_VALUE"""),"P2")</f>
        <v>P2</v>
      </c>
      <c r="I482" s="1" t="str">
        <f ca="1">IFERROR(__xludf.DUMMYFUNCTION("""COMPUTED_VALUE"""),"Chiao Yu")</f>
        <v>Chiao Yu</v>
      </c>
    </row>
    <row r="483" spans="1:9" ht="12.7" x14ac:dyDescent="0.4">
      <c r="A483" s="2">
        <f ca="1">IFERROR(__xludf.DUMMYFUNCTION("""COMPUTED_VALUE"""),45499.4954894444)</f>
        <v>45499.495489444402</v>
      </c>
      <c r="B483" s="1" t="str">
        <f ca="1">IFERROR(__xludf.DUMMYFUNCTION("""COMPUTED_VALUE"""),"領料")</f>
        <v>領料</v>
      </c>
      <c r="C483" s="1" t="str">
        <f ca="1">IFERROR(__xludf.DUMMYFUNCTION("""COMPUTED_VALUE"""),"A00700000482")</f>
        <v>A00700000482</v>
      </c>
      <c r="D483" s="1" t="str">
        <f ca="1">IFERROR(__xludf.DUMMYFUNCTION("""COMPUTED_VALUE"""),"All/SB")</f>
        <v>All/SB</v>
      </c>
      <c r="E483" s="1" t="str">
        <f ca="1">IFERROR(__xludf.DUMMYFUNCTION("""COMPUTED_VALUE"""),"p2/庫存")</f>
        <v>p2/庫存</v>
      </c>
      <c r="F483" s="1">
        <f ca="1">IFERROR(__xludf.DUMMYFUNCTION("""COMPUTED_VALUE"""),2)</f>
        <v>2</v>
      </c>
      <c r="G483" s="1"/>
      <c r="H483" s="1" t="str">
        <f ca="1">IFERROR(__xludf.DUMMYFUNCTION("""COMPUTED_VALUE"""),"P2_4002")</f>
        <v>P2_4002</v>
      </c>
      <c r="I483" s="1" t="str">
        <f ca="1">IFERROR(__xludf.DUMMYFUNCTION("""COMPUTED_VALUE"""),"Chiao Yu")</f>
        <v>Chiao Yu</v>
      </c>
    </row>
    <row r="484" spans="1:9" ht="12.7" x14ac:dyDescent="0.4">
      <c r="A484" s="2">
        <f ca="1">IFERROR(__xludf.DUMMYFUNCTION("""COMPUTED_VALUE"""),45499.5590258564)</f>
        <v>45499.559025856397</v>
      </c>
      <c r="B484" s="1" t="str">
        <f ca="1">IFERROR(__xludf.DUMMYFUNCTION("""COMPUTED_VALUE"""),"返修")</f>
        <v>返修</v>
      </c>
      <c r="C484" s="1" t="str">
        <f ca="1">IFERROR(__xludf.DUMMYFUNCTION("""COMPUTED_VALUE"""),"A00100000721")</f>
        <v>A00100000721</v>
      </c>
      <c r="D484" s="1" t="str">
        <f ca="1">IFERROR(__xludf.DUMMYFUNCTION("""COMPUTED_VALUE"""),"All/BA")</f>
        <v>All/BA</v>
      </c>
      <c r="E484" s="1" t="str">
        <f ca="1">IFERROR(__xludf.DUMMYFUNCTION("""COMPUTED_VALUE"""),"p2/庫存")</f>
        <v>p2/庫存</v>
      </c>
      <c r="F484" s="1">
        <f ca="1">IFERROR(__xludf.DUMMYFUNCTION("""COMPUTED_VALUE"""),1)</f>
        <v>1</v>
      </c>
      <c r="G484" s="1"/>
      <c r="H484" s="1" t="str">
        <f ca="1">IFERROR(__xludf.DUMMYFUNCTION("""COMPUTED_VALUE"""),"P2_051")</f>
        <v>P2_051</v>
      </c>
      <c r="I484" s="1" t="str">
        <f ca="1">IFERROR(__xludf.DUMMYFUNCTION("""COMPUTED_VALUE"""),"Chiao Yu")</f>
        <v>Chiao Yu</v>
      </c>
    </row>
    <row r="485" spans="1:9" ht="12.7" x14ac:dyDescent="0.4">
      <c r="A485" s="2">
        <f ca="1">IFERROR(__xludf.DUMMYFUNCTION("""COMPUTED_VALUE"""),45499.5602081597)</f>
        <v>45499.560208159703</v>
      </c>
      <c r="B485" s="1" t="str">
        <f ca="1">IFERROR(__xludf.DUMMYFUNCTION("""COMPUTED_VALUE"""),"庫存調整")</f>
        <v>庫存調整</v>
      </c>
      <c r="C485" s="1" t="str">
        <f ca="1">IFERROR(__xludf.DUMMYFUNCTION("""COMPUTED_VALUE"""),"A00100000721")</f>
        <v>A00100000721</v>
      </c>
      <c r="D485" s="1" t="str">
        <f ca="1">IFERROR(__xludf.DUMMYFUNCTION("""COMPUTED_VALUE"""),"All/BA")</f>
        <v>All/BA</v>
      </c>
      <c r="E485" s="1" t="str">
        <f ca="1">IFERROR(__xludf.DUMMYFUNCTION("""COMPUTED_VALUE"""),"p2/庫存")</f>
        <v>p2/庫存</v>
      </c>
      <c r="F485" s="1">
        <f ca="1">IFERROR(__xludf.DUMMYFUNCTION("""COMPUTED_VALUE"""),1)</f>
        <v>1</v>
      </c>
      <c r="G485" s="1"/>
      <c r="H485" s="1" t="str">
        <f ca="1">IFERROR(__xludf.DUMMYFUNCTION("""COMPUTED_VALUE"""),"P2")</f>
        <v>P2</v>
      </c>
      <c r="I485" s="1" t="str">
        <f ca="1">IFERROR(__xludf.DUMMYFUNCTION("""COMPUTED_VALUE"""),"Chiao Yu")</f>
        <v>Chiao Yu</v>
      </c>
    </row>
    <row r="486" spans="1:9" ht="12.7" x14ac:dyDescent="0.4">
      <c r="A486" s="2">
        <f ca="1">IFERROR(__xludf.DUMMYFUNCTION("""COMPUTED_VALUE"""),45499.5607721527)</f>
        <v>45499.560772152698</v>
      </c>
      <c r="B486" s="1" t="str">
        <f ca="1">IFERROR(__xludf.DUMMYFUNCTION("""COMPUTED_VALUE"""),"庫存調整")</f>
        <v>庫存調整</v>
      </c>
      <c r="C486" s="1" t="str">
        <f ca="1">IFERROR(__xludf.DUMMYFUNCTION("""COMPUTED_VALUE"""),"A00100000721")</f>
        <v>A00100000721</v>
      </c>
      <c r="D486" s="1" t="str">
        <f ca="1">IFERROR(__xludf.DUMMYFUNCTION("""COMPUTED_VALUE"""),"All/BA")</f>
        <v>All/BA</v>
      </c>
      <c r="E486" s="1" t="str">
        <f ca="1">IFERROR(__xludf.DUMMYFUNCTION("""COMPUTED_VALUE"""),"p1/庫存")</f>
        <v>p1/庫存</v>
      </c>
      <c r="F486" s="1">
        <f ca="1">IFERROR(__xludf.DUMMYFUNCTION("""COMPUTED_VALUE"""),-1)</f>
        <v>-1</v>
      </c>
      <c r="G486" s="1"/>
      <c r="H486" s="1" t="str">
        <f ca="1">IFERROR(__xludf.DUMMYFUNCTION("""COMPUTED_VALUE"""),"P1")</f>
        <v>P1</v>
      </c>
      <c r="I486" s="1" t="str">
        <f ca="1">IFERROR(__xludf.DUMMYFUNCTION("""COMPUTED_VALUE"""),"Chiao Yu")</f>
        <v>Chiao Yu</v>
      </c>
    </row>
    <row r="487" spans="1:9" ht="12.7" x14ac:dyDescent="0.4">
      <c r="A487" s="2">
        <f ca="1">IFERROR(__xludf.DUMMYFUNCTION("""COMPUTED_VALUE"""),45499.5615952314)</f>
        <v>45499.561595231396</v>
      </c>
      <c r="B487" s="1" t="str">
        <f ca="1">IFERROR(__xludf.DUMMYFUNCTION("""COMPUTED_VALUE"""),"領料")</f>
        <v>領料</v>
      </c>
      <c r="C487" s="1" t="str">
        <f ca="1">IFERROR(__xludf.DUMMYFUNCTION("""COMPUTED_VALUE"""),"A00100000721")</f>
        <v>A00100000721</v>
      </c>
      <c r="D487" s="1" t="str">
        <f ca="1">IFERROR(__xludf.DUMMYFUNCTION("""COMPUTED_VALUE"""),"All/BA")</f>
        <v>All/BA</v>
      </c>
      <c r="E487" s="1" t="str">
        <f ca="1">IFERROR(__xludf.DUMMYFUNCTION("""COMPUTED_VALUE"""),"p2/庫存")</f>
        <v>p2/庫存</v>
      </c>
      <c r="F487" s="1">
        <f ca="1">IFERROR(__xludf.DUMMYFUNCTION("""COMPUTED_VALUE"""),1)</f>
        <v>1</v>
      </c>
      <c r="G487" s="1"/>
      <c r="H487" s="1" t="str">
        <f ca="1">IFERROR(__xludf.DUMMYFUNCTION("""COMPUTED_VALUE"""),"P2_051")</f>
        <v>P2_051</v>
      </c>
      <c r="I487" s="1" t="str">
        <f ca="1">IFERROR(__xludf.DUMMYFUNCTION("""COMPUTED_VALUE"""),"Chiao Yu")</f>
        <v>Chiao Yu</v>
      </c>
    </row>
    <row r="488" spans="1:9" ht="12.7" x14ac:dyDescent="0.4">
      <c r="A488" s="2">
        <f ca="1">IFERROR(__xludf.DUMMYFUNCTION("""COMPUTED_VALUE"""),45499.6356299305)</f>
        <v>45499.635629930497</v>
      </c>
      <c r="B488" s="1" t="str">
        <f ca="1">IFERROR(__xludf.DUMMYFUNCTION("""COMPUTED_VALUE"""),"進貨")</f>
        <v>進貨</v>
      </c>
      <c r="C488" s="1" t="str">
        <f ca="1">IFERROR(__xludf.DUMMYFUNCTION("""COMPUTED_VALUE"""),"MM0260000259")</f>
        <v>MM0260000259</v>
      </c>
      <c r="D488" s="1" t="str">
        <f ca="1">IFERROR(__xludf.DUMMYFUNCTION("""COMPUTED_VALUE"""),"All/SB")</f>
        <v>All/SB</v>
      </c>
      <c r="E488" s="1" t="str">
        <f ca="1">IFERROR(__xludf.DUMMYFUNCTION("""COMPUTED_VALUE"""),"p2/庫存")</f>
        <v>p2/庫存</v>
      </c>
      <c r="F488" s="1">
        <f ca="1">IFERROR(__xludf.DUMMYFUNCTION("""COMPUTED_VALUE"""),2)</f>
        <v>2</v>
      </c>
      <c r="G488" s="1"/>
      <c r="H488" s="1" t="str">
        <f ca="1">IFERROR(__xludf.DUMMYFUNCTION("""COMPUTED_VALUE"""),"P2")</f>
        <v>P2</v>
      </c>
      <c r="I488" s="1" t="str">
        <f ca="1">IFERROR(__xludf.DUMMYFUNCTION("""COMPUTED_VALUE"""),"Chiao Yu")</f>
        <v>Chiao Yu</v>
      </c>
    </row>
    <row r="489" spans="1:9" ht="12.7" x14ac:dyDescent="0.4">
      <c r="A489" s="2">
        <f ca="1">IFERROR(__xludf.DUMMYFUNCTION("""COMPUTED_VALUE"""),45499.6371454861)</f>
        <v>45499.6371454861</v>
      </c>
      <c r="B489" s="1" t="str">
        <f ca="1">IFERROR(__xludf.DUMMYFUNCTION("""COMPUTED_VALUE"""),"進貨")</f>
        <v>進貨</v>
      </c>
      <c r="C489" s="1" t="str">
        <f ca="1">IFERROR(__xludf.DUMMYFUNCTION("""COMPUTED_VALUE"""),"A00700000482")</f>
        <v>A00700000482</v>
      </c>
      <c r="D489" s="1" t="str">
        <f ca="1">IFERROR(__xludf.DUMMYFUNCTION("""COMPUTED_VALUE"""),"All/SB")</f>
        <v>All/SB</v>
      </c>
      <c r="E489" s="1" t="str">
        <f ca="1">IFERROR(__xludf.DUMMYFUNCTION("""COMPUTED_VALUE"""),"p2/庫存")</f>
        <v>p2/庫存</v>
      </c>
      <c r="F489" s="1">
        <f ca="1">IFERROR(__xludf.DUMMYFUNCTION("""COMPUTED_VALUE"""),6)</f>
        <v>6</v>
      </c>
      <c r="G489" s="1"/>
      <c r="H489" s="1" t="str">
        <f ca="1">IFERROR(__xludf.DUMMYFUNCTION("""COMPUTED_VALUE"""),"P2")</f>
        <v>P2</v>
      </c>
      <c r="I489" s="1" t="str">
        <f ca="1">IFERROR(__xludf.DUMMYFUNCTION("""COMPUTED_VALUE"""),"Chiao Yu")</f>
        <v>Chiao Yu</v>
      </c>
    </row>
    <row r="490" spans="1:9" ht="12.7" x14ac:dyDescent="0.4">
      <c r="A490" s="2">
        <f ca="1">IFERROR(__xludf.DUMMYFUNCTION("""COMPUTED_VALUE"""),45499.637675787)</f>
        <v>45499.637675787002</v>
      </c>
      <c r="B490" s="1" t="str">
        <f ca="1">IFERROR(__xludf.DUMMYFUNCTION("""COMPUTED_VALUE"""),"進貨")</f>
        <v>進貨</v>
      </c>
      <c r="C490" s="1" t="str">
        <f ca="1">IFERROR(__xludf.DUMMYFUNCTION("""COMPUTED_VALUE"""),"A00100000721")</f>
        <v>A00100000721</v>
      </c>
      <c r="D490" s="1" t="str">
        <f ca="1">IFERROR(__xludf.DUMMYFUNCTION("""COMPUTED_VALUE"""),"All/BA")</f>
        <v>All/BA</v>
      </c>
      <c r="E490" s="1" t="str">
        <f ca="1">IFERROR(__xludf.DUMMYFUNCTION("""COMPUTED_VALUE"""),"p1/庫存")</f>
        <v>p1/庫存</v>
      </c>
      <c r="F490" s="1">
        <f ca="1">IFERROR(__xludf.DUMMYFUNCTION("""COMPUTED_VALUE"""),1)</f>
        <v>1</v>
      </c>
      <c r="G490" s="1"/>
      <c r="H490" s="1" t="str">
        <f ca="1">IFERROR(__xludf.DUMMYFUNCTION("""COMPUTED_VALUE"""),"P1")</f>
        <v>P1</v>
      </c>
      <c r="I490" s="1" t="str">
        <f ca="1">IFERROR(__xludf.DUMMYFUNCTION("""COMPUTED_VALUE"""),"Chiao Yu")</f>
        <v>Chiao Yu</v>
      </c>
    </row>
    <row r="491" spans="1:9" ht="12.7" x14ac:dyDescent="0.4">
      <c r="A491" s="2">
        <f ca="1">IFERROR(__xludf.DUMMYFUNCTION("""COMPUTED_VALUE"""),45502.3403819328)</f>
        <v>45502.340381932801</v>
      </c>
      <c r="B491" s="1" t="str">
        <f ca="1">IFERROR(__xludf.DUMMYFUNCTION("""COMPUTED_VALUE"""),"送修")</f>
        <v>送修</v>
      </c>
      <c r="C491" s="1" t="str">
        <f ca="1">IFERROR(__xludf.DUMMYFUNCTION("""COMPUTED_VALUE"""),"ME0070000140")</f>
        <v>ME0070000140</v>
      </c>
      <c r="D491" s="1" t="str">
        <f ca="1">IFERROR(__xludf.DUMMYFUNCTION("""COMPUTED_VALUE"""),"All/BA")</f>
        <v>All/BA</v>
      </c>
      <c r="E491" s="1" t="str">
        <f ca="1">IFERROR(__xludf.DUMMYFUNCTION("""COMPUTED_VALUE"""),"p1/庫存")</f>
        <v>p1/庫存</v>
      </c>
      <c r="F491" s="1">
        <f ca="1">IFERROR(__xludf.DUMMYFUNCTION("""COMPUTED_VALUE"""),1)</f>
        <v>1</v>
      </c>
      <c r="G491" s="1" t="str">
        <f ca="1">IFERROR(__xludf.DUMMYFUNCTION("""COMPUTED_VALUE"""),"100A-2522C0047-2204")</f>
        <v>100A-2522C0047-2204</v>
      </c>
      <c r="H491" s="1" t="str">
        <f ca="1">IFERROR(__xludf.DUMMYFUNCTION("""COMPUTED_VALUE"""),"P1_030")</f>
        <v>P1_030</v>
      </c>
      <c r="I491" s="1" t="str">
        <f ca="1">IFERROR(__xludf.DUMMYFUNCTION("""COMPUTED_VALUE"""),"Simon")</f>
        <v>Simon</v>
      </c>
    </row>
    <row r="492" spans="1:9" ht="12.7" x14ac:dyDescent="0.4">
      <c r="A492" s="2">
        <f ca="1">IFERROR(__xludf.DUMMYFUNCTION("""COMPUTED_VALUE"""),45502.3416467129)</f>
        <v>45502.341646712899</v>
      </c>
      <c r="B492" s="1" t="str">
        <f ca="1">IFERROR(__xludf.DUMMYFUNCTION("""COMPUTED_VALUE"""),"料件上線時間")</f>
        <v>料件上線時間</v>
      </c>
      <c r="C492" s="1" t="str">
        <f ca="1">IFERROR(__xludf.DUMMYFUNCTION("""COMPUTED_VALUE"""),"ME0070000140")</f>
        <v>ME0070000140</v>
      </c>
      <c r="D492" s="1" t="str">
        <f ca="1">IFERROR(__xludf.DUMMYFUNCTION("""COMPUTED_VALUE"""),"All/BA")</f>
        <v>All/BA</v>
      </c>
      <c r="E492" s="1" t="str">
        <f ca="1">IFERROR(__xludf.DUMMYFUNCTION("""COMPUTED_VALUE"""),"p1/庫存")</f>
        <v>p1/庫存</v>
      </c>
      <c r="F492" s="1">
        <f ca="1">IFERROR(__xludf.DUMMYFUNCTION("""COMPUTED_VALUE"""),1)</f>
        <v>1</v>
      </c>
      <c r="G492" s="1" t="str">
        <f ca="1">IFERROR(__xludf.DUMMYFUNCTION("""COMPUTED_VALUE"""),"100A-2522C0002-2207")</f>
        <v>100A-2522C0002-2207</v>
      </c>
      <c r="H492" s="1" t="str">
        <f ca="1">IFERROR(__xludf.DUMMYFUNCTION("""COMPUTED_VALUE"""),"P1_030")</f>
        <v>P1_030</v>
      </c>
      <c r="I492" s="1" t="str">
        <f ca="1">IFERROR(__xludf.DUMMYFUNCTION("""COMPUTED_VALUE"""),"Simon")</f>
        <v>Simon</v>
      </c>
    </row>
    <row r="493" spans="1:9" ht="12.7" x14ac:dyDescent="0.4">
      <c r="A493" s="2">
        <f ca="1">IFERROR(__xludf.DUMMYFUNCTION("""COMPUTED_VALUE"""),45502.3470530787)</f>
        <v>45502.347053078702</v>
      </c>
      <c r="B493" s="1" t="str">
        <f ca="1">IFERROR(__xludf.DUMMYFUNCTION("""COMPUTED_VALUE"""),"領料")</f>
        <v>領料</v>
      </c>
      <c r="C493" s="1" t="str">
        <f ca="1">IFERROR(__xludf.DUMMYFUNCTION("""COMPUTED_VALUE"""),"A00700000482")</f>
        <v>A00700000482</v>
      </c>
      <c r="D493" s="1" t="str">
        <f ca="1">IFERROR(__xludf.DUMMYFUNCTION("""COMPUTED_VALUE"""),"All/SB")</f>
        <v>All/SB</v>
      </c>
      <c r="E493" s="1" t="str">
        <f ca="1">IFERROR(__xludf.DUMMYFUNCTION("""COMPUTED_VALUE"""),"p2/庫存")</f>
        <v>p2/庫存</v>
      </c>
      <c r="F493" s="1">
        <f ca="1">IFERROR(__xludf.DUMMYFUNCTION("""COMPUTED_VALUE"""),3)</f>
        <v>3</v>
      </c>
      <c r="G493" s="1"/>
      <c r="H493" s="1" t="str">
        <f ca="1">IFERROR(__xludf.DUMMYFUNCTION("""COMPUTED_VALUE"""),"P2_4001")</f>
        <v>P2_4001</v>
      </c>
      <c r="I493" s="1" t="str">
        <f ca="1">IFERROR(__xludf.DUMMYFUNCTION("""COMPUTED_VALUE"""),"Simon")</f>
        <v>Simon</v>
      </c>
    </row>
    <row r="494" spans="1:9" ht="12.7" x14ac:dyDescent="0.4">
      <c r="A494" s="2">
        <f ca="1">IFERROR(__xludf.DUMMYFUNCTION("""COMPUTED_VALUE"""),45502.9192957407)</f>
        <v>45502.919295740699</v>
      </c>
      <c r="B494" s="1" t="str">
        <f ca="1">IFERROR(__xludf.DUMMYFUNCTION("""COMPUTED_VALUE"""),"送修")</f>
        <v>送修</v>
      </c>
      <c r="C494" s="1" t="str">
        <f ca="1">IFERROR(__xludf.DUMMYFUNCTION("""COMPUTED_VALUE"""),"ME0070000140")</f>
        <v>ME0070000140</v>
      </c>
      <c r="D494" s="1" t="str">
        <f ca="1">IFERROR(__xludf.DUMMYFUNCTION("""COMPUTED_VALUE"""),"All/BA")</f>
        <v>All/BA</v>
      </c>
      <c r="E494" s="1" t="str">
        <f ca="1">IFERROR(__xludf.DUMMYFUNCTION("""COMPUTED_VALUE"""),"p2/庫存")</f>
        <v>p2/庫存</v>
      </c>
      <c r="F494" s="1">
        <f ca="1">IFERROR(__xludf.DUMMYFUNCTION("""COMPUTED_VALUE"""),1)</f>
        <v>1</v>
      </c>
      <c r="G494" s="1" t="str">
        <f ca="1">IFERROR(__xludf.DUMMYFUNCTION("""COMPUTED_VALUE"""),"100A-2522c00083-2208")</f>
        <v>100A-2522c00083-2208</v>
      </c>
      <c r="H494" s="1" t="str">
        <f ca="1">IFERROR(__xludf.DUMMYFUNCTION("""COMPUTED_VALUE"""),"P2_038")</f>
        <v>P2_038</v>
      </c>
      <c r="I494" s="1" t="str">
        <f ca="1">IFERROR(__xludf.DUMMYFUNCTION("""COMPUTED_VALUE"""),"Uri")</f>
        <v>Uri</v>
      </c>
    </row>
    <row r="495" spans="1:9" ht="12.7" x14ac:dyDescent="0.4">
      <c r="A495" s="2">
        <f ca="1">IFERROR(__xludf.DUMMYFUNCTION("""COMPUTED_VALUE"""),45502.920245)</f>
        <v>45502.920245000001</v>
      </c>
      <c r="B495" s="1" t="str">
        <f ca="1">IFERROR(__xludf.DUMMYFUNCTION("""COMPUTED_VALUE"""),"料件上線時間")</f>
        <v>料件上線時間</v>
      </c>
      <c r="C495" s="1" t="str">
        <f ca="1">IFERROR(__xludf.DUMMYFUNCTION("""COMPUTED_VALUE"""),"ME0070000140")</f>
        <v>ME0070000140</v>
      </c>
      <c r="D495" s="1" t="str">
        <f ca="1">IFERROR(__xludf.DUMMYFUNCTION("""COMPUTED_VALUE"""),"All/BA")</f>
        <v>All/BA</v>
      </c>
      <c r="E495" s="1" t="str">
        <f ca="1">IFERROR(__xludf.DUMMYFUNCTION("""COMPUTED_VALUE"""),"p2/庫存")</f>
        <v>p2/庫存</v>
      </c>
      <c r="F495" s="1">
        <f ca="1">IFERROR(__xludf.DUMMYFUNCTION("""COMPUTED_VALUE"""),1)</f>
        <v>1</v>
      </c>
      <c r="G495" s="1" t="str">
        <f ca="1">IFERROR(__xludf.DUMMYFUNCTION("""COMPUTED_VALUE"""),"待補")</f>
        <v>待補</v>
      </c>
      <c r="H495" s="1" t="str">
        <f ca="1">IFERROR(__xludf.DUMMYFUNCTION("""COMPUTED_VALUE"""),"P2_038")</f>
        <v>P2_038</v>
      </c>
      <c r="I495" s="1" t="str">
        <f ca="1">IFERROR(__xludf.DUMMYFUNCTION("""COMPUTED_VALUE"""),"Uri")</f>
        <v>Uri</v>
      </c>
    </row>
    <row r="496" spans="1:9" ht="12.7" x14ac:dyDescent="0.4">
      <c r="A496" s="2">
        <f ca="1">IFERROR(__xludf.DUMMYFUNCTION("""COMPUTED_VALUE"""),45503.2411857986)</f>
        <v>45503.241185798601</v>
      </c>
      <c r="B496" s="1" t="str">
        <f ca="1">IFERROR(__xludf.DUMMYFUNCTION("""COMPUTED_VALUE"""),"送修")</f>
        <v>送修</v>
      </c>
      <c r="C496" s="1" t="str">
        <f ca="1">IFERROR(__xludf.DUMMYFUNCTION("""COMPUTED_VALUE"""),"AGT000000005")</f>
        <v>AGT000000005</v>
      </c>
      <c r="D496" s="1" t="str">
        <f ca="1">IFERROR(__xludf.DUMMYFUNCTION("""COMPUTED_VALUE"""),"All/共用")</f>
        <v>All/共用</v>
      </c>
      <c r="E496" s="1" t="str">
        <f ca="1">IFERROR(__xludf.DUMMYFUNCTION("""COMPUTED_VALUE"""),"p1/庫存")</f>
        <v>p1/庫存</v>
      </c>
      <c r="F496" s="1">
        <f ca="1">IFERROR(__xludf.DUMMYFUNCTION("""COMPUTED_VALUE"""),1)</f>
        <v>1</v>
      </c>
      <c r="G496" s="1"/>
      <c r="H496" s="1" t="str">
        <f ca="1">IFERROR(__xludf.DUMMYFUNCTION("""COMPUTED_VALUE"""),"P1_013")</f>
        <v>P1_013</v>
      </c>
      <c r="I496" s="1" t="str">
        <f ca="1">IFERROR(__xludf.DUMMYFUNCTION("""COMPUTED_VALUE"""),"Simon")</f>
        <v>Simon</v>
      </c>
    </row>
    <row r="497" spans="1:9" ht="12.7" x14ac:dyDescent="0.4">
      <c r="A497" s="2">
        <f ca="1">IFERROR(__xludf.DUMMYFUNCTION("""COMPUTED_VALUE"""),45503.2441579629)</f>
        <v>45503.244157962901</v>
      </c>
      <c r="B497" s="1" t="str">
        <f ca="1">IFERROR(__xludf.DUMMYFUNCTION("""COMPUTED_VALUE"""),"送修")</f>
        <v>送修</v>
      </c>
      <c r="C497" s="1" t="str">
        <f ca="1">IFERROR(__xludf.DUMMYFUNCTION("""COMPUTED_VALUE"""),"AGT000000005")</f>
        <v>AGT000000005</v>
      </c>
      <c r="D497" s="1" t="str">
        <f ca="1">IFERROR(__xludf.DUMMYFUNCTION("""COMPUTED_VALUE"""),"All/共用")</f>
        <v>All/共用</v>
      </c>
      <c r="E497" s="1" t="str">
        <f ca="1">IFERROR(__xludf.DUMMYFUNCTION("""COMPUTED_VALUE"""),"p1/庫存")</f>
        <v>p1/庫存</v>
      </c>
      <c r="F497" s="1">
        <f ca="1">IFERROR(__xludf.DUMMYFUNCTION("""COMPUTED_VALUE"""),1)</f>
        <v>1</v>
      </c>
      <c r="G497" s="1"/>
      <c r="H497" s="1" t="str">
        <f ca="1">IFERROR(__xludf.DUMMYFUNCTION("""COMPUTED_VALUE"""),"P1_025")</f>
        <v>P1_025</v>
      </c>
      <c r="I497" s="1" t="str">
        <f ca="1">IFERROR(__xludf.DUMMYFUNCTION("""COMPUTED_VALUE"""),"Simon")</f>
        <v>Simon</v>
      </c>
    </row>
    <row r="498" spans="1:9" ht="12.7" x14ac:dyDescent="0.4">
      <c r="A498" s="2">
        <f ca="1">IFERROR(__xludf.DUMMYFUNCTION("""COMPUTED_VALUE"""),45503.2455573148)</f>
        <v>45503.245557314804</v>
      </c>
      <c r="B498" s="1" t="str">
        <f ca="1">IFERROR(__xludf.DUMMYFUNCTION("""COMPUTED_VALUE"""),"領料")</f>
        <v>領料</v>
      </c>
      <c r="C498" s="1" t="str">
        <f ca="1">IFERROR(__xludf.DUMMYFUNCTION("""COMPUTED_VALUE"""),"ME0060000277")</f>
        <v>ME0060000277</v>
      </c>
      <c r="D498" s="1" t="str">
        <f ca="1">IFERROR(__xludf.DUMMYFUNCTION("""COMPUTED_VALUE"""),"All/共用")</f>
        <v>All/共用</v>
      </c>
      <c r="E498" s="1" t="str">
        <f ca="1">IFERROR(__xludf.DUMMYFUNCTION("""COMPUTED_VALUE"""),"p1/庫存")</f>
        <v>p1/庫存</v>
      </c>
      <c r="F498" s="1">
        <f ca="1">IFERROR(__xludf.DUMMYFUNCTION("""COMPUTED_VALUE"""),1)</f>
        <v>1</v>
      </c>
      <c r="G498" s="1"/>
      <c r="H498" s="1" t="str">
        <f ca="1">IFERROR(__xludf.DUMMYFUNCTION("""COMPUTED_VALUE"""),"P1_013")</f>
        <v>P1_013</v>
      </c>
      <c r="I498" s="1" t="str">
        <f ca="1">IFERROR(__xludf.DUMMYFUNCTION("""COMPUTED_VALUE"""),"Simon")</f>
        <v>Simon</v>
      </c>
    </row>
    <row r="499" spans="1:9" ht="12.7" x14ac:dyDescent="0.4">
      <c r="A499" s="2">
        <f ca="1">IFERROR(__xludf.DUMMYFUNCTION("""COMPUTED_VALUE"""),45506.4770392361)</f>
        <v>45506.477039236102</v>
      </c>
      <c r="B499" s="1" t="str">
        <f ca="1">IFERROR(__xludf.DUMMYFUNCTION("""COMPUTED_VALUE"""),"領料")</f>
        <v>領料</v>
      </c>
      <c r="C499" s="1" t="str">
        <f ca="1">IFERROR(__xludf.DUMMYFUNCTION("""COMPUTED_VALUE"""),"MM0260000199")</f>
        <v>MM0260000199</v>
      </c>
      <c r="D499" s="1" t="str">
        <f ca="1">IFERROR(__xludf.DUMMYFUNCTION("""COMPUTED_VALUE"""),"All/RL")</f>
        <v>All/RL</v>
      </c>
      <c r="E499" s="1" t="str">
        <f ca="1">IFERROR(__xludf.DUMMYFUNCTION("""COMPUTED_VALUE"""),"p2/庫存")</f>
        <v>p2/庫存</v>
      </c>
      <c r="F499" s="1">
        <f ca="1">IFERROR(__xludf.DUMMYFUNCTION("""COMPUTED_VALUE"""),1)</f>
        <v>1</v>
      </c>
      <c r="G499" s="1"/>
      <c r="H499" s="1" t="str">
        <f ca="1">IFERROR(__xludf.DUMMYFUNCTION("""COMPUTED_VALUE"""),"P2")</f>
        <v>P2</v>
      </c>
      <c r="I499" s="1" t="str">
        <f ca="1">IFERROR(__xludf.DUMMYFUNCTION("""COMPUTED_VALUE"""),"Chiao Yu")</f>
        <v>Chiao Yu</v>
      </c>
    </row>
    <row r="500" spans="1:9" ht="12.7" x14ac:dyDescent="0.4">
      <c r="A500" s="2">
        <f ca="1">IFERROR(__xludf.DUMMYFUNCTION("""COMPUTED_VALUE"""),45506.4775636805)</f>
        <v>45506.477563680499</v>
      </c>
      <c r="B500" s="1" t="str">
        <f ca="1">IFERROR(__xludf.DUMMYFUNCTION("""COMPUTED_VALUE"""),"領料")</f>
        <v>領料</v>
      </c>
      <c r="C500" s="1" t="str">
        <f ca="1">IFERROR(__xludf.DUMMYFUNCTION("""COMPUTED_VALUE"""),"MM0260000200")</f>
        <v>MM0260000200</v>
      </c>
      <c r="D500" s="1" t="str">
        <f ca="1">IFERROR(__xludf.DUMMYFUNCTION("""COMPUTED_VALUE"""),"All/RL")</f>
        <v>All/RL</v>
      </c>
      <c r="E500" s="1" t="str">
        <f ca="1">IFERROR(__xludf.DUMMYFUNCTION("""COMPUTED_VALUE"""),"p2/庫存")</f>
        <v>p2/庫存</v>
      </c>
      <c r="F500" s="1">
        <f ca="1">IFERROR(__xludf.DUMMYFUNCTION("""COMPUTED_VALUE"""),1)</f>
        <v>1</v>
      </c>
      <c r="G500" s="1"/>
      <c r="H500" s="1" t="str">
        <f ca="1">IFERROR(__xludf.DUMMYFUNCTION("""COMPUTED_VALUE"""),"P2")</f>
        <v>P2</v>
      </c>
      <c r="I500" s="1" t="str">
        <f ca="1">IFERROR(__xludf.DUMMYFUNCTION("""COMPUTED_VALUE"""),"Chiao Yu")</f>
        <v>Chiao Yu</v>
      </c>
    </row>
    <row r="501" spans="1:9" ht="12.7" x14ac:dyDescent="0.4">
      <c r="A501" s="2">
        <f ca="1">IFERROR(__xludf.DUMMYFUNCTION("""COMPUTED_VALUE"""),45509.8879344675)</f>
        <v>45509.887934467501</v>
      </c>
      <c r="B501" s="1" t="str">
        <f ca="1">IFERROR(__xludf.DUMMYFUNCTION("""COMPUTED_VALUE"""),"返修")</f>
        <v>返修</v>
      </c>
      <c r="C501" s="1" t="str">
        <f ca="1">IFERROR(__xludf.DUMMYFUNCTION("""COMPUTED_VALUE"""),"A00100000731")</f>
        <v>A00100000731</v>
      </c>
      <c r="D501" s="1" t="str">
        <f ca="1">IFERROR(__xludf.DUMMYFUNCTION("""COMPUTED_VALUE"""),"All/BA")</f>
        <v>All/BA</v>
      </c>
      <c r="E501" s="1" t="str">
        <f ca="1">IFERROR(__xludf.DUMMYFUNCTION("""COMPUTED_VALUE"""),"p1/庫存")</f>
        <v>p1/庫存</v>
      </c>
      <c r="F501" s="1">
        <f ca="1">IFERROR(__xludf.DUMMYFUNCTION("""COMPUTED_VALUE"""),1)</f>
        <v>1</v>
      </c>
      <c r="G501" s="1" t="str">
        <f ca="1">IFERROR(__xludf.DUMMYFUNCTION("""COMPUTED_VALUE"""),"10F178")</f>
        <v>10F178</v>
      </c>
      <c r="H501" s="1" t="str">
        <f ca="1">IFERROR(__xludf.DUMMYFUNCTION("""COMPUTED_VALUE"""),"P2_041")</f>
        <v>P2_041</v>
      </c>
      <c r="I501" s="1" t="str">
        <f ca="1">IFERROR(__xludf.DUMMYFUNCTION("""COMPUTED_VALUE"""),"Simon")</f>
        <v>Simon</v>
      </c>
    </row>
    <row r="502" spans="1:9" ht="12.7" x14ac:dyDescent="0.4">
      <c r="A502" s="2">
        <f ca="1">IFERROR(__xludf.DUMMYFUNCTION("""COMPUTED_VALUE"""),45511.3599478356)</f>
        <v>45511.359947835597</v>
      </c>
      <c r="B502" s="1" t="str">
        <f ca="1">IFERROR(__xludf.DUMMYFUNCTION("""COMPUTED_VALUE"""),"領料")</f>
        <v>領料</v>
      </c>
      <c r="C502" s="1" t="str">
        <f ca="1">IFERROR(__xludf.DUMMYFUNCTION("""COMPUTED_VALUE"""),"ME0020000554")</f>
        <v>ME0020000554</v>
      </c>
      <c r="D502" s="1" t="str">
        <f ca="1">IFERROR(__xludf.DUMMYFUNCTION("""COMPUTED_VALUE"""),"All/共用")</f>
        <v>All/共用</v>
      </c>
      <c r="E502" s="1" t="str">
        <f ca="1">IFERROR(__xludf.DUMMYFUNCTION("""COMPUTED_VALUE"""),"p1/庫存")</f>
        <v>p1/庫存</v>
      </c>
      <c r="F502" s="1">
        <f ca="1">IFERROR(__xludf.DUMMYFUNCTION("""COMPUTED_VALUE"""),1)</f>
        <v>1</v>
      </c>
      <c r="G502" s="1"/>
      <c r="H502" s="1" t="str">
        <f ca="1">IFERROR(__xludf.DUMMYFUNCTION("""COMPUTED_VALUE"""),"P1")</f>
        <v>P1</v>
      </c>
      <c r="I502" s="1" t="str">
        <f ca="1">IFERROR(__xludf.DUMMYFUNCTION("""COMPUTED_VALUE"""),"Barry")</f>
        <v>Barry</v>
      </c>
    </row>
    <row r="503" spans="1:9" ht="12.7" x14ac:dyDescent="0.4">
      <c r="A503" s="2">
        <f ca="1">IFERROR(__xludf.DUMMYFUNCTION("""COMPUTED_VALUE"""),45511.3709025347)</f>
        <v>45511.370902534698</v>
      </c>
      <c r="B503" s="1" t="str">
        <f ca="1">IFERROR(__xludf.DUMMYFUNCTION("""COMPUTED_VALUE"""),"領料")</f>
        <v>領料</v>
      </c>
      <c r="C503" s="1" t="str">
        <f ca="1">IFERROR(__xludf.DUMMYFUNCTION("""COMPUTED_VALUE"""),"MM0260000157")</f>
        <v>MM0260000157</v>
      </c>
      <c r="D503" s="1" t="str">
        <f ca="1">IFERROR(__xludf.DUMMYFUNCTION("""COMPUTED_VALUE"""),"All/BA")</f>
        <v>All/BA</v>
      </c>
      <c r="E503" s="1" t="str">
        <f ca="1">IFERROR(__xludf.DUMMYFUNCTION("""COMPUTED_VALUE"""),"p2/庫存")</f>
        <v>p2/庫存</v>
      </c>
      <c r="F503" s="1">
        <f ca="1">IFERROR(__xludf.DUMMYFUNCTION("""COMPUTED_VALUE"""),1)</f>
        <v>1</v>
      </c>
      <c r="G503" s="1"/>
      <c r="H503" s="1" t="str">
        <f ca="1">IFERROR(__xludf.DUMMYFUNCTION("""COMPUTED_VALUE"""),"P2_044")</f>
        <v>P2_044</v>
      </c>
      <c r="I503" s="1" t="str">
        <f ca="1">IFERROR(__xludf.DUMMYFUNCTION("""COMPUTED_VALUE"""),"Chiao Yu")</f>
        <v>Chiao Yu</v>
      </c>
    </row>
    <row r="504" spans="1:9" ht="12.7" x14ac:dyDescent="0.4">
      <c r="A504" s="2">
        <f ca="1">IFERROR(__xludf.DUMMYFUNCTION("""COMPUTED_VALUE"""),45511.3714850463)</f>
        <v>45511.3714850463</v>
      </c>
      <c r="B504" s="1" t="str">
        <f ca="1">IFERROR(__xludf.DUMMYFUNCTION("""COMPUTED_VALUE"""),"領料")</f>
        <v>領料</v>
      </c>
      <c r="C504" s="1" t="str">
        <f ca="1">IFERROR(__xludf.DUMMYFUNCTION("""COMPUTED_VALUE"""),"MM0260000157")</f>
        <v>MM0260000157</v>
      </c>
      <c r="D504" s="1" t="str">
        <f ca="1">IFERROR(__xludf.DUMMYFUNCTION("""COMPUTED_VALUE"""),"All/BA")</f>
        <v>All/BA</v>
      </c>
      <c r="E504" s="1" t="str">
        <f ca="1">IFERROR(__xludf.DUMMYFUNCTION("""COMPUTED_VALUE"""),"p2/庫存")</f>
        <v>p2/庫存</v>
      </c>
      <c r="F504" s="1">
        <f ca="1">IFERROR(__xludf.DUMMYFUNCTION("""COMPUTED_VALUE"""),2)</f>
        <v>2</v>
      </c>
      <c r="G504" s="1"/>
      <c r="H504" s="1" t="str">
        <f ca="1">IFERROR(__xludf.DUMMYFUNCTION("""COMPUTED_VALUE"""),"P2_045")</f>
        <v>P2_045</v>
      </c>
      <c r="I504" s="1" t="str">
        <f ca="1">IFERROR(__xludf.DUMMYFUNCTION("""COMPUTED_VALUE"""),"Chiao Yu")</f>
        <v>Chiao Yu</v>
      </c>
    </row>
    <row r="505" spans="1:9" ht="12.7" x14ac:dyDescent="0.4">
      <c r="A505" s="2">
        <f ca="1">IFERROR(__xludf.DUMMYFUNCTION("""COMPUTED_VALUE"""),45511.4088612731)</f>
        <v>45511.408861273099</v>
      </c>
      <c r="B505" s="1" t="str">
        <f ca="1">IFERROR(__xludf.DUMMYFUNCTION("""COMPUTED_VALUE"""),"進貨")</f>
        <v>進貨</v>
      </c>
      <c r="C505" s="1" t="str">
        <f ca="1">IFERROR(__xludf.DUMMYFUNCTION("""COMPUTED_VALUE"""),"AGT000000011")</f>
        <v>AGT000000011</v>
      </c>
      <c r="D505" s="1" t="str">
        <f ca="1">IFERROR(__xludf.DUMMYFUNCTION("""COMPUTED_VALUE"""),"All/共用")</f>
        <v>All/共用</v>
      </c>
      <c r="E505" s="1" t="str">
        <f ca="1">IFERROR(__xludf.DUMMYFUNCTION("""COMPUTED_VALUE"""),"p2/庫存")</f>
        <v>p2/庫存</v>
      </c>
      <c r="F505" s="1">
        <f ca="1">IFERROR(__xludf.DUMMYFUNCTION("""COMPUTED_VALUE"""),8)</f>
        <v>8</v>
      </c>
      <c r="G505" s="1"/>
      <c r="H505" s="1" t="str">
        <f ca="1">IFERROR(__xludf.DUMMYFUNCTION("""COMPUTED_VALUE"""),"P2")</f>
        <v>P2</v>
      </c>
      <c r="I505" s="1" t="str">
        <f ca="1">IFERROR(__xludf.DUMMYFUNCTION("""COMPUTED_VALUE"""),"Chiao Yu")</f>
        <v>Chiao Yu</v>
      </c>
    </row>
    <row r="506" spans="1:9" ht="12.7" x14ac:dyDescent="0.4">
      <c r="A506" s="2">
        <f ca="1">IFERROR(__xludf.DUMMYFUNCTION("""COMPUTED_VALUE"""),45511.4110298379)</f>
        <v>45511.411029837902</v>
      </c>
      <c r="B506" s="1" t="str">
        <f ca="1">IFERROR(__xludf.DUMMYFUNCTION("""COMPUTED_VALUE"""),"領料")</f>
        <v>領料</v>
      </c>
      <c r="C506" s="1" t="str">
        <f ca="1">IFERROR(__xludf.DUMMYFUNCTION("""COMPUTED_VALUE"""),"AGT000000011")</f>
        <v>AGT000000011</v>
      </c>
      <c r="D506" s="1" t="str">
        <f ca="1">IFERROR(__xludf.DUMMYFUNCTION("""COMPUTED_VALUE"""),"All/共用")</f>
        <v>All/共用</v>
      </c>
      <c r="E506" s="1" t="str">
        <f ca="1">IFERROR(__xludf.DUMMYFUNCTION("""COMPUTED_VALUE"""),"p2/庫存")</f>
        <v>p2/庫存</v>
      </c>
      <c r="F506" s="1">
        <f ca="1">IFERROR(__xludf.DUMMYFUNCTION("""COMPUTED_VALUE"""),5)</f>
        <v>5</v>
      </c>
      <c r="G506" s="1"/>
      <c r="H506" s="1" t="str">
        <f ca="1">IFERROR(__xludf.DUMMYFUNCTION("""COMPUTED_VALUE"""),"P2")</f>
        <v>P2</v>
      </c>
      <c r="I506" s="1" t="str">
        <f ca="1">IFERROR(__xludf.DUMMYFUNCTION("""COMPUTED_VALUE"""),"Chiao Yu")</f>
        <v>Chiao Yu</v>
      </c>
    </row>
    <row r="507" spans="1:9" ht="12.7" x14ac:dyDescent="0.4">
      <c r="A507" s="2">
        <f ca="1">IFERROR(__xludf.DUMMYFUNCTION("""COMPUTED_VALUE"""),45512.2065063426)</f>
        <v>45512.206506342598</v>
      </c>
      <c r="B507" s="1" t="str">
        <f ca="1">IFERROR(__xludf.DUMMYFUNCTION("""COMPUTED_VALUE"""),"領料")</f>
        <v>領料</v>
      </c>
      <c r="C507" s="1" t="str">
        <f ca="1">IFERROR(__xludf.DUMMYFUNCTION("""COMPUTED_VALUE"""),"ME0060000277")</f>
        <v>ME0060000277</v>
      </c>
      <c r="D507" s="1" t="str">
        <f ca="1">IFERROR(__xludf.DUMMYFUNCTION("""COMPUTED_VALUE"""),"All/共用")</f>
        <v>All/共用</v>
      </c>
      <c r="E507" s="1" t="str">
        <f ca="1">IFERROR(__xludf.DUMMYFUNCTION("""COMPUTED_VALUE"""),"p1/庫存")</f>
        <v>p1/庫存</v>
      </c>
      <c r="F507" s="1">
        <f ca="1">IFERROR(__xludf.DUMMYFUNCTION("""COMPUTED_VALUE"""),1)</f>
        <v>1</v>
      </c>
      <c r="G507" s="1"/>
      <c r="H507" s="1" t="str">
        <f ca="1">IFERROR(__xludf.DUMMYFUNCTION("""COMPUTED_VALUE"""),"P1_05")</f>
        <v>P1_05</v>
      </c>
      <c r="I507" s="1" t="str">
        <f ca="1">IFERROR(__xludf.DUMMYFUNCTION("""COMPUTED_VALUE"""),"Simon")</f>
        <v>Simon</v>
      </c>
    </row>
    <row r="508" spans="1:9" ht="12.7" x14ac:dyDescent="0.4">
      <c r="A508" s="2">
        <f ca="1">IFERROR(__xludf.DUMMYFUNCTION("""COMPUTED_VALUE"""),45512.3008958564)</f>
        <v>45512.300895856402</v>
      </c>
      <c r="B508" s="1" t="str">
        <f ca="1">IFERROR(__xludf.DUMMYFUNCTION("""COMPUTED_VALUE"""),"庫存調整")</f>
        <v>庫存調整</v>
      </c>
      <c r="C508" s="1" t="str">
        <f ca="1">IFERROR(__xludf.DUMMYFUNCTION("""COMPUTED_VALUE"""),"ME0030000058")</f>
        <v>ME0030000058</v>
      </c>
      <c r="D508" s="1" t="str">
        <f ca="1">IFERROR(__xludf.DUMMYFUNCTION("""COMPUTED_VALUE"""),"All/共用")</f>
        <v>All/共用</v>
      </c>
      <c r="E508" s="1" t="str">
        <f ca="1">IFERROR(__xludf.DUMMYFUNCTION("""COMPUTED_VALUE"""),"p2/庫存")</f>
        <v>p2/庫存</v>
      </c>
      <c r="F508" s="1">
        <f ca="1">IFERROR(__xludf.DUMMYFUNCTION("""COMPUTED_VALUE"""),2)</f>
        <v>2</v>
      </c>
      <c r="G508" s="1"/>
      <c r="H508" s="1" t="str">
        <f ca="1">IFERROR(__xludf.DUMMYFUNCTION("""COMPUTED_VALUE"""),"P2")</f>
        <v>P2</v>
      </c>
      <c r="I508" s="1" t="str">
        <f ca="1">IFERROR(__xludf.DUMMYFUNCTION("""COMPUTED_VALUE"""),"Barry")</f>
        <v>Barry</v>
      </c>
    </row>
    <row r="509" spans="1:9" ht="12.7" x14ac:dyDescent="0.4">
      <c r="A509" s="2">
        <f ca="1">IFERROR(__xludf.DUMMYFUNCTION("""COMPUTED_VALUE"""),45512.3018795949)</f>
        <v>45512.301879594903</v>
      </c>
      <c r="B509" s="1" t="str">
        <f ca="1">IFERROR(__xludf.DUMMYFUNCTION("""COMPUTED_VALUE"""),"庫存調整")</f>
        <v>庫存調整</v>
      </c>
      <c r="C509" s="1" t="str">
        <f ca="1">IFERROR(__xludf.DUMMYFUNCTION("""COMPUTED_VALUE"""),"ME0030000075")</f>
        <v>ME0030000075</v>
      </c>
      <c r="D509" s="1" t="str">
        <f ca="1">IFERROR(__xludf.DUMMYFUNCTION("""COMPUTED_VALUE"""),"All/共用")</f>
        <v>All/共用</v>
      </c>
      <c r="E509" s="1" t="str">
        <f ca="1">IFERROR(__xludf.DUMMYFUNCTION("""COMPUTED_VALUE"""),"p2/庫存")</f>
        <v>p2/庫存</v>
      </c>
      <c r="F509" s="1">
        <f ca="1">IFERROR(__xludf.DUMMYFUNCTION("""COMPUTED_VALUE"""),2)</f>
        <v>2</v>
      </c>
      <c r="G509" s="1"/>
      <c r="H509" s="1" t="str">
        <f ca="1">IFERROR(__xludf.DUMMYFUNCTION("""COMPUTED_VALUE"""),"P2")</f>
        <v>P2</v>
      </c>
      <c r="I509" s="1" t="str">
        <f ca="1">IFERROR(__xludf.DUMMYFUNCTION("""COMPUTED_VALUE"""),"Barry")</f>
        <v>Barry</v>
      </c>
    </row>
    <row r="510" spans="1:9" ht="12.7" x14ac:dyDescent="0.4">
      <c r="A510" s="2">
        <f ca="1">IFERROR(__xludf.DUMMYFUNCTION("""COMPUTED_VALUE"""),45512.357378831)</f>
        <v>45512.357378831002</v>
      </c>
      <c r="B510" s="1" t="str">
        <f ca="1">IFERROR(__xludf.DUMMYFUNCTION("""COMPUTED_VALUE"""),"領料")</f>
        <v>領料</v>
      </c>
      <c r="C510" s="1" t="str">
        <f ca="1">IFERROR(__xludf.DUMMYFUNCTION("""COMPUTED_VALUE"""),"AGT000000009")</f>
        <v>AGT000000009</v>
      </c>
      <c r="D510" s="1" t="str">
        <f ca="1">IFERROR(__xludf.DUMMYFUNCTION("""COMPUTED_VALUE"""),"All/共用")</f>
        <v>All/共用</v>
      </c>
      <c r="E510" s="1" t="str">
        <f ca="1">IFERROR(__xludf.DUMMYFUNCTION("""COMPUTED_VALUE"""),"p2/庫存")</f>
        <v>p2/庫存</v>
      </c>
      <c r="F510" s="1">
        <f ca="1">IFERROR(__xludf.DUMMYFUNCTION("""COMPUTED_VALUE"""),174)</f>
        <v>174</v>
      </c>
      <c r="G510" s="1"/>
      <c r="H510" s="1" t="str">
        <f ca="1">IFERROR(__xludf.DUMMYFUNCTION("""COMPUTED_VALUE"""),"P2")</f>
        <v>P2</v>
      </c>
      <c r="I510" s="1" t="str">
        <f ca="1">IFERROR(__xludf.DUMMYFUNCTION("""COMPUTED_VALUE"""),"Simon")</f>
        <v>Simon</v>
      </c>
    </row>
    <row r="511" spans="1:9" ht="12.7" x14ac:dyDescent="0.4">
      <c r="A511" s="2">
        <f ca="1">IFERROR(__xludf.DUMMYFUNCTION("""COMPUTED_VALUE"""),45512.3582951504)</f>
        <v>45512.358295150399</v>
      </c>
      <c r="B511" s="1" t="str">
        <f ca="1">IFERROR(__xludf.DUMMYFUNCTION("""COMPUTED_VALUE"""),"領料")</f>
        <v>領料</v>
      </c>
      <c r="C511" s="1" t="str">
        <f ca="1">IFERROR(__xludf.DUMMYFUNCTION("""COMPUTED_VALUE"""),"AGT000000010")</f>
        <v>AGT000000010</v>
      </c>
      <c r="D511" s="1" t="str">
        <f ca="1">IFERROR(__xludf.DUMMYFUNCTION("""COMPUTED_VALUE"""),"All/共用")</f>
        <v>All/共用</v>
      </c>
      <c r="E511" s="1" t="str">
        <f ca="1">IFERROR(__xludf.DUMMYFUNCTION("""COMPUTED_VALUE"""),"p2/庫存")</f>
        <v>p2/庫存</v>
      </c>
      <c r="F511" s="1">
        <f ca="1">IFERROR(__xludf.DUMMYFUNCTION("""COMPUTED_VALUE"""),174)</f>
        <v>174</v>
      </c>
      <c r="G511" s="1"/>
      <c r="H511" s="1" t="str">
        <f ca="1">IFERROR(__xludf.DUMMYFUNCTION("""COMPUTED_VALUE"""),"P2")</f>
        <v>P2</v>
      </c>
      <c r="I511" s="1" t="str">
        <f ca="1">IFERROR(__xludf.DUMMYFUNCTION("""COMPUTED_VALUE"""),"Simon")</f>
        <v>Simon</v>
      </c>
    </row>
    <row r="512" spans="1:9" ht="12.7" x14ac:dyDescent="0.4">
      <c r="A512" s="2">
        <f ca="1">IFERROR(__xludf.DUMMYFUNCTION("""COMPUTED_VALUE"""),45513.3593894907)</f>
        <v>45513.359389490703</v>
      </c>
      <c r="B512" s="1" t="str">
        <f ca="1">IFERROR(__xludf.DUMMYFUNCTION("""COMPUTED_VALUE"""),"領料")</f>
        <v>領料</v>
      </c>
      <c r="C512" s="1" t="str">
        <f ca="1">IFERROR(__xludf.DUMMYFUNCTION("""COMPUTED_VALUE"""),"AGT000000005")</f>
        <v>AGT000000005</v>
      </c>
      <c r="D512" s="1" t="str">
        <f ca="1">IFERROR(__xludf.DUMMYFUNCTION("""COMPUTED_VALUE"""),"All/共用")</f>
        <v>All/共用</v>
      </c>
      <c r="E512" s="1" t="str">
        <f ca="1">IFERROR(__xludf.DUMMYFUNCTION("""COMPUTED_VALUE"""),"p1/庫存")</f>
        <v>p1/庫存</v>
      </c>
      <c r="F512" s="1">
        <f ca="1">IFERROR(__xludf.DUMMYFUNCTION("""COMPUTED_VALUE"""),1)</f>
        <v>1</v>
      </c>
      <c r="G512" s="1"/>
      <c r="H512" s="1" t="str">
        <f ca="1">IFERROR(__xludf.DUMMYFUNCTION("""COMPUTED_VALUE"""),"P1_005")</f>
        <v>P1_005</v>
      </c>
      <c r="I512" s="1" t="str">
        <f ca="1">IFERROR(__xludf.DUMMYFUNCTION("""COMPUTED_VALUE"""),"Chiao Yu")</f>
        <v>Chiao Yu</v>
      </c>
    </row>
    <row r="513" spans="1:9" ht="12.7" x14ac:dyDescent="0.4">
      <c r="A513" s="2">
        <f ca="1">IFERROR(__xludf.DUMMYFUNCTION("""COMPUTED_VALUE"""),45516.3450467013)</f>
        <v>45516.345046701303</v>
      </c>
      <c r="B513" s="1" t="str">
        <f ca="1">IFERROR(__xludf.DUMMYFUNCTION("""COMPUTED_VALUE"""),"領料")</f>
        <v>領料</v>
      </c>
      <c r="C513" s="1" t="str">
        <f ca="1">IFERROR(__xludf.DUMMYFUNCTION("""COMPUTED_VALUE"""),"MM0260000249")</f>
        <v>MM0260000249</v>
      </c>
      <c r="D513" s="1" t="str">
        <f ca="1">IFERROR(__xludf.DUMMYFUNCTION("""COMPUTED_VALUE"""),"All/RL")</f>
        <v>All/RL</v>
      </c>
      <c r="E513" s="1" t="str">
        <f ca="1">IFERROR(__xludf.DUMMYFUNCTION("""COMPUTED_VALUE"""),"p2/庫存")</f>
        <v>p2/庫存</v>
      </c>
      <c r="F513" s="1">
        <f ca="1">IFERROR(__xludf.DUMMYFUNCTION("""COMPUTED_VALUE"""),1)</f>
        <v>1</v>
      </c>
      <c r="G513" s="1"/>
      <c r="H513" s="1" t="str">
        <f ca="1">IFERROR(__xludf.DUMMYFUNCTION("""COMPUTED_VALUE"""),"P2_1001")</f>
        <v>P2_1001</v>
      </c>
      <c r="I513" s="1" t="str">
        <f ca="1">IFERROR(__xludf.DUMMYFUNCTION("""COMPUTED_VALUE"""),"Simon")</f>
        <v>Simon</v>
      </c>
    </row>
    <row r="514" spans="1:9" ht="12.7" x14ac:dyDescent="0.4">
      <c r="A514" s="2">
        <f ca="1">IFERROR(__xludf.DUMMYFUNCTION("""COMPUTED_VALUE"""),45516.9038642592)</f>
        <v>45516.903864259199</v>
      </c>
      <c r="B514" s="1" t="str">
        <f ca="1">IFERROR(__xludf.DUMMYFUNCTION("""COMPUTED_VALUE"""),"進貨")</f>
        <v>進貨</v>
      </c>
      <c r="C514" s="1" t="str">
        <f ca="1">IFERROR(__xludf.DUMMYFUNCTION("""COMPUTED_VALUE"""),"AGT000000010")</f>
        <v>AGT000000010</v>
      </c>
      <c r="D514" s="1" t="str">
        <f ca="1">IFERROR(__xludf.DUMMYFUNCTION("""COMPUTED_VALUE"""),"All/共用")</f>
        <v>All/共用</v>
      </c>
      <c r="E514" s="1" t="str">
        <f ca="1">IFERROR(__xludf.DUMMYFUNCTION("""COMPUTED_VALUE"""),"p1/庫存")</f>
        <v>p1/庫存</v>
      </c>
      <c r="F514" s="1">
        <f ca="1">IFERROR(__xludf.DUMMYFUNCTION("""COMPUTED_VALUE"""),200)</f>
        <v>200</v>
      </c>
      <c r="G514" s="1"/>
      <c r="H514" s="1" t="str">
        <f ca="1">IFERROR(__xludf.DUMMYFUNCTION("""COMPUTED_VALUE"""),"P1")</f>
        <v>P1</v>
      </c>
      <c r="I514" s="1" t="str">
        <f ca="1">IFERROR(__xludf.DUMMYFUNCTION("""COMPUTED_VALUE"""),"Uri")</f>
        <v>Uri</v>
      </c>
    </row>
    <row r="515" spans="1:9" ht="12.7" x14ac:dyDescent="0.4">
      <c r="A515" s="2">
        <f ca="1">IFERROR(__xludf.DUMMYFUNCTION("""COMPUTED_VALUE"""),45516.9113121064)</f>
        <v>45516.9113121064</v>
      </c>
      <c r="B515" s="1" t="str">
        <f ca="1">IFERROR(__xludf.DUMMYFUNCTION("""COMPUTED_VALUE"""),"返修")</f>
        <v>返修</v>
      </c>
      <c r="C515" s="1" t="str">
        <f ca="1">IFERROR(__xludf.DUMMYFUNCTION("""COMPUTED_VALUE"""),"AGT000000005")</f>
        <v>AGT000000005</v>
      </c>
      <c r="D515" s="1" t="str">
        <f ca="1">IFERROR(__xludf.DUMMYFUNCTION("""COMPUTED_VALUE"""),"All/共用")</f>
        <v>All/共用</v>
      </c>
      <c r="E515" s="1" t="str">
        <f ca="1">IFERROR(__xludf.DUMMYFUNCTION("""COMPUTED_VALUE"""),"p1/庫存")</f>
        <v>p1/庫存</v>
      </c>
      <c r="F515" s="1">
        <f ca="1">IFERROR(__xludf.DUMMYFUNCTION("""COMPUTED_VALUE"""),1)</f>
        <v>1</v>
      </c>
      <c r="G515" s="1"/>
      <c r="H515" s="1" t="str">
        <f ca="1">IFERROR(__xludf.DUMMYFUNCTION("""COMPUTED_VALUE"""),"P1_013")</f>
        <v>P1_013</v>
      </c>
      <c r="I515" s="1" t="str">
        <f ca="1">IFERROR(__xludf.DUMMYFUNCTION("""COMPUTED_VALUE"""),"Simon")</f>
        <v>Simon</v>
      </c>
    </row>
    <row r="516" spans="1:9" ht="12.7" x14ac:dyDescent="0.4">
      <c r="A516" s="2">
        <f ca="1">IFERROR(__xludf.DUMMYFUNCTION("""COMPUTED_VALUE"""),45516.9125768981)</f>
        <v>45516.912576898103</v>
      </c>
      <c r="B516" s="1" t="str">
        <f ca="1">IFERROR(__xludf.DUMMYFUNCTION("""COMPUTED_VALUE"""),"返修")</f>
        <v>返修</v>
      </c>
      <c r="C516" s="1" t="str">
        <f ca="1">IFERROR(__xludf.DUMMYFUNCTION("""COMPUTED_VALUE"""),"AGT000000005")</f>
        <v>AGT000000005</v>
      </c>
      <c r="D516" s="1" t="str">
        <f ca="1">IFERROR(__xludf.DUMMYFUNCTION("""COMPUTED_VALUE"""),"All/共用")</f>
        <v>All/共用</v>
      </c>
      <c r="E516" s="1" t="str">
        <f ca="1">IFERROR(__xludf.DUMMYFUNCTION("""COMPUTED_VALUE"""),"p1/庫存")</f>
        <v>p1/庫存</v>
      </c>
      <c r="F516" s="1">
        <f ca="1">IFERROR(__xludf.DUMMYFUNCTION("""COMPUTED_VALUE"""),1)</f>
        <v>1</v>
      </c>
      <c r="G516" s="1"/>
      <c r="H516" s="1" t="str">
        <f ca="1">IFERROR(__xludf.DUMMYFUNCTION("""COMPUTED_VALUE"""),"P1_025")</f>
        <v>P1_025</v>
      </c>
      <c r="I516" s="1" t="str">
        <f ca="1">IFERROR(__xludf.DUMMYFUNCTION("""COMPUTED_VALUE"""),"Uri")</f>
        <v>Uri</v>
      </c>
    </row>
    <row r="517" spans="1:9" ht="12.7" x14ac:dyDescent="0.4">
      <c r="A517" s="2">
        <f ca="1">IFERROR(__xludf.DUMMYFUNCTION("""COMPUTED_VALUE"""),45517.3069561689)</f>
        <v>45517.306956168897</v>
      </c>
      <c r="B517" s="1" t="str">
        <f ca="1">IFERROR(__xludf.DUMMYFUNCTION("""COMPUTED_VALUE"""),"領料")</f>
        <v>領料</v>
      </c>
      <c r="C517" s="1" t="str">
        <f ca="1">IFERROR(__xludf.DUMMYFUNCTION("""COMPUTED_VALUE"""),"MM0260000077")</f>
        <v>MM0260000077</v>
      </c>
      <c r="D517" s="1" t="str">
        <f ca="1">IFERROR(__xludf.DUMMYFUNCTION("""COMPUTED_VALUE"""),"All/BA")</f>
        <v>All/BA</v>
      </c>
      <c r="E517" s="1" t="str">
        <f ca="1">IFERROR(__xludf.DUMMYFUNCTION("""COMPUTED_VALUE"""),"p1/庫存")</f>
        <v>p1/庫存</v>
      </c>
      <c r="F517" s="1">
        <f ca="1">IFERROR(__xludf.DUMMYFUNCTION("""COMPUTED_VALUE"""),2)</f>
        <v>2</v>
      </c>
      <c r="G517" s="1"/>
      <c r="H517" s="1" t="str">
        <f ca="1">IFERROR(__xludf.DUMMYFUNCTION("""COMPUTED_VALUE"""),"P1_02")</f>
        <v>P1_02</v>
      </c>
      <c r="I517" s="1" t="str">
        <f ca="1">IFERROR(__xludf.DUMMYFUNCTION("""COMPUTED_VALUE"""),"Simon")</f>
        <v>Simon</v>
      </c>
    </row>
    <row r="518" spans="1:9" ht="12.7" x14ac:dyDescent="0.4">
      <c r="A518" s="2">
        <f ca="1">IFERROR(__xludf.DUMMYFUNCTION("""COMPUTED_VALUE"""),45518.0691425347)</f>
        <v>45518.069142534703</v>
      </c>
      <c r="B518" s="1" t="str">
        <f ca="1">IFERROR(__xludf.DUMMYFUNCTION("""COMPUTED_VALUE"""),"送修")</f>
        <v>送修</v>
      </c>
      <c r="C518" s="1" t="str">
        <f ca="1">IFERROR(__xludf.DUMMYFUNCTION("""COMPUTED_VALUE"""),"ME0160000073")</f>
        <v>ME0160000073</v>
      </c>
      <c r="D518" s="1" t="str">
        <f ca="1">IFERROR(__xludf.DUMMYFUNCTION("""COMPUTED_VALUE"""),"All/BA")</f>
        <v>All/BA</v>
      </c>
      <c r="E518" s="1" t="str">
        <f ca="1">IFERROR(__xludf.DUMMYFUNCTION("""COMPUTED_VALUE"""),"p1/庫存")</f>
        <v>p1/庫存</v>
      </c>
      <c r="F518" s="1">
        <f ca="1">IFERROR(__xludf.DUMMYFUNCTION("""COMPUTED_VALUE"""),1)</f>
        <v>1</v>
      </c>
      <c r="G518" s="1" t="str">
        <f ca="1">IFERROR(__xludf.DUMMYFUNCTION("""COMPUTED_VALUE"""),"B2211410")</f>
        <v>B2211410</v>
      </c>
      <c r="H518" s="1" t="str">
        <f ca="1">IFERROR(__xludf.DUMMYFUNCTION("""COMPUTED_VALUE"""),"P2_044")</f>
        <v>P2_044</v>
      </c>
      <c r="I518" s="1" t="str">
        <f ca="1">IFERROR(__xludf.DUMMYFUNCTION("""COMPUTED_VALUE"""),"Simon")</f>
        <v>Simon</v>
      </c>
    </row>
    <row r="519" spans="1:9" ht="12.7" x14ac:dyDescent="0.4">
      <c r="A519" s="2">
        <f ca="1">IFERROR(__xludf.DUMMYFUNCTION("""COMPUTED_VALUE"""),45518.0708373495)</f>
        <v>45518.0708373495</v>
      </c>
      <c r="B519" s="1" t="str">
        <f ca="1">IFERROR(__xludf.DUMMYFUNCTION("""COMPUTED_VALUE"""),"料件上線時間")</f>
        <v>料件上線時間</v>
      </c>
      <c r="C519" s="1" t="str">
        <f ca="1">IFERROR(__xludf.DUMMYFUNCTION("""COMPUTED_VALUE"""),"ME0160000073")</f>
        <v>ME0160000073</v>
      </c>
      <c r="D519" s="1" t="str">
        <f ca="1">IFERROR(__xludf.DUMMYFUNCTION("""COMPUTED_VALUE"""),"All/BA")</f>
        <v>All/BA</v>
      </c>
      <c r="E519" s="1" t="str">
        <f ca="1">IFERROR(__xludf.DUMMYFUNCTION("""COMPUTED_VALUE"""),"p1/庫存")</f>
        <v>p1/庫存</v>
      </c>
      <c r="F519" s="1">
        <f ca="1">IFERROR(__xludf.DUMMYFUNCTION("""COMPUTED_VALUE"""),1)</f>
        <v>1</v>
      </c>
      <c r="G519" s="1" t="str">
        <f ca="1">IFERROR(__xludf.DUMMYFUNCTION("""COMPUTED_VALUE"""),"B2211395")</f>
        <v>B2211395</v>
      </c>
      <c r="H519" s="1" t="str">
        <f ca="1">IFERROR(__xludf.DUMMYFUNCTION("""COMPUTED_VALUE"""),"P2_044")</f>
        <v>P2_044</v>
      </c>
      <c r="I519" s="1" t="str">
        <f ca="1">IFERROR(__xludf.DUMMYFUNCTION("""COMPUTED_VALUE"""),"Simon")</f>
        <v>Simon</v>
      </c>
    </row>
    <row r="520" spans="1:9" ht="12.7" x14ac:dyDescent="0.4">
      <c r="A520" s="2">
        <f ca="1">IFERROR(__xludf.DUMMYFUNCTION("""COMPUTED_VALUE"""),45518.2971899189)</f>
        <v>45518.2971899189</v>
      </c>
      <c r="B520" s="1" t="str">
        <f ca="1">IFERROR(__xludf.DUMMYFUNCTION("""COMPUTED_VALUE"""),"領料")</f>
        <v>領料</v>
      </c>
      <c r="C520" s="1" t="str">
        <f ca="1">IFERROR(__xludf.DUMMYFUNCTION("""COMPUTED_VALUE"""),"MM0260000077")</f>
        <v>MM0260000077</v>
      </c>
      <c r="D520" s="1" t="str">
        <f ca="1">IFERROR(__xludf.DUMMYFUNCTION("""COMPUTED_VALUE"""),"All/BA")</f>
        <v>All/BA</v>
      </c>
      <c r="E520" s="1" t="str">
        <f ca="1">IFERROR(__xludf.DUMMYFUNCTION("""COMPUTED_VALUE"""),"p1/庫存")</f>
        <v>p1/庫存</v>
      </c>
      <c r="F520" s="1">
        <f ca="1">IFERROR(__xludf.DUMMYFUNCTION("""COMPUTED_VALUE"""),2)</f>
        <v>2</v>
      </c>
      <c r="G520" s="1"/>
      <c r="H520" s="1" t="str">
        <f ca="1">IFERROR(__xludf.DUMMYFUNCTION("""COMPUTED_VALUE"""),"P1_01")</f>
        <v>P1_01</v>
      </c>
      <c r="I520" s="1" t="str">
        <f ca="1">IFERROR(__xludf.DUMMYFUNCTION("""COMPUTED_VALUE"""),"Simon")</f>
        <v>Simon</v>
      </c>
    </row>
    <row r="521" spans="1:9" ht="12.7" x14ac:dyDescent="0.4">
      <c r="A521" s="2">
        <f ca="1">IFERROR(__xludf.DUMMYFUNCTION("""COMPUTED_VALUE"""),45518.6412133101)</f>
        <v>45518.641213310097</v>
      </c>
      <c r="B521" s="1" t="str">
        <f ca="1">IFERROR(__xludf.DUMMYFUNCTION("""COMPUTED_VALUE"""),"返修")</f>
        <v>返修</v>
      </c>
      <c r="C521" s="1" t="str">
        <f ca="1">IFERROR(__xludf.DUMMYFUNCTION("""COMPUTED_VALUE"""),"A00900000618")</f>
        <v>A00900000618</v>
      </c>
      <c r="D521" s="1" t="str">
        <f ca="1">IFERROR(__xludf.DUMMYFUNCTION("""COMPUTED_VALUE"""),"All/共用")</f>
        <v>All/共用</v>
      </c>
      <c r="E521" s="1" t="str">
        <f ca="1">IFERROR(__xludf.DUMMYFUNCTION("""COMPUTED_VALUE"""),"p2/庫存")</f>
        <v>p2/庫存</v>
      </c>
      <c r="F521" s="1">
        <f ca="1">IFERROR(__xludf.DUMMYFUNCTION("""COMPUTED_VALUE"""),1)</f>
        <v>1</v>
      </c>
      <c r="G521" s="1"/>
      <c r="H521" s="1" t="str">
        <f ca="1">IFERROR(__xludf.DUMMYFUNCTION("""COMPUTED_VALUE"""),"P2_036")</f>
        <v>P2_036</v>
      </c>
      <c r="I521" s="1" t="str">
        <f ca="1">IFERROR(__xludf.DUMMYFUNCTION("""COMPUTED_VALUE"""),"Chiao Yu")</f>
        <v>Chiao Yu</v>
      </c>
    </row>
    <row r="522" spans="1:9" ht="12.7" x14ac:dyDescent="0.4">
      <c r="A522" s="2">
        <f ca="1">IFERROR(__xludf.DUMMYFUNCTION("""COMPUTED_VALUE"""),45518.7265717245)</f>
        <v>45518.726571724503</v>
      </c>
      <c r="B522" s="1" t="str">
        <f ca="1">IFERROR(__xludf.DUMMYFUNCTION("""COMPUTED_VALUE"""),"庫存調整")</f>
        <v>庫存調整</v>
      </c>
      <c r="C522" s="1" t="str">
        <f ca="1">IFERROR(__xludf.DUMMYFUNCTION("""COMPUTED_VALUE"""),"MM0260000199")</f>
        <v>MM0260000199</v>
      </c>
      <c r="D522" s="1" t="str">
        <f ca="1">IFERROR(__xludf.DUMMYFUNCTION("""COMPUTED_VALUE"""),"All/RL")</f>
        <v>All/RL</v>
      </c>
      <c r="E522" s="1" t="str">
        <f ca="1">IFERROR(__xludf.DUMMYFUNCTION("""COMPUTED_VALUE"""),"p2/庫存")</f>
        <v>p2/庫存</v>
      </c>
      <c r="F522" s="1">
        <f ca="1">IFERROR(__xludf.DUMMYFUNCTION("""COMPUTED_VALUE"""),1)</f>
        <v>1</v>
      </c>
      <c r="G522" s="1"/>
      <c r="H522" s="1" t="str">
        <f ca="1">IFERROR(__xludf.DUMMYFUNCTION("""COMPUTED_VALUE"""),"P2")</f>
        <v>P2</v>
      </c>
      <c r="I522" s="1" t="str">
        <f ca="1">IFERROR(__xludf.DUMMYFUNCTION("""COMPUTED_VALUE"""),"Chiao Yu")</f>
        <v>Chiao Yu</v>
      </c>
    </row>
    <row r="523" spans="1:9" ht="12.7" x14ac:dyDescent="0.4">
      <c r="A523" s="2">
        <f ca="1">IFERROR(__xludf.DUMMYFUNCTION("""COMPUTED_VALUE"""),45518.7272395138)</f>
        <v>45518.727239513799</v>
      </c>
      <c r="B523" s="1" t="str">
        <f ca="1">IFERROR(__xludf.DUMMYFUNCTION("""COMPUTED_VALUE"""),"庫存調整")</f>
        <v>庫存調整</v>
      </c>
      <c r="C523" s="1" t="str">
        <f ca="1">IFERROR(__xludf.DUMMYFUNCTION("""COMPUTED_VALUE"""),"MM0260000200")</f>
        <v>MM0260000200</v>
      </c>
      <c r="D523" s="1" t="str">
        <f ca="1">IFERROR(__xludf.DUMMYFUNCTION("""COMPUTED_VALUE"""),"All/RL")</f>
        <v>All/RL</v>
      </c>
      <c r="E523" s="1" t="str">
        <f ca="1">IFERROR(__xludf.DUMMYFUNCTION("""COMPUTED_VALUE"""),"p2/庫存")</f>
        <v>p2/庫存</v>
      </c>
      <c r="F523" s="1">
        <f ca="1">IFERROR(__xludf.DUMMYFUNCTION("""COMPUTED_VALUE"""),1)</f>
        <v>1</v>
      </c>
      <c r="G523" s="1"/>
      <c r="H523" s="1" t="str">
        <f ca="1">IFERROR(__xludf.DUMMYFUNCTION("""COMPUTED_VALUE"""),"P2")</f>
        <v>P2</v>
      </c>
      <c r="I523" s="1" t="str">
        <f ca="1">IFERROR(__xludf.DUMMYFUNCTION("""COMPUTED_VALUE"""),"Chiao Yu")</f>
        <v>Chiao Yu</v>
      </c>
    </row>
    <row r="524" spans="1:9" ht="12.7" x14ac:dyDescent="0.4">
      <c r="A524" s="2">
        <f ca="1">IFERROR(__xludf.DUMMYFUNCTION("""COMPUTED_VALUE"""),45523.2404068518)</f>
        <v>45523.240406851801</v>
      </c>
      <c r="B524" s="1" t="str">
        <f ca="1">IFERROR(__xludf.DUMMYFUNCTION("""COMPUTED_VALUE"""),"領料")</f>
        <v>領料</v>
      </c>
      <c r="C524" s="1" t="str">
        <f ca="1">IFERROR(__xludf.DUMMYFUNCTION("""COMPUTED_VALUE"""),"MM0260000249")</f>
        <v>MM0260000249</v>
      </c>
      <c r="D524" s="1" t="str">
        <f ca="1">IFERROR(__xludf.DUMMYFUNCTION("""COMPUTED_VALUE"""),"All/RL")</f>
        <v>All/RL</v>
      </c>
      <c r="E524" s="1" t="str">
        <f ca="1">IFERROR(__xludf.DUMMYFUNCTION("""COMPUTED_VALUE"""),"p2/庫存")</f>
        <v>p2/庫存</v>
      </c>
      <c r="F524" s="1">
        <f ca="1">IFERROR(__xludf.DUMMYFUNCTION("""COMPUTED_VALUE"""),1)</f>
        <v>1</v>
      </c>
      <c r="G524" s="1"/>
      <c r="H524" s="1" t="str">
        <f ca="1">IFERROR(__xludf.DUMMYFUNCTION("""COMPUTED_VALUE"""),"P2_1002")</f>
        <v>P2_1002</v>
      </c>
      <c r="I524" s="1" t="str">
        <f ca="1">IFERROR(__xludf.DUMMYFUNCTION("""COMPUTED_VALUE"""),"Simon")</f>
        <v>Simon</v>
      </c>
    </row>
    <row r="525" spans="1:9" ht="12.7" x14ac:dyDescent="0.4">
      <c r="A525" s="2">
        <f ca="1">IFERROR(__xludf.DUMMYFUNCTION("""COMPUTED_VALUE"""),45524.9026756944)</f>
        <v>45524.9026756944</v>
      </c>
      <c r="B525" s="1" t="str">
        <f ca="1">IFERROR(__xludf.DUMMYFUNCTION("""COMPUTED_VALUE"""),"進貨")</f>
        <v>進貨</v>
      </c>
      <c r="C525" s="1" t="str">
        <f ca="1">IFERROR(__xludf.DUMMYFUNCTION("""COMPUTED_VALUE"""),"AGT000000009")</f>
        <v>AGT000000009</v>
      </c>
      <c r="D525" s="1" t="str">
        <f ca="1">IFERROR(__xludf.DUMMYFUNCTION("""COMPUTED_VALUE"""),"All/共用")</f>
        <v>All/共用</v>
      </c>
      <c r="E525" s="1" t="str">
        <f ca="1">IFERROR(__xludf.DUMMYFUNCTION("""COMPUTED_VALUE"""),"p1/庫存")</f>
        <v>p1/庫存</v>
      </c>
      <c r="F525" s="1">
        <f ca="1">IFERROR(__xludf.DUMMYFUNCTION("""COMPUTED_VALUE"""),200)</f>
        <v>200</v>
      </c>
      <c r="G525" s="1"/>
      <c r="H525" s="1" t="str">
        <f ca="1">IFERROR(__xludf.DUMMYFUNCTION("""COMPUTED_VALUE"""),"P1")</f>
        <v>P1</v>
      </c>
      <c r="I525" s="1" t="str">
        <f ca="1">IFERROR(__xludf.DUMMYFUNCTION("""COMPUTED_VALUE"""),"Simon")</f>
        <v>Simon</v>
      </c>
    </row>
    <row r="526" spans="1:9" ht="12.7" x14ac:dyDescent="0.4">
      <c r="A526" s="2">
        <f ca="1">IFERROR(__xludf.DUMMYFUNCTION("""COMPUTED_VALUE"""),45525.2705848842)</f>
        <v>45525.270584884202</v>
      </c>
      <c r="B526" s="1" t="str">
        <f ca="1">IFERROR(__xludf.DUMMYFUNCTION("""COMPUTED_VALUE"""),"送修")</f>
        <v>送修</v>
      </c>
      <c r="C526" s="1" t="str">
        <f ca="1">IFERROR(__xludf.DUMMYFUNCTION("""COMPUTED_VALUE"""),"ME0070000140")</f>
        <v>ME0070000140</v>
      </c>
      <c r="D526" s="1" t="str">
        <f ca="1">IFERROR(__xludf.DUMMYFUNCTION("""COMPUTED_VALUE"""),"All/BA")</f>
        <v>All/BA</v>
      </c>
      <c r="E526" s="1" t="str">
        <f ca="1">IFERROR(__xludf.DUMMYFUNCTION("""COMPUTED_VALUE"""),"p2/庫存")</f>
        <v>p2/庫存</v>
      </c>
      <c r="F526" s="1">
        <f ca="1">IFERROR(__xludf.DUMMYFUNCTION("""COMPUTED_VALUE"""),1)</f>
        <v>1</v>
      </c>
      <c r="G526" s="1" t="str">
        <f ca="1">IFERROR(__xludf.DUMMYFUNCTION("""COMPUTED_VALUE"""),"100A-2522C0134-2208")</f>
        <v>100A-2522C0134-2208</v>
      </c>
      <c r="H526" s="1" t="str">
        <f ca="1">IFERROR(__xludf.DUMMYFUNCTION("""COMPUTED_VALUE"""),"P2_039")</f>
        <v>P2_039</v>
      </c>
      <c r="I526" s="1" t="str">
        <f ca="1">IFERROR(__xludf.DUMMYFUNCTION("""COMPUTED_VALUE"""),"Barry")</f>
        <v>Barry</v>
      </c>
    </row>
    <row r="527" spans="1:9" ht="12.7" x14ac:dyDescent="0.4">
      <c r="A527" s="2">
        <f ca="1">IFERROR(__xludf.DUMMYFUNCTION("""COMPUTED_VALUE"""),45525.2733075463)</f>
        <v>45525.273307546297</v>
      </c>
      <c r="B527" s="1" t="str">
        <f ca="1">IFERROR(__xludf.DUMMYFUNCTION("""COMPUTED_VALUE"""),"料件上線時間")</f>
        <v>料件上線時間</v>
      </c>
      <c r="C527" s="1" t="str">
        <f ca="1">IFERROR(__xludf.DUMMYFUNCTION("""COMPUTED_VALUE"""),"ME0070000140")</f>
        <v>ME0070000140</v>
      </c>
      <c r="D527" s="1" t="str">
        <f ca="1">IFERROR(__xludf.DUMMYFUNCTION("""COMPUTED_VALUE"""),"All/BA")</f>
        <v>All/BA</v>
      </c>
      <c r="E527" s="1" t="str">
        <f ca="1">IFERROR(__xludf.DUMMYFUNCTION("""COMPUTED_VALUE"""),"p2/庫存")</f>
        <v>p2/庫存</v>
      </c>
      <c r="F527" s="1">
        <f ca="1">IFERROR(__xludf.DUMMYFUNCTION("""COMPUTED_VALUE"""),1)</f>
        <v>1</v>
      </c>
      <c r="G527" s="1" t="str">
        <f ca="1">IFERROR(__xludf.DUMMYFUNCTION("""COMPUTED_VALUE"""),"100A-2523D0020-2307")</f>
        <v>100A-2523D0020-2307</v>
      </c>
      <c r="H527" s="1" t="str">
        <f ca="1">IFERROR(__xludf.DUMMYFUNCTION("""COMPUTED_VALUE"""),"P2_039")</f>
        <v>P2_039</v>
      </c>
      <c r="I527" s="1" t="str">
        <f ca="1">IFERROR(__xludf.DUMMYFUNCTION("""COMPUTED_VALUE"""),"Barry")</f>
        <v>Barry</v>
      </c>
    </row>
    <row r="528" spans="1:9" ht="12.7" x14ac:dyDescent="0.4">
      <c r="A528" s="2">
        <f ca="1">IFERROR(__xludf.DUMMYFUNCTION("""COMPUTED_VALUE"""),45525.4630105787)</f>
        <v>45525.4630105787</v>
      </c>
      <c r="B528" s="1" t="str">
        <f ca="1">IFERROR(__xludf.DUMMYFUNCTION("""COMPUTED_VALUE"""),"送修")</f>
        <v>送修</v>
      </c>
      <c r="C528" s="1" t="str">
        <f ca="1">IFERROR(__xludf.DUMMYFUNCTION("""COMPUTED_VALUE"""),"ME0160000073")</f>
        <v>ME0160000073</v>
      </c>
      <c r="D528" s="1" t="str">
        <f ca="1">IFERROR(__xludf.DUMMYFUNCTION("""COMPUTED_VALUE"""),"All/BA")</f>
        <v>All/BA</v>
      </c>
      <c r="E528" s="1" t="str">
        <f ca="1">IFERROR(__xludf.DUMMYFUNCTION("""COMPUTED_VALUE"""),"p1/庫存")</f>
        <v>p1/庫存</v>
      </c>
      <c r="F528" s="1">
        <f ca="1">IFERROR(__xludf.DUMMYFUNCTION("""COMPUTED_VALUE"""),1)</f>
        <v>1</v>
      </c>
      <c r="G528" s="1" t="str">
        <f ca="1">IFERROR(__xludf.DUMMYFUNCTION("""COMPUTED_VALUE"""),"B2002353")</f>
        <v>B2002353</v>
      </c>
      <c r="H528" s="1" t="str">
        <f ca="1">IFERROR(__xludf.DUMMYFUNCTION("""COMPUTED_VALUE"""),"P1_025")</f>
        <v>P1_025</v>
      </c>
      <c r="I528" s="1" t="str">
        <f ca="1">IFERROR(__xludf.DUMMYFUNCTION("""COMPUTED_VALUE"""),"Chiao Yu")</f>
        <v>Chiao Yu</v>
      </c>
    </row>
    <row r="529" spans="1:9" ht="12.7" x14ac:dyDescent="0.4">
      <c r="A529" s="2">
        <f ca="1">IFERROR(__xludf.DUMMYFUNCTION("""COMPUTED_VALUE"""),45525.4638803587)</f>
        <v>45525.4638803587</v>
      </c>
      <c r="B529" s="1" t="str">
        <f ca="1">IFERROR(__xludf.DUMMYFUNCTION("""COMPUTED_VALUE"""),"料件上線時間")</f>
        <v>料件上線時間</v>
      </c>
      <c r="C529" s="1" t="str">
        <f ca="1">IFERROR(__xludf.DUMMYFUNCTION("""COMPUTED_VALUE"""),"ME0160000073")</f>
        <v>ME0160000073</v>
      </c>
      <c r="D529" s="1" t="str">
        <f ca="1">IFERROR(__xludf.DUMMYFUNCTION("""COMPUTED_VALUE"""),"All/BA")</f>
        <v>All/BA</v>
      </c>
      <c r="E529" s="1" t="str">
        <f ca="1">IFERROR(__xludf.DUMMYFUNCTION("""COMPUTED_VALUE"""),"p1/庫存")</f>
        <v>p1/庫存</v>
      </c>
      <c r="F529" s="1">
        <f ca="1">IFERROR(__xludf.DUMMYFUNCTION("""COMPUTED_VALUE"""),1)</f>
        <v>1</v>
      </c>
      <c r="G529" s="1" t="str">
        <f ca="1">IFERROR(__xludf.DUMMYFUNCTION("""COMPUTED_VALUE"""),"B2206372")</f>
        <v>B2206372</v>
      </c>
      <c r="H529" s="1" t="str">
        <f ca="1">IFERROR(__xludf.DUMMYFUNCTION("""COMPUTED_VALUE"""),"P1_025")</f>
        <v>P1_025</v>
      </c>
      <c r="I529" s="1" t="str">
        <f ca="1">IFERROR(__xludf.DUMMYFUNCTION("""COMPUTED_VALUE"""),"Chiao Yu")</f>
        <v>Chiao Yu</v>
      </c>
    </row>
    <row r="530" spans="1:9" ht="12.7" x14ac:dyDescent="0.4">
      <c r="A530" s="2">
        <f ca="1">IFERROR(__xludf.DUMMYFUNCTION("""COMPUTED_VALUE"""),45525.4656677777)</f>
        <v>45525.465667777702</v>
      </c>
      <c r="B530" s="1" t="str">
        <f ca="1">IFERROR(__xludf.DUMMYFUNCTION("""COMPUTED_VALUE"""),"領料")</f>
        <v>領料</v>
      </c>
      <c r="C530" s="1" t="str">
        <f ca="1">IFERROR(__xludf.DUMMYFUNCTION("""COMPUTED_VALUE"""),"MM0260000077")</f>
        <v>MM0260000077</v>
      </c>
      <c r="D530" s="1" t="str">
        <f ca="1">IFERROR(__xludf.DUMMYFUNCTION("""COMPUTED_VALUE"""),"All/BA")</f>
        <v>All/BA</v>
      </c>
      <c r="E530" s="1" t="str">
        <f ca="1">IFERROR(__xludf.DUMMYFUNCTION("""COMPUTED_VALUE"""),"p1/庫存")</f>
        <v>p1/庫存</v>
      </c>
      <c r="F530" s="1">
        <f ca="1">IFERROR(__xludf.DUMMYFUNCTION("""COMPUTED_VALUE"""),16)</f>
        <v>16</v>
      </c>
      <c r="G530" s="1"/>
      <c r="H530" s="1" t="str">
        <f ca="1">IFERROR(__xludf.DUMMYFUNCTION("""COMPUTED_VALUE"""),"P1")</f>
        <v>P1</v>
      </c>
      <c r="I530" s="1" t="str">
        <f ca="1">IFERROR(__xludf.DUMMYFUNCTION("""COMPUTED_VALUE"""),"Chiao Yu")</f>
        <v>Chiao Yu</v>
      </c>
    </row>
    <row r="531" spans="1:9" ht="12.7" x14ac:dyDescent="0.4">
      <c r="A531" s="2">
        <f ca="1">IFERROR(__xludf.DUMMYFUNCTION("""COMPUTED_VALUE"""),45525.4677113888)</f>
        <v>45525.467711388803</v>
      </c>
      <c r="B531" s="1" t="str">
        <f ca="1">IFERROR(__xludf.DUMMYFUNCTION("""COMPUTED_VALUE"""),"返修")</f>
        <v>返修</v>
      </c>
      <c r="C531" s="1" t="str">
        <f ca="1">IFERROR(__xludf.DUMMYFUNCTION("""COMPUTED_VALUE"""),"ME0160000073")</f>
        <v>ME0160000073</v>
      </c>
      <c r="D531" s="1" t="str">
        <f ca="1">IFERROR(__xludf.DUMMYFUNCTION("""COMPUTED_VALUE"""),"All/BA")</f>
        <v>All/BA</v>
      </c>
      <c r="E531" s="1" t="str">
        <f ca="1">IFERROR(__xludf.DUMMYFUNCTION("""COMPUTED_VALUE"""),"p2/庫存")</f>
        <v>p2/庫存</v>
      </c>
      <c r="F531" s="1">
        <f ca="1">IFERROR(__xludf.DUMMYFUNCTION("""COMPUTED_VALUE"""),1)</f>
        <v>1</v>
      </c>
      <c r="G531" s="1" t="str">
        <f ca="1">IFERROR(__xludf.DUMMYFUNCTION("""COMPUTED_VALUE"""),"B1409079")</f>
        <v>B1409079</v>
      </c>
      <c r="H531" s="1" t="str">
        <f ca="1">IFERROR(__xludf.DUMMYFUNCTION("""COMPUTED_VALUE"""),"P2_041")</f>
        <v>P2_041</v>
      </c>
      <c r="I531" s="1" t="str">
        <f ca="1">IFERROR(__xludf.DUMMYFUNCTION("""COMPUTED_VALUE"""),"Chiao Yu")</f>
        <v>Chiao Yu</v>
      </c>
    </row>
    <row r="532" spans="1:9" ht="12.7" x14ac:dyDescent="0.4">
      <c r="A532" s="2">
        <f ca="1">IFERROR(__xludf.DUMMYFUNCTION("""COMPUTED_VALUE"""),45525.468639074)</f>
        <v>45525.468639074003</v>
      </c>
      <c r="B532" s="1" t="str">
        <f ca="1">IFERROR(__xludf.DUMMYFUNCTION("""COMPUTED_VALUE"""),"返修")</f>
        <v>返修</v>
      </c>
      <c r="C532" s="1" t="str">
        <f ca="1">IFERROR(__xludf.DUMMYFUNCTION("""COMPUTED_VALUE"""),"ME0160000073")</f>
        <v>ME0160000073</v>
      </c>
      <c r="D532" s="1" t="str">
        <f ca="1">IFERROR(__xludf.DUMMYFUNCTION("""COMPUTED_VALUE"""),"All/BA")</f>
        <v>All/BA</v>
      </c>
      <c r="E532" s="1" t="str">
        <f ca="1">IFERROR(__xludf.DUMMYFUNCTION("""COMPUTED_VALUE"""),"p1/庫存")</f>
        <v>p1/庫存</v>
      </c>
      <c r="F532" s="1">
        <f ca="1">IFERROR(__xludf.DUMMYFUNCTION("""COMPUTED_VALUE"""),1)</f>
        <v>1</v>
      </c>
      <c r="G532" s="1" t="str">
        <f ca="1">IFERROR(__xludf.DUMMYFUNCTION("""COMPUTED_VALUE"""),"B1408044")</f>
        <v>B1408044</v>
      </c>
      <c r="H532" s="1" t="str">
        <f ca="1">IFERROR(__xludf.DUMMYFUNCTION("""COMPUTED_VALUE"""),"P1_009")</f>
        <v>P1_009</v>
      </c>
      <c r="I532" s="1" t="str">
        <f ca="1">IFERROR(__xludf.DUMMYFUNCTION("""COMPUTED_VALUE"""),"Chiao Yu")</f>
        <v>Chiao Yu</v>
      </c>
    </row>
    <row r="533" spans="1:9" ht="12.7" x14ac:dyDescent="0.4">
      <c r="A533" s="2">
        <f ca="1">IFERROR(__xludf.DUMMYFUNCTION("""COMPUTED_VALUE"""),45525.4693428703)</f>
        <v>45525.469342870303</v>
      </c>
      <c r="B533" s="1" t="str">
        <f ca="1">IFERROR(__xludf.DUMMYFUNCTION("""COMPUTED_VALUE"""),"返修")</f>
        <v>返修</v>
      </c>
      <c r="C533" s="1" t="str">
        <f ca="1">IFERROR(__xludf.DUMMYFUNCTION("""COMPUTED_VALUE"""),"ME0160000073")</f>
        <v>ME0160000073</v>
      </c>
      <c r="D533" s="1" t="str">
        <f ca="1">IFERROR(__xludf.DUMMYFUNCTION("""COMPUTED_VALUE"""),"All/BA")</f>
        <v>All/BA</v>
      </c>
      <c r="E533" s="1" t="str">
        <f ca="1">IFERROR(__xludf.DUMMYFUNCTION("""COMPUTED_VALUE"""),"p1/庫存")</f>
        <v>p1/庫存</v>
      </c>
      <c r="F533" s="1">
        <f ca="1">IFERROR(__xludf.DUMMYFUNCTION("""COMPUTED_VALUE"""),1)</f>
        <v>1</v>
      </c>
      <c r="G533" s="1" t="str">
        <f ca="1">IFERROR(__xludf.DUMMYFUNCTION("""COMPUTED_VALUE"""),"B1406006")</f>
        <v>B1406006</v>
      </c>
      <c r="H533" s="1" t="str">
        <f ca="1">IFERROR(__xludf.DUMMYFUNCTION("""COMPUTED_VALUE"""),"P1_016")</f>
        <v>P1_016</v>
      </c>
      <c r="I533" s="1" t="str">
        <f ca="1">IFERROR(__xludf.DUMMYFUNCTION("""COMPUTED_VALUE"""),"Chiao Yu")</f>
        <v>Chiao Yu</v>
      </c>
    </row>
    <row r="534" spans="1:9" ht="12.7" x14ac:dyDescent="0.4">
      <c r="A534" s="2">
        <f ca="1">IFERROR(__xludf.DUMMYFUNCTION("""COMPUTED_VALUE"""),45525.4712008101)</f>
        <v>45525.471200810098</v>
      </c>
      <c r="B534" s="1" t="str">
        <f ca="1">IFERROR(__xludf.DUMMYFUNCTION("""COMPUTED_VALUE"""),"返修")</f>
        <v>返修</v>
      </c>
      <c r="C534" s="1" t="str">
        <f ca="1">IFERROR(__xludf.DUMMYFUNCTION("""COMPUTED_VALUE"""),"A00100000708")</f>
        <v>A00100000708</v>
      </c>
      <c r="D534" s="1" t="str">
        <f ca="1">IFERROR(__xludf.DUMMYFUNCTION("""COMPUTED_VALUE"""),"All/BA")</f>
        <v>All/BA</v>
      </c>
      <c r="E534" s="1" t="str">
        <f ca="1">IFERROR(__xludf.DUMMYFUNCTION("""COMPUTED_VALUE"""),"p2/庫存")</f>
        <v>p2/庫存</v>
      </c>
      <c r="F534" s="1">
        <f ca="1">IFERROR(__xludf.DUMMYFUNCTION("""COMPUTED_VALUE"""),1)</f>
        <v>1</v>
      </c>
      <c r="G534" s="1"/>
      <c r="H534" s="1" t="str">
        <f ca="1">IFERROR(__xludf.DUMMYFUNCTION("""COMPUTED_VALUE"""),"P2_042")</f>
        <v>P2_042</v>
      </c>
      <c r="I534" s="1" t="str">
        <f ca="1">IFERROR(__xludf.DUMMYFUNCTION("""COMPUTED_VALUE"""),"Chiao Yu")</f>
        <v>Chiao Yu</v>
      </c>
    </row>
    <row r="535" spans="1:9" ht="12.7" x14ac:dyDescent="0.4">
      <c r="A535" s="2">
        <f ca="1">IFERROR(__xludf.DUMMYFUNCTION("""COMPUTED_VALUE"""),45525.4727545023)</f>
        <v>45525.472754502298</v>
      </c>
      <c r="B535" s="1" t="str">
        <f ca="1">IFERROR(__xludf.DUMMYFUNCTION("""COMPUTED_VALUE"""),"庫存調整")</f>
        <v>庫存調整</v>
      </c>
      <c r="C535" s="1" t="str">
        <f ca="1">IFERROR(__xludf.DUMMYFUNCTION("""COMPUTED_VALUE"""),"A00100000708")</f>
        <v>A00100000708</v>
      </c>
      <c r="D535" s="1" t="str">
        <f ca="1">IFERROR(__xludf.DUMMYFUNCTION("""COMPUTED_VALUE"""),"All/BA")</f>
        <v>All/BA</v>
      </c>
      <c r="E535" s="1" t="str">
        <f ca="1">IFERROR(__xludf.DUMMYFUNCTION("""COMPUTED_VALUE"""),"p2/庫存")</f>
        <v>p2/庫存</v>
      </c>
      <c r="F535" s="1">
        <f ca="1">IFERROR(__xludf.DUMMYFUNCTION("""COMPUTED_VALUE"""),-1)</f>
        <v>-1</v>
      </c>
      <c r="G535" s="1"/>
      <c r="H535" s="1" t="str">
        <f ca="1">IFERROR(__xludf.DUMMYFUNCTION("""COMPUTED_VALUE"""),"P2")</f>
        <v>P2</v>
      </c>
      <c r="I535" s="1" t="str">
        <f ca="1">IFERROR(__xludf.DUMMYFUNCTION("""COMPUTED_VALUE"""),"Chiao Yu")</f>
        <v>Chiao Yu</v>
      </c>
    </row>
    <row r="536" spans="1:9" ht="12.7" x14ac:dyDescent="0.4">
      <c r="A536" s="2">
        <f ca="1">IFERROR(__xludf.DUMMYFUNCTION("""COMPUTED_VALUE"""),45525.4738460648)</f>
        <v>45525.4738460648</v>
      </c>
      <c r="B536" s="1" t="str">
        <f ca="1">IFERROR(__xludf.DUMMYFUNCTION("""COMPUTED_VALUE"""),"庫存調整")</f>
        <v>庫存調整</v>
      </c>
      <c r="C536" s="1" t="str">
        <f ca="1">IFERROR(__xludf.DUMMYFUNCTION("""COMPUTED_VALUE"""),"A00100000708")</f>
        <v>A00100000708</v>
      </c>
      <c r="D536" s="1" t="str">
        <f ca="1">IFERROR(__xludf.DUMMYFUNCTION("""COMPUTED_VALUE"""),"All/BA")</f>
        <v>All/BA</v>
      </c>
      <c r="E536" s="1" t="str">
        <f ca="1">IFERROR(__xludf.DUMMYFUNCTION("""COMPUTED_VALUE"""),"p1/庫存")</f>
        <v>p1/庫存</v>
      </c>
      <c r="F536" s="1">
        <f ca="1">IFERROR(__xludf.DUMMYFUNCTION("""COMPUTED_VALUE"""),3)</f>
        <v>3</v>
      </c>
      <c r="G536" s="1"/>
      <c r="H536" s="1" t="str">
        <f ca="1">IFERROR(__xludf.DUMMYFUNCTION("""COMPUTED_VALUE"""),"P1")</f>
        <v>P1</v>
      </c>
      <c r="I536" s="1" t="str">
        <f ca="1">IFERROR(__xludf.DUMMYFUNCTION("""COMPUTED_VALUE"""),"Chiao Yu")</f>
        <v>Chiao Yu</v>
      </c>
    </row>
    <row r="537" spans="1:9" ht="12.7" x14ac:dyDescent="0.4">
      <c r="A537" s="2">
        <f ca="1">IFERROR(__xludf.DUMMYFUNCTION("""COMPUTED_VALUE"""),45525.4775728124)</f>
        <v>45525.4775728124</v>
      </c>
      <c r="B537" s="1" t="str">
        <f ca="1">IFERROR(__xludf.DUMMYFUNCTION("""COMPUTED_VALUE"""),"庫存調整")</f>
        <v>庫存調整</v>
      </c>
      <c r="C537" s="1" t="str">
        <f ca="1">IFERROR(__xludf.DUMMYFUNCTION("""COMPUTED_VALUE"""),"ME0160000073")</f>
        <v>ME0160000073</v>
      </c>
      <c r="D537" s="1" t="str">
        <f ca="1">IFERROR(__xludf.DUMMYFUNCTION("""COMPUTED_VALUE"""),"All/BA")</f>
        <v>All/BA</v>
      </c>
      <c r="E537" s="1" t="str">
        <f ca="1">IFERROR(__xludf.DUMMYFUNCTION("""COMPUTED_VALUE"""),"p1/庫存")</f>
        <v>p1/庫存</v>
      </c>
      <c r="F537" s="1">
        <f ca="1">IFERROR(__xludf.DUMMYFUNCTION("""COMPUTED_VALUE"""),-1)</f>
        <v>-1</v>
      </c>
      <c r="G537" s="1"/>
      <c r="H537" s="1" t="str">
        <f ca="1">IFERROR(__xludf.DUMMYFUNCTION("""COMPUTED_VALUE"""),"P1")</f>
        <v>P1</v>
      </c>
      <c r="I537" s="1" t="str">
        <f ca="1">IFERROR(__xludf.DUMMYFUNCTION("""COMPUTED_VALUE"""),"Chiao Yu")</f>
        <v>Chiao Yu</v>
      </c>
    </row>
    <row r="538" spans="1:9" ht="12.7" x14ac:dyDescent="0.4">
      <c r="A538" s="2">
        <f ca="1">IFERROR(__xludf.DUMMYFUNCTION("""COMPUTED_VALUE"""),45525.4781599189)</f>
        <v>45525.478159918901</v>
      </c>
      <c r="B538" s="1" t="str">
        <f ca="1">IFERROR(__xludf.DUMMYFUNCTION("""COMPUTED_VALUE"""),"庫存調整")</f>
        <v>庫存調整</v>
      </c>
      <c r="C538" s="1" t="str">
        <f ca="1">IFERROR(__xludf.DUMMYFUNCTION("""COMPUTED_VALUE"""),"ME0160000073")</f>
        <v>ME0160000073</v>
      </c>
      <c r="D538" s="1" t="str">
        <f ca="1">IFERROR(__xludf.DUMMYFUNCTION("""COMPUTED_VALUE"""),"All/BA")</f>
        <v>All/BA</v>
      </c>
      <c r="E538" s="1" t="str">
        <f ca="1">IFERROR(__xludf.DUMMYFUNCTION("""COMPUTED_VALUE"""),"p2/庫存")</f>
        <v>p2/庫存</v>
      </c>
      <c r="F538" s="1">
        <f ca="1">IFERROR(__xludf.DUMMYFUNCTION("""COMPUTED_VALUE"""),-1)</f>
        <v>-1</v>
      </c>
      <c r="G538" s="1"/>
      <c r="H538" s="1" t="str">
        <f ca="1">IFERROR(__xludf.DUMMYFUNCTION("""COMPUTED_VALUE"""),"P2")</f>
        <v>P2</v>
      </c>
      <c r="I538" s="1" t="str">
        <f ca="1">IFERROR(__xludf.DUMMYFUNCTION("""COMPUTED_VALUE"""),"Chiao Yu")</f>
        <v>Chiao Yu</v>
      </c>
    </row>
    <row r="539" spans="1:9" ht="12.7" x14ac:dyDescent="0.4">
      <c r="A539" s="2">
        <f ca="1">IFERROR(__xludf.DUMMYFUNCTION("""COMPUTED_VALUE"""),45525.4785874305)</f>
        <v>45525.478587430502</v>
      </c>
      <c r="B539" s="1" t="str">
        <f ca="1">IFERROR(__xludf.DUMMYFUNCTION("""COMPUTED_VALUE"""),"庫存調整")</f>
        <v>庫存調整</v>
      </c>
      <c r="C539" s="1" t="str">
        <f ca="1">IFERROR(__xludf.DUMMYFUNCTION("""COMPUTED_VALUE"""),"ME0160000073")</f>
        <v>ME0160000073</v>
      </c>
      <c r="D539" s="1" t="str">
        <f ca="1">IFERROR(__xludf.DUMMYFUNCTION("""COMPUTED_VALUE"""),"All/BA")</f>
        <v>All/BA</v>
      </c>
      <c r="E539" s="1" t="str">
        <f ca="1">IFERROR(__xludf.DUMMYFUNCTION("""COMPUTED_VALUE"""),"p1/庫存")</f>
        <v>p1/庫存</v>
      </c>
      <c r="F539" s="1">
        <f ca="1">IFERROR(__xludf.DUMMYFUNCTION("""COMPUTED_VALUE"""),1)</f>
        <v>1</v>
      </c>
      <c r="G539" s="1"/>
      <c r="H539" s="1" t="str">
        <f ca="1">IFERROR(__xludf.DUMMYFUNCTION("""COMPUTED_VALUE"""),"P1")</f>
        <v>P1</v>
      </c>
      <c r="I539" s="1" t="str">
        <f ca="1">IFERROR(__xludf.DUMMYFUNCTION("""COMPUTED_VALUE"""),"Chiao Yu")</f>
        <v>Chiao Yu</v>
      </c>
    </row>
    <row r="540" spans="1:9" ht="12.7" x14ac:dyDescent="0.4">
      <c r="A540" s="2">
        <f ca="1">IFERROR(__xludf.DUMMYFUNCTION("""COMPUTED_VALUE"""),45525.6649728935)</f>
        <v>45525.664972893501</v>
      </c>
      <c r="B540" s="1" t="str">
        <f ca="1">IFERROR(__xludf.DUMMYFUNCTION("""COMPUTED_VALUE"""),"料件上線時間")</f>
        <v>料件上線時間</v>
      </c>
      <c r="C540" s="1" t="str">
        <f ca="1">IFERROR(__xludf.DUMMYFUNCTION("""COMPUTED_VALUE"""),"ME0160000073")</f>
        <v>ME0160000073</v>
      </c>
      <c r="D540" s="1" t="str">
        <f ca="1">IFERROR(__xludf.DUMMYFUNCTION("""COMPUTED_VALUE"""),"All/BA")</f>
        <v>All/BA</v>
      </c>
      <c r="E540" s="1" t="str">
        <f ca="1">IFERROR(__xludf.DUMMYFUNCTION("""COMPUTED_VALUE"""),"p1/庫存")</f>
        <v>p1/庫存</v>
      </c>
      <c r="F540" s="1">
        <f ca="1">IFERROR(__xludf.DUMMYFUNCTION("""COMPUTED_VALUE"""),1)</f>
        <v>1</v>
      </c>
      <c r="G540" s="1" t="str">
        <f ca="1">IFERROR(__xludf.DUMMYFUNCTION("""COMPUTED_VALUE"""),"B1406006")</f>
        <v>B1406006</v>
      </c>
      <c r="H540" s="1" t="str">
        <f ca="1">IFERROR(__xludf.DUMMYFUNCTION("""COMPUTED_VALUE"""),"P1_004")</f>
        <v>P1_004</v>
      </c>
      <c r="I540" s="1" t="str">
        <f ca="1">IFERROR(__xludf.DUMMYFUNCTION("""COMPUTED_VALUE"""),"Chiao Yu")</f>
        <v>Chiao Yu</v>
      </c>
    </row>
    <row r="541" spans="1:9" ht="12.7" x14ac:dyDescent="0.4">
      <c r="A541" s="2">
        <f ca="1">IFERROR(__xludf.DUMMYFUNCTION("""COMPUTED_VALUE"""),45526.6150210648)</f>
        <v>45526.615021064797</v>
      </c>
      <c r="B541" s="1" t="str">
        <f ca="1">IFERROR(__xludf.DUMMYFUNCTION("""COMPUTED_VALUE"""),"進貨")</f>
        <v>進貨</v>
      </c>
      <c r="C541" s="1" t="str">
        <f ca="1">IFERROR(__xludf.DUMMYFUNCTION("""COMPUTED_VALUE"""),"ME0020000425")</f>
        <v>ME0020000425</v>
      </c>
      <c r="D541" s="1" t="str">
        <f ca="1">IFERROR(__xludf.DUMMYFUNCTION("""COMPUTED_VALUE"""),"All/共用")</f>
        <v>All/共用</v>
      </c>
      <c r="E541" s="1" t="str">
        <f ca="1">IFERROR(__xludf.DUMMYFUNCTION("""COMPUTED_VALUE"""),"p1/庫存")</f>
        <v>p1/庫存</v>
      </c>
      <c r="F541" s="1">
        <f ca="1">IFERROR(__xludf.DUMMYFUNCTION("""COMPUTED_VALUE"""),5)</f>
        <v>5</v>
      </c>
      <c r="G541" s="1"/>
      <c r="H541" s="1" t="str">
        <f ca="1">IFERROR(__xludf.DUMMYFUNCTION("""COMPUTED_VALUE"""),"P1")</f>
        <v>P1</v>
      </c>
      <c r="I541" s="1" t="str">
        <f ca="1">IFERROR(__xludf.DUMMYFUNCTION("""COMPUTED_VALUE"""),"Chiao Yu")</f>
        <v>Chiao Yu</v>
      </c>
    </row>
    <row r="542" spans="1:9" ht="12.7" x14ac:dyDescent="0.4">
      <c r="A542" s="2">
        <f ca="1">IFERROR(__xludf.DUMMYFUNCTION("""COMPUTED_VALUE"""),45526.6180612615)</f>
        <v>45526.618061261499</v>
      </c>
      <c r="B542" s="1" t="str">
        <f ca="1">IFERROR(__xludf.DUMMYFUNCTION("""COMPUTED_VALUE"""),"進貨")</f>
        <v>進貨</v>
      </c>
      <c r="C542" s="1" t="str">
        <f ca="1">IFERROR(__xludf.DUMMYFUNCTION("""COMPUTED_VALUE"""),"ME0020000425")</f>
        <v>ME0020000425</v>
      </c>
      <c r="D542" s="1" t="str">
        <f ca="1">IFERROR(__xludf.DUMMYFUNCTION("""COMPUTED_VALUE"""),"All/共用")</f>
        <v>All/共用</v>
      </c>
      <c r="E542" s="1" t="str">
        <f ca="1">IFERROR(__xludf.DUMMYFUNCTION("""COMPUTED_VALUE"""),"p2/庫存")</f>
        <v>p2/庫存</v>
      </c>
      <c r="F542" s="1">
        <f ca="1">IFERROR(__xludf.DUMMYFUNCTION("""COMPUTED_VALUE"""),5)</f>
        <v>5</v>
      </c>
      <c r="G542" s="1"/>
      <c r="H542" s="1" t="str">
        <f ca="1">IFERROR(__xludf.DUMMYFUNCTION("""COMPUTED_VALUE"""),"P2")</f>
        <v>P2</v>
      </c>
      <c r="I542" s="1" t="str">
        <f ca="1">IFERROR(__xludf.DUMMYFUNCTION("""COMPUTED_VALUE"""),"Chiao Yu")</f>
        <v>Chiao Yu</v>
      </c>
    </row>
    <row r="543" spans="1:9" ht="12.7" x14ac:dyDescent="0.4">
      <c r="A543" s="2">
        <f ca="1">IFERROR(__xludf.DUMMYFUNCTION("""COMPUTED_VALUE"""),45526.6254891319)</f>
        <v>45526.625489131897</v>
      </c>
      <c r="B543" s="1" t="str">
        <f ca="1">IFERROR(__xludf.DUMMYFUNCTION("""COMPUTED_VALUE"""),"進貨")</f>
        <v>進貨</v>
      </c>
      <c r="C543" s="1" t="str">
        <f ca="1">IFERROR(__xludf.DUMMYFUNCTION("""COMPUTED_VALUE"""),"ME0050000184")</f>
        <v>ME0050000184</v>
      </c>
      <c r="D543" s="1" t="str">
        <f ca="1">IFERROR(__xludf.DUMMYFUNCTION("""COMPUTED_VALUE"""),"All/COLOR")</f>
        <v>All/COLOR</v>
      </c>
      <c r="E543" s="1" t="str">
        <f ca="1">IFERROR(__xludf.DUMMYFUNCTION("""COMPUTED_VALUE"""),"p1/庫存")</f>
        <v>p1/庫存</v>
      </c>
      <c r="F543" s="1">
        <f ca="1">IFERROR(__xludf.DUMMYFUNCTION("""COMPUTED_VALUE"""),1)</f>
        <v>1</v>
      </c>
      <c r="G543" s="1"/>
      <c r="H543" s="1" t="str">
        <f ca="1">IFERROR(__xludf.DUMMYFUNCTION("""COMPUTED_VALUE"""),"P1")</f>
        <v>P1</v>
      </c>
      <c r="I543" s="1" t="str">
        <f ca="1">IFERROR(__xludf.DUMMYFUNCTION("""COMPUTED_VALUE"""),"Chiao Yu")</f>
        <v>Chiao Yu</v>
      </c>
    </row>
    <row r="544" spans="1:9" ht="12.7" x14ac:dyDescent="0.4">
      <c r="A544" s="2">
        <f ca="1">IFERROR(__xludf.DUMMYFUNCTION("""COMPUTED_VALUE"""),45526.716908206)</f>
        <v>45526.716908205999</v>
      </c>
      <c r="B544" s="1" t="str">
        <f ca="1">IFERROR(__xludf.DUMMYFUNCTION("""COMPUTED_VALUE"""),"進貨")</f>
        <v>進貨</v>
      </c>
      <c r="C544" s="1" t="str">
        <f ca="1">IFERROR(__xludf.DUMMYFUNCTION("""COMPUTED_VALUE"""),"ME0270001078")</f>
        <v>ME0270001078</v>
      </c>
      <c r="D544" s="1" t="str">
        <f ca="1">IFERROR(__xludf.DUMMYFUNCTION("""COMPUTED_VALUE"""),"All/共用")</f>
        <v>All/共用</v>
      </c>
      <c r="E544" s="1" t="str">
        <f ca="1">IFERROR(__xludf.DUMMYFUNCTION("""COMPUTED_VALUE"""),"p2/庫存")</f>
        <v>p2/庫存</v>
      </c>
      <c r="F544" s="1">
        <f ca="1">IFERROR(__xludf.DUMMYFUNCTION("""COMPUTED_VALUE"""),1)</f>
        <v>1</v>
      </c>
      <c r="G544" s="1"/>
      <c r="H544" s="1" t="str">
        <f ca="1">IFERROR(__xludf.DUMMYFUNCTION("""COMPUTED_VALUE"""),"P2")</f>
        <v>P2</v>
      </c>
      <c r="I544" s="1" t="str">
        <f ca="1">IFERROR(__xludf.DUMMYFUNCTION("""COMPUTED_VALUE"""),"Chiao Yu")</f>
        <v>Chiao Yu</v>
      </c>
    </row>
    <row r="545" spans="1:9" ht="12.7" x14ac:dyDescent="0.4">
      <c r="A545" s="2">
        <f ca="1">IFERROR(__xludf.DUMMYFUNCTION("""COMPUTED_VALUE"""),45529.851735081)</f>
        <v>45529.851735081</v>
      </c>
      <c r="B545" s="1" t="str">
        <f ca="1">IFERROR(__xludf.DUMMYFUNCTION("""COMPUTED_VALUE"""),"送修")</f>
        <v>送修</v>
      </c>
      <c r="C545" s="1" t="str">
        <f ca="1">IFERROR(__xludf.DUMMYFUNCTION("""COMPUTED_VALUE"""),"ME0160000073")</f>
        <v>ME0160000073</v>
      </c>
      <c r="D545" s="1" t="str">
        <f ca="1">IFERROR(__xludf.DUMMYFUNCTION("""COMPUTED_VALUE"""),"All/BA")</f>
        <v>All/BA</v>
      </c>
      <c r="E545" s="1" t="str">
        <f ca="1">IFERROR(__xludf.DUMMYFUNCTION("""COMPUTED_VALUE"""),"p1/庫存")</f>
        <v>p1/庫存</v>
      </c>
      <c r="F545" s="1">
        <f ca="1">IFERROR(__xludf.DUMMYFUNCTION("""COMPUTED_VALUE"""),1)</f>
        <v>1</v>
      </c>
      <c r="G545" s="1" t="str">
        <f ca="1">IFERROR(__xludf.DUMMYFUNCTION("""COMPUTED_VALUE"""),"B2206372")</f>
        <v>B2206372</v>
      </c>
      <c r="H545" s="1" t="str">
        <f ca="1">IFERROR(__xludf.DUMMYFUNCTION("""COMPUTED_VALUE"""),"P1_025")</f>
        <v>P1_025</v>
      </c>
      <c r="I545" s="1" t="str">
        <f ca="1">IFERROR(__xludf.DUMMYFUNCTION("""COMPUTED_VALUE"""),"Uri")</f>
        <v>Uri</v>
      </c>
    </row>
    <row r="546" spans="1:9" ht="12.7" x14ac:dyDescent="0.4">
      <c r="A546" s="2">
        <f ca="1">IFERROR(__xludf.DUMMYFUNCTION("""COMPUTED_VALUE"""),45529.8531557407)</f>
        <v>45529.853155740697</v>
      </c>
      <c r="B546" s="1" t="str">
        <f ca="1">IFERROR(__xludf.DUMMYFUNCTION("""COMPUTED_VALUE"""),"料件上線時間")</f>
        <v>料件上線時間</v>
      </c>
      <c r="C546" s="1" t="str">
        <f ca="1">IFERROR(__xludf.DUMMYFUNCTION("""COMPUTED_VALUE"""),"ME0160000073")</f>
        <v>ME0160000073</v>
      </c>
      <c r="D546" s="1" t="str">
        <f ca="1">IFERROR(__xludf.DUMMYFUNCTION("""COMPUTED_VALUE"""),"All/BA")</f>
        <v>All/BA</v>
      </c>
      <c r="E546" s="1" t="str">
        <f ca="1">IFERROR(__xludf.DUMMYFUNCTION("""COMPUTED_VALUE"""),"p1/庫存")</f>
        <v>p1/庫存</v>
      </c>
      <c r="F546" s="1">
        <f ca="1">IFERROR(__xludf.DUMMYFUNCTION("""COMPUTED_VALUE"""),1)</f>
        <v>1</v>
      </c>
      <c r="G546" s="1" t="str">
        <f ca="1">IFERROR(__xludf.DUMMYFUNCTION("""COMPUTED_VALUE"""),"B2211399")</f>
        <v>B2211399</v>
      </c>
      <c r="H546" s="1" t="str">
        <f ca="1">IFERROR(__xludf.DUMMYFUNCTION("""COMPUTED_VALUE"""),"P1_025")</f>
        <v>P1_025</v>
      </c>
      <c r="I546" s="1" t="str">
        <f ca="1">IFERROR(__xludf.DUMMYFUNCTION("""COMPUTED_VALUE"""),"Uri")</f>
        <v>Uri</v>
      </c>
    </row>
    <row r="547" spans="1:9" ht="12.7" x14ac:dyDescent="0.4">
      <c r="A547" s="2">
        <f ca="1">IFERROR(__xludf.DUMMYFUNCTION("""COMPUTED_VALUE"""),45531.2950953819)</f>
        <v>45531.295095381902</v>
      </c>
      <c r="B547" s="1" t="str">
        <f ca="1">IFERROR(__xludf.DUMMYFUNCTION("""COMPUTED_VALUE"""),"送修")</f>
        <v>送修</v>
      </c>
      <c r="C547" s="1" t="str">
        <f ca="1">IFERROR(__xludf.DUMMYFUNCTION("""COMPUTED_VALUE"""),"A00100000731")</f>
        <v>A00100000731</v>
      </c>
      <c r="D547" s="1" t="str">
        <f ca="1">IFERROR(__xludf.DUMMYFUNCTION("""COMPUTED_VALUE"""),"All/BA")</f>
        <v>All/BA</v>
      </c>
      <c r="E547" s="1" t="str">
        <f ca="1">IFERROR(__xludf.DUMMYFUNCTION("""COMPUTED_VALUE"""),"p1/庫存")</f>
        <v>p1/庫存</v>
      </c>
      <c r="F547" s="1">
        <f ca="1">IFERROR(__xludf.DUMMYFUNCTION("""COMPUTED_VALUE"""),1)</f>
        <v>1</v>
      </c>
      <c r="G547" s="1" t="str">
        <f ca="1">IFERROR(__xludf.DUMMYFUNCTION("""COMPUTED_VALUE"""),"05F425")</f>
        <v>05F425</v>
      </c>
      <c r="H547" s="1" t="str">
        <f ca="1">IFERROR(__xludf.DUMMYFUNCTION("""COMPUTED_VALUE"""),"P1_014")</f>
        <v>P1_014</v>
      </c>
      <c r="I547" s="1" t="str">
        <f ca="1">IFERROR(__xludf.DUMMYFUNCTION("""COMPUTED_VALUE"""),"Jason")</f>
        <v>Jason</v>
      </c>
    </row>
    <row r="548" spans="1:9" ht="12.7" x14ac:dyDescent="0.4">
      <c r="A548" s="2">
        <f ca="1">IFERROR(__xludf.DUMMYFUNCTION("""COMPUTED_VALUE"""),45532.2235991782)</f>
        <v>45532.2235991782</v>
      </c>
      <c r="B548" s="1" t="str">
        <f ca="1">IFERROR(__xludf.DUMMYFUNCTION("""COMPUTED_VALUE"""),"送修")</f>
        <v>送修</v>
      </c>
      <c r="C548" s="1" t="str">
        <f ca="1">IFERROR(__xludf.DUMMYFUNCTION("""COMPUTED_VALUE"""),"A00100000731")</f>
        <v>A00100000731</v>
      </c>
      <c r="D548" s="1" t="str">
        <f ca="1">IFERROR(__xludf.DUMMYFUNCTION("""COMPUTED_VALUE"""),"All/BA")</f>
        <v>All/BA</v>
      </c>
      <c r="E548" s="1" t="str">
        <f ca="1">IFERROR(__xludf.DUMMYFUNCTION("""COMPUTED_VALUE"""),"p1/庫存")</f>
        <v>p1/庫存</v>
      </c>
      <c r="F548" s="1">
        <f ca="1">IFERROR(__xludf.DUMMYFUNCTION("""COMPUTED_VALUE"""),1)</f>
        <v>1</v>
      </c>
      <c r="G548" s="1" t="str">
        <f ca="1">IFERROR(__xludf.DUMMYFUNCTION("""COMPUTED_VALUE"""),"04F225")</f>
        <v>04F225</v>
      </c>
      <c r="H548" s="1" t="str">
        <f ca="1">IFERROR(__xludf.DUMMYFUNCTION("""COMPUTED_VALUE"""),"P1_018 閒家")</f>
        <v>P1_018 閒家</v>
      </c>
      <c r="I548" s="1" t="str">
        <f ca="1">IFERROR(__xludf.DUMMYFUNCTION("""COMPUTED_VALUE"""),"Jason")</f>
        <v>Jason</v>
      </c>
    </row>
    <row r="549" spans="1:9" ht="12.7" x14ac:dyDescent="0.4">
      <c r="A549" s="2">
        <f ca="1">IFERROR(__xludf.DUMMYFUNCTION("""COMPUTED_VALUE"""),45532.3519384838)</f>
        <v>45532.3519384838</v>
      </c>
      <c r="B549" s="1" t="str">
        <f ca="1">IFERROR(__xludf.DUMMYFUNCTION("""COMPUTED_VALUE"""),"料件上線時間")</f>
        <v>料件上線時間</v>
      </c>
      <c r="C549" s="1" t="str">
        <f ca="1">IFERROR(__xludf.DUMMYFUNCTION("""COMPUTED_VALUE"""),"A00100000731")</f>
        <v>A00100000731</v>
      </c>
      <c r="D549" s="1" t="str">
        <f ca="1">IFERROR(__xludf.DUMMYFUNCTION("""COMPUTED_VALUE"""),"All/BA")</f>
        <v>All/BA</v>
      </c>
      <c r="E549" s="1" t="str">
        <f ca="1">IFERROR(__xludf.DUMMYFUNCTION("""COMPUTED_VALUE"""),"p1/庫存")</f>
        <v>p1/庫存</v>
      </c>
      <c r="F549" s="1">
        <f ca="1">IFERROR(__xludf.DUMMYFUNCTION("""COMPUTED_VALUE"""),1)</f>
        <v>1</v>
      </c>
      <c r="G549" s="1" t="str">
        <f ca="1">IFERROR(__xludf.DUMMYFUNCTION("""COMPUTED_VALUE"""),"08F372")</f>
        <v>08F372</v>
      </c>
      <c r="H549" s="1" t="str">
        <f ca="1">IFERROR(__xludf.DUMMYFUNCTION("""COMPUTED_VALUE"""),"P1_014")</f>
        <v>P1_014</v>
      </c>
      <c r="I549" s="1" t="str">
        <f ca="1">IFERROR(__xludf.DUMMYFUNCTION("""COMPUTED_VALUE"""),"Chiao Yu")</f>
        <v>Chiao Yu</v>
      </c>
    </row>
    <row r="550" spans="1:9" ht="12.7" x14ac:dyDescent="0.4">
      <c r="A550" s="2">
        <f ca="1">IFERROR(__xludf.DUMMYFUNCTION("""COMPUTED_VALUE"""),45532.3525903356)</f>
        <v>45532.352590335599</v>
      </c>
      <c r="B550" s="1" t="str">
        <f ca="1">IFERROR(__xludf.DUMMYFUNCTION("""COMPUTED_VALUE"""),"料件上線時間")</f>
        <v>料件上線時間</v>
      </c>
      <c r="C550" s="1" t="str">
        <f ca="1">IFERROR(__xludf.DUMMYFUNCTION("""COMPUTED_VALUE"""),"A00100000731")</f>
        <v>A00100000731</v>
      </c>
      <c r="D550" s="1" t="str">
        <f ca="1">IFERROR(__xludf.DUMMYFUNCTION("""COMPUTED_VALUE"""),"All/BA")</f>
        <v>All/BA</v>
      </c>
      <c r="E550" s="1" t="str">
        <f ca="1">IFERROR(__xludf.DUMMYFUNCTION("""COMPUTED_VALUE"""),"p1/庫存")</f>
        <v>p1/庫存</v>
      </c>
      <c r="F550" s="1">
        <f ca="1">IFERROR(__xludf.DUMMYFUNCTION("""COMPUTED_VALUE"""),1)</f>
        <v>1</v>
      </c>
      <c r="G550" s="1" t="str">
        <f ca="1">IFERROR(__xludf.DUMMYFUNCTION("""COMPUTED_VALUE"""),"10F178")</f>
        <v>10F178</v>
      </c>
      <c r="H550" s="1" t="str">
        <f ca="1">IFERROR(__xludf.DUMMYFUNCTION("""COMPUTED_VALUE"""),"P1_018")</f>
        <v>P1_018</v>
      </c>
      <c r="I550" s="1" t="str">
        <f ca="1">IFERROR(__xludf.DUMMYFUNCTION("""COMPUTED_VALUE"""),"Chiao Yu")</f>
        <v>Chiao Yu</v>
      </c>
    </row>
    <row r="551" spans="1:9" ht="12.7" x14ac:dyDescent="0.4">
      <c r="A551" s="2">
        <f ca="1">IFERROR(__xludf.DUMMYFUNCTION("""COMPUTED_VALUE"""),45532.3548583449)</f>
        <v>45532.354858344901</v>
      </c>
      <c r="B551" s="1" t="str">
        <f ca="1">IFERROR(__xludf.DUMMYFUNCTION("""COMPUTED_VALUE"""),"領料")</f>
        <v>領料</v>
      </c>
      <c r="C551" s="1" t="str">
        <f ca="1">IFERROR(__xludf.DUMMYFUNCTION("""COMPUTED_VALUE"""),"MM0260000077")</f>
        <v>MM0260000077</v>
      </c>
      <c r="D551" s="1" t="str">
        <f ca="1">IFERROR(__xludf.DUMMYFUNCTION("""COMPUTED_VALUE"""),"All/BA")</f>
        <v>All/BA</v>
      </c>
      <c r="E551" s="1" t="str">
        <f ca="1">IFERROR(__xludf.DUMMYFUNCTION("""COMPUTED_VALUE"""),"p1/庫存")</f>
        <v>p1/庫存</v>
      </c>
      <c r="F551" s="1">
        <f ca="1">IFERROR(__xludf.DUMMYFUNCTION("""COMPUTED_VALUE"""),4)</f>
        <v>4</v>
      </c>
      <c r="G551" s="1"/>
      <c r="H551" s="1" t="str">
        <f ca="1">IFERROR(__xludf.DUMMYFUNCTION("""COMPUTED_VALUE"""),"P1")</f>
        <v>P1</v>
      </c>
      <c r="I551" s="1" t="str">
        <f ca="1">IFERROR(__xludf.DUMMYFUNCTION("""COMPUTED_VALUE"""),"Chiao Yu")</f>
        <v>Chiao Yu</v>
      </c>
    </row>
    <row r="552" spans="1:9" ht="12.7" x14ac:dyDescent="0.4">
      <c r="A552" s="2">
        <f ca="1">IFERROR(__xludf.DUMMYFUNCTION("""COMPUTED_VALUE"""),45532.6481910648)</f>
        <v>45532.6481910648</v>
      </c>
      <c r="B552" s="1" t="str">
        <f ca="1">IFERROR(__xludf.DUMMYFUNCTION("""COMPUTED_VALUE"""),"庫存調整")</f>
        <v>庫存調整</v>
      </c>
      <c r="C552" s="1" t="str">
        <f ca="1">IFERROR(__xludf.DUMMYFUNCTION("""COMPUTED_VALUE"""),"A00100000708")</f>
        <v>A00100000708</v>
      </c>
      <c r="D552" s="1" t="str">
        <f ca="1">IFERROR(__xludf.DUMMYFUNCTION("""COMPUTED_VALUE"""),"All/BA")</f>
        <v>All/BA</v>
      </c>
      <c r="E552" s="1" t="str">
        <f ca="1">IFERROR(__xludf.DUMMYFUNCTION("""COMPUTED_VALUE"""),"p1/庫存")</f>
        <v>p1/庫存</v>
      </c>
      <c r="F552" s="1">
        <f ca="1">IFERROR(__xludf.DUMMYFUNCTION("""COMPUTED_VALUE"""),1)</f>
        <v>1</v>
      </c>
      <c r="G552" s="1"/>
      <c r="H552" s="1" t="str">
        <f ca="1">IFERROR(__xludf.DUMMYFUNCTION("""COMPUTED_VALUE"""),"P1")</f>
        <v>P1</v>
      </c>
      <c r="I552" s="1" t="str">
        <f ca="1">IFERROR(__xludf.DUMMYFUNCTION("""COMPUTED_VALUE"""),"Chiao Yu")</f>
        <v>Chiao Yu</v>
      </c>
    </row>
    <row r="553" spans="1:9" ht="12.7" x14ac:dyDescent="0.4">
      <c r="A553" s="2">
        <f ca="1">IFERROR(__xludf.DUMMYFUNCTION("""COMPUTED_VALUE"""),45532.6585746412)</f>
        <v>45532.658574641202</v>
      </c>
      <c r="B553" s="1" t="str">
        <f ca="1">IFERROR(__xludf.DUMMYFUNCTION("""COMPUTED_VALUE"""),"庫存調整")</f>
        <v>庫存調整</v>
      </c>
      <c r="C553" s="1" t="str">
        <f ca="1">IFERROR(__xludf.DUMMYFUNCTION("""COMPUTED_VALUE"""),"ME0020000560")</f>
        <v>ME0020000560</v>
      </c>
      <c r="D553" s="1" t="str">
        <f ca="1">IFERROR(__xludf.DUMMYFUNCTION("""COMPUTED_VALUE"""),"All/共用")</f>
        <v>All/共用</v>
      </c>
      <c r="E553" s="1" t="str">
        <f ca="1">IFERROR(__xludf.DUMMYFUNCTION("""COMPUTED_VALUE"""),"p1/庫存")</f>
        <v>p1/庫存</v>
      </c>
      <c r="F553" s="1">
        <f ca="1">IFERROR(__xludf.DUMMYFUNCTION("""COMPUTED_VALUE"""),1)</f>
        <v>1</v>
      </c>
      <c r="G553" s="1"/>
      <c r="H553" s="1" t="str">
        <f ca="1">IFERROR(__xludf.DUMMYFUNCTION("""COMPUTED_VALUE"""),"P1")</f>
        <v>P1</v>
      </c>
      <c r="I553" s="1" t="str">
        <f ca="1">IFERROR(__xludf.DUMMYFUNCTION("""COMPUTED_VALUE"""),"Chiao Yu")</f>
        <v>Chiao Yu</v>
      </c>
    </row>
    <row r="554" spans="1:9" ht="12.7" x14ac:dyDescent="0.4">
      <c r="A554" s="2">
        <f ca="1">IFERROR(__xludf.DUMMYFUNCTION("""COMPUTED_VALUE"""),45532.6610103472)</f>
        <v>45532.661010347198</v>
      </c>
      <c r="B554" s="1" t="str">
        <f ca="1">IFERROR(__xludf.DUMMYFUNCTION("""COMPUTED_VALUE"""),"庫存調整")</f>
        <v>庫存調整</v>
      </c>
      <c r="C554" s="1" t="str">
        <f ca="1">IFERROR(__xludf.DUMMYFUNCTION("""COMPUTED_VALUE"""),"ME0050000167")</f>
        <v>ME0050000167</v>
      </c>
      <c r="D554" s="1" t="str">
        <f ca="1">IFERROR(__xludf.DUMMYFUNCTION("""COMPUTED_VALUE"""),"All/共用")</f>
        <v>All/共用</v>
      </c>
      <c r="E554" s="1" t="str">
        <f ca="1">IFERROR(__xludf.DUMMYFUNCTION("""COMPUTED_VALUE"""),"p1/庫存")</f>
        <v>p1/庫存</v>
      </c>
      <c r="F554" s="1">
        <f ca="1">IFERROR(__xludf.DUMMYFUNCTION("""COMPUTED_VALUE"""),-1)</f>
        <v>-1</v>
      </c>
      <c r="G554" s="1"/>
      <c r="H554" s="1" t="str">
        <f ca="1">IFERROR(__xludf.DUMMYFUNCTION("""COMPUTED_VALUE"""),"P1")</f>
        <v>P1</v>
      </c>
      <c r="I554" s="1" t="str">
        <f ca="1">IFERROR(__xludf.DUMMYFUNCTION("""COMPUTED_VALUE"""),"Chiao Yu")</f>
        <v>Chiao Yu</v>
      </c>
    </row>
    <row r="555" spans="1:9" ht="12.7" x14ac:dyDescent="0.4">
      <c r="A555" s="2">
        <f ca="1">IFERROR(__xludf.DUMMYFUNCTION("""COMPUTED_VALUE"""),45532.6615603472)</f>
        <v>45532.661560347202</v>
      </c>
      <c r="B555" s="1" t="str">
        <f ca="1">IFERROR(__xludf.DUMMYFUNCTION("""COMPUTED_VALUE"""),"庫存調整")</f>
        <v>庫存調整</v>
      </c>
      <c r="C555" s="1" t="str">
        <f ca="1">IFERROR(__xludf.DUMMYFUNCTION("""COMPUTED_VALUE"""),"ME0050000168")</f>
        <v>ME0050000168</v>
      </c>
      <c r="D555" s="1" t="str">
        <f ca="1">IFERROR(__xludf.DUMMYFUNCTION("""COMPUTED_VALUE"""),"All/共用")</f>
        <v>All/共用</v>
      </c>
      <c r="E555" s="1" t="str">
        <f ca="1">IFERROR(__xludf.DUMMYFUNCTION("""COMPUTED_VALUE"""),"p1/庫存")</f>
        <v>p1/庫存</v>
      </c>
      <c r="F555" s="1">
        <f ca="1">IFERROR(__xludf.DUMMYFUNCTION("""COMPUTED_VALUE"""),-1)</f>
        <v>-1</v>
      </c>
      <c r="G555" s="1"/>
      <c r="H555" s="1" t="str">
        <f ca="1">IFERROR(__xludf.DUMMYFUNCTION("""COMPUTED_VALUE"""),"P1")</f>
        <v>P1</v>
      </c>
      <c r="I555" s="1" t="str">
        <f ca="1">IFERROR(__xludf.DUMMYFUNCTION("""COMPUTED_VALUE"""),"Chiao Yu")</f>
        <v>Chiao Yu</v>
      </c>
    </row>
    <row r="556" spans="1:9" ht="12.7" x14ac:dyDescent="0.4">
      <c r="A556" s="2">
        <f ca="1">IFERROR(__xludf.DUMMYFUNCTION("""COMPUTED_VALUE"""),45532.6668392476)</f>
        <v>45532.666839247599</v>
      </c>
      <c r="B556" s="1" t="str">
        <f ca="1">IFERROR(__xludf.DUMMYFUNCTION("""COMPUTED_VALUE"""),"庫存調整")</f>
        <v>庫存調整</v>
      </c>
      <c r="C556" s="1" t="str">
        <f ca="1">IFERROR(__xludf.DUMMYFUNCTION("""COMPUTED_VALUE"""),"ME0120000085")</f>
        <v>ME0120000085</v>
      </c>
      <c r="D556" s="1" t="str">
        <f ca="1">IFERROR(__xludf.DUMMYFUNCTION("""COMPUTED_VALUE"""),"All/BA")</f>
        <v>All/BA</v>
      </c>
      <c r="E556" s="1" t="str">
        <f ca="1">IFERROR(__xludf.DUMMYFUNCTION("""COMPUTED_VALUE"""),"p1/庫存")</f>
        <v>p1/庫存</v>
      </c>
      <c r="F556" s="1">
        <f ca="1">IFERROR(__xludf.DUMMYFUNCTION("""COMPUTED_VALUE"""),-6)</f>
        <v>-6</v>
      </c>
      <c r="G556" s="1"/>
      <c r="H556" s="1" t="str">
        <f ca="1">IFERROR(__xludf.DUMMYFUNCTION("""COMPUTED_VALUE"""),"P1")</f>
        <v>P1</v>
      </c>
      <c r="I556" s="1" t="str">
        <f ca="1">IFERROR(__xludf.DUMMYFUNCTION("""COMPUTED_VALUE"""),"Chiao Yu")</f>
        <v>Chiao Yu</v>
      </c>
    </row>
    <row r="557" spans="1:9" ht="12.7" x14ac:dyDescent="0.4">
      <c r="A557" s="2">
        <f ca="1">IFERROR(__xludf.DUMMYFUNCTION("""COMPUTED_VALUE"""),45532.6704085763)</f>
        <v>45532.670408576298</v>
      </c>
      <c r="B557" s="1" t="str">
        <f ca="1">IFERROR(__xludf.DUMMYFUNCTION("""COMPUTED_VALUE"""),"領料")</f>
        <v>領料</v>
      </c>
      <c r="C557" s="1" t="str">
        <f ca="1">IFERROR(__xludf.DUMMYFUNCTION("""COMPUTED_VALUE"""),"MM0040003484")</f>
        <v>MM0040003484</v>
      </c>
      <c r="D557" s="1" t="str">
        <f ca="1">IFERROR(__xludf.DUMMYFUNCTION("""COMPUTED_VALUE"""),"All/BA")</f>
        <v>All/BA</v>
      </c>
      <c r="E557" s="1" t="str">
        <f ca="1">IFERROR(__xludf.DUMMYFUNCTION("""COMPUTED_VALUE"""),"p1/庫存")</f>
        <v>p1/庫存</v>
      </c>
      <c r="F557" s="1">
        <f ca="1">IFERROR(__xludf.DUMMYFUNCTION("""COMPUTED_VALUE"""),1)</f>
        <v>1</v>
      </c>
      <c r="G557" s="1"/>
      <c r="H557" s="1" t="str">
        <f ca="1">IFERROR(__xludf.DUMMYFUNCTION("""COMPUTED_VALUE"""),"P1_001")</f>
        <v>P1_001</v>
      </c>
      <c r="I557" s="1" t="str">
        <f ca="1">IFERROR(__xludf.DUMMYFUNCTION("""COMPUTED_VALUE"""),"Chiao Yu")</f>
        <v>Chiao Yu</v>
      </c>
    </row>
    <row r="558" spans="1:9" ht="12.7" x14ac:dyDescent="0.4">
      <c r="A558" s="2">
        <f ca="1">IFERROR(__xludf.DUMMYFUNCTION("""COMPUTED_VALUE"""),45532.6709008217)</f>
        <v>45532.6709008217</v>
      </c>
      <c r="B558" s="1" t="str">
        <f ca="1">IFERROR(__xludf.DUMMYFUNCTION("""COMPUTED_VALUE"""),"領料")</f>
        <v>領料</v>
      </c>
      <c r="C558" s="1" t="str">
        <f ca="1">IFERROR(__xludf.DUMMYFUNCTION("""COMPUTED_VALUE"""),"MM0040003484")</f>
        <v>MM0040003484</v>
      </c>
      <c r="D558" s="1" t="str">
        <f ca="1">IFERROR(__xludf.DUMMYFUNCTION("""COMPUTED_VALUE"""),"All/BA")</f>
        <v>All/BA</v>
      </c>
      <c r="E558" s="1" t="str">
        <f ca="1">IFERROR(__xludf.DUMMYFUNCTION("""COMPUTED_VALUE"""),"p1/庫存")</f>
        <v>p1/庫存</v>
      </c>
      <c r="F558" s="1">
        <f ca="1">IFERROR(__xludf.DUMMYFUNCTION("""COMPUTED_VALUE"""),1)</f>
        <v>1</v>
      </c>
      <c r="G558" s="1"/>
      <c r="H558" s="1" t="str">
        <f ca="1">IFERROR(__xludf.DUMMYFUNCTION("""COMPUTED_VALUE"""),"P1_002")</f>
        <v>P1_002</v>
      </c>
      <c r="I558" s="1" t="str">
        <f ca="1">IFERROR(__xludf.DUMMYFUNCTION("""COMPUTED_VALUE"""),"Chiao Yu")</f>
        <v>Chiao Yu</v>
      </c>
    </row>
    <row r="559" spans="1:9" ht="12.7" x14ac:dyDescent="0.4">
      <c r="A559" s="2">
        <f ca="1">IFERROR(__xludf.DUMMYFUNCTION("""COMPUTED_VALUE"""),45532.671855787)</f>
        <v>45532.671855786997</v>
      </c>
      <c r="B559" s="1" t="str">
        <f ca="1">IFERROR(__xludf.DUMMYFUNCTION("""COMPUTED_VALUE"""),"庫存調整")</f>
        <v>庫存調整</v>
      </c>
      <c r="C559" s="1" t="str">
        <f ca="1">IFERROR(__xludf.DUMMYFUNCTION("""COMPUTED_VALUE"""),"MM0260000077")</f>
        <v>MM0260000077</v>
      </c>
      <c r="D559" s="1" t="str">
        <f ca="1">IFERROR(__xludf.DUMMYFUNCTION("""COMPUTED_VALUE"""),"All/BA")</f>
        <v>All/BA</v>
      </c>
      <c r="E559" s="1" t="str">
        <f ca="1">IFERROR(__xludf.DUMMYFUNCTION("""COMPUTED_VALUE"""),"p1/庫存")</f>
        <v>p1/庫存</v>
      </c>
      <c r="F559" s="1">
        <f ca="1">IFERROR(__xludf.DUMMYFUNCTION("""COMPUTED_VALUE"""),2)</f>
        <v>2</v>
      </c>
      <c r="G559" s="1"/>
      <c r="H559" s="1" t="str">
        <f ca="1">IFERROR(__xludf.DUMMYFUNCTION("""COMPUTED_VALUE"""),"P1")</f>
        <v>P1</v>
      </c>
      <c r="I559" s="1" t="str">
        <f ca="1">IFERROR(__xludf.DUMMYFUNCTION("""COMPUTED_VALUE"""),"Chiao Yu")</f>
        <v>Chiao Yu</v>
      </c>
    </row>
    <row r="560" spans="1:9" ht="12.7" x14ac:dyDescent="0.4">
      <c r="A560" s="2">
        <f ca="1">IFERROR(__xludf.DUMMYFUNCTION("""COMPUTED_VALUE"""),45532.6730676041)</f>
        <v>45532.673067604097</v>
      </c>
      <c r="B560" s="1" t="str">
        <f ca="1">IFERROR(__xludf.DUMMYFUNCTION("""COMPUTED_VALUE"""),"庫存調整")</f>
        <v>庫存調整</v>
      </c>
      <c r="C560" s="1" t="str">
        <f ca="1">IFERROR(__xludf.DUMMYFUNCTION("""COMPUTED_VALUE"""),"MM0260000147")</f>
        <v>MM0260000147</v>
      </c>
      <c r="D560" s="1" t="str">
        <f ca="1">IFERROR(__xludf.DUMMYFUNCTION("""COMPUTED_VALUE"""),"All/BA")</f>
        <v>All/BA</v>
      </c>
      <c r="E560" s="1" t="str">
        <f ca="1">IFERROR(__xludf.DUMMYFUNCTION("""COMPUTED_VALUE"""),"p2/庫存")</f>
        <v>p2/庫存</v>
      </c>
      <c r="F560" s="1">
        <f ca="1">IFERROR(__xludf.DUMMYFUNCTION("""COMPUTED_VALUE"""),-25)</f>
        <v>-25</v>
      </c>
      <c r="G560" s="1"/>
      <c r="H560" s="1" t="str">
        <f ca="1">IFERROR(__xludf.DUMMYFUNCTION("""COMPUTED_VALUE"""),"P2")</f>
        <v>P2</v>
      </c>
      <c r="I560" s="1" t="str">
        <f ca="1">IFERROR(__xludf.DUMMYFUNCTION("""COMPUTED_VALUE"""),"Chiao Yu")</f>
        <v>Chiao Yu</v>
      </c>
    </row>
    <row r="561" spans="1:9" ht="12.7" x14ac:dyDescent="0.4">
      <c r="A561" s="2">
        <f ca="1">IFERROR(__xludf.DUMMYFUNCTION("""COMPUTED_VALUE"""),45532.6735993865)</f>
        <v>45532.6735993865</v>
      </c>
      <c r="B561" s="1" t="str">
        <f ca="1">IFERROR(__xludf.DUMMYFUNCTION("""COMPUTED_VALUE"""),"庫存調整")</f>
        <v>庫存調整</v>
      </c>
      <c r="C561" s="1" t="str">
        <f ca="1">IFERROR(__xludf.DUMMYFUNCTION("""COMPUTED_VALUE"""),"MM0260000147")</f>
        <v>MM0260000147</v>
      </c>
      <c r="D561" s="1" t="str">
        <f ca="1">IFERROR(__xludf.DUMMYFUNCTION("""COMPUTED_VALUE"""),"All/BA")</f>
        <v>All/BA</v>
      </c>
      <c r="E561" s="1" t="str">
        <f ca="1">IFERROR(__xludf.DUMMYFUNCTION("""COMPUTED_VALUE"""),"p1/庫存")</f>
        <v>p1/庫存</v>
      </c>
      <c r="F561" s="1">
        <f ca="1">IFERROR(__xludf.DUMMYFUNCTION("""COMPUTED_VALUE"""),25)</f>
        <v>25</v>
      </c>
      <c r="G561" s="1"/>
      <c r="H561" s="1" t="str">
        <f ca="1">IFERROR(__xludf.DUMMYFUNCTION("""COMPUTED_VALUE"""),"P1")</f>
        <v>P1</v>
      </c>
      <c r="I561" s="1" t="str">
        <f ca="1">IFERROR(__xludf.DUMMYFUNCTION("""COMPUTED_VALUE"""),"Chiao Yu")</f>
        <v>Chiao Yu</v>
      </c>
    </row>
    <row r="562" spans="1:9" ht="12.7" x14ac:dyDescent="0.4">
      <c r="A562" s="2">
        <f ca="1">IFERROR(__xludf.DUMMYFUNCTION("""COMPUTED_VALUE"""),45532.6741130208)</f>
        <v>45532.674113020803</v>
      </c>
      <c r="B562" s="1" t="str">
        <f ca="1">IFERROR(__xludf.DUMMYFUNCTION("""COMPUTED_VALUE"""),"庫存調整")</f>
        <v>庫存調整</v>
      </c>
      <c r="C562" s="1" t="str">
        <f ca="1">IFERROR(__xludf.DUMMYFUNCTION("""COMPUTED_VALUE"""),"MM0260000149")</f>
        <v>MM0260000149</v>
      </c>
      <c r="D562" s="1" t="str">
        <f ca="1">IFERROR(__xludf.DUMMYFUNCTION("""COMPUTED_VALUE"""),"All/BA")</f>
        <v>All/BA</v>
      </c>
      <c r="E562" s="1" t="str">
        <f ca="1">IFERROR(__xludf.DUMMYFUNCTION("""COMPUTED_VALUE"""),"p2/庫存")</f>
        <v>p2/庫存</v>
      </c>
      <c r="F562" s="1">
        <f ca="1">IFERROR(__xludf.DUMMYFUNCTION("""COMPUTED_VALUE"""),-24)</f>
        <v>-24</v>
      </c>
      <c r="G562" s="1"/>
      <c r="H562" s="1" t="str">
        <f ca="1">IFERROR(__xludf.DUMMYFUNCTION("""COMPUTED_VALUE"""),"P2")</f>
        <v>P2</v>
      </c>
      <c r="I562" s="1" t="str">
        <f ca="1">IFERROR(__xludf.DUMMYFUNCTION("""COMPUTED_VALUE"""),"Chiao Yu")</f>
        <v>Chiao Yu</v>
      </c>
    </row>
    <row r="563" spans="1:9" ht="12.7" x14ac:dyDescent="0.4">
      <c r="A563" s="2">
        <f ca="1">IFERROR(__xludf.DUMMYFUNCTION("""COMPUTED_VALUE"""),45532.6746060763)</f>
        <v>45532.674606076303</v>
      </c>
      <c r="B563" s="1" t="str">
        <f ca="1">IFERROR(__xludf.DUMMYFUNCTION("""COMPUTED_VALUE"""),"庫存調整")</f>
        <v>庫存調整</v>
      </c>
      <c r="C563" s="1" t="str">
        <f ca="1">IFERROR(__xludf.DUMMYFUNCTION("""COMPUTED_VALUE"""),"MM0260000149")</f>
        <v>MM0260000149</v>
      </c>
      <c r="D563" s="1" t="str">
        <f ca="1">IFERROR(__xludf.DUMMYFUNCTION("""COMPUTED_VALUE"""),"All/BA")</f>
        <v>All/BA</v>
      </c>
      <c r="E563" s="1" t="str">
        <f ca="1">IFERROR(__xludf.DUMMYFUNCTION("""COMPUTED_VALUE"""),"p1/庫存")</f>
        <v>p1/庫存</v>
      </c>
      <c r="F563" s="1">
        <f ca="1">IFERROR(__xludf.DUMMYFUNCTION("""COMPUTED_VALUE"""),24)</f>
        <v>24</v>
      </c>
      <c r="G563" s="1"/>
      <c r="H563" s="1" t="str">
        <f ca="1">IFERROR(__xludf.DUMMYFUNCTION("""COMPUTED_VALUE"""),"P1")</f>
        <v>P1</v>
      </c>
      <c r="I563" s="1" t="str">
        <f ca="1">IFERROR(__xludf.DUMMYFUNCTION("""COMPUTED_VALUE"""),"Chiao Yu")</f>
        <v>Chiao Yu</v>
      </c>
    </row>
    <row r="564" spans="1:9" ht="12.7" x14ac:dyDescent="0.4">
      <c r="A564" s="2">
        <f ca="1">IFERROR(__xludf.DUMMYFUNCTION("""COMPUTED_VALUE"""),45532.6754065162)</f>
        <v>45532.675406516202</v>
      </c>
      <c r="B564" s="1" t="str">
        <f ca="1">IFERROR(__xludf.DUMMYFUNCTION("""COMPUTED_VALUE"""),"庫存調整")</f>
        <v>庫存調整</v>
      </c>
      <c r="C564" s="1" t="str">
        <f ca="1">IFERROR(__xludf.DUMMYFUNCTION("""COMPUTED_VALUE"""),"MM0260000258")</f>
        <v>MM0260000258</v>
      </c>
      <c r="D564" s="1" t="str">
        <f ca="1">IFERROR(__xludf.DUMMYFUNCTION("""COMPUTED_VALUE"""),"All/BA")</f>
        <v>All/BA</v>
      </c>
      <c r="E564" s="1" t="str">
        <f ca="1">IFERROR(__xludf.DUMMYFUNCTION("""COMPUTED_VALUE"""),"p2/庫存")</f>
        <v>p2/庫存</v>
      </c>
      <c r="F564" s="1">
        <f ca="1">IFERROR(__xludf.DUMMYFUNCTION("""COMPUTED_VALUE"""),-25)</f>
        <v>-25</v>
      </c>
      <c r="G564" s="1"/>
      <c r="H564" s="1" t="str">
        <f ca="1">IFERROR(__xludf.DUMMYFUNCTION("""COMPUTED_VALUE"""),"P2")</f>
        <v>P2</v>
      </c>
      <c r="I564" s="1" t="str">
        <f ca="1">IFERROR(__xludf.DUMMYFUNCTION("""COMPUTED_VALUE"""),"Chiao Yu")</f>
        <v>Chiao Yu</v>
      </c>
    </row>
    <row r="565" spans="1:9" ht="12.7" x14ac:dyDescent="0.4">
      <c r="A565" s="2">
        <f ca="1">IFERROR(__xludf.DUMMYFUNCTION("""COMPUTED_VALUE"""),45532.6757674305)</f>
        <v>45532.675767430497</v>
      </c>
      <c r="B565" s="1" t="str">
        <f ca="1">IFERROR(__xludf.DUMMYFUNCTION("""COMPUTED_VALUE"""),"庫存調整")</f>
        <v>庫存調整</v>
      </c>
      <c r="C565" s="1" t="str">
        <f ca="1">IFERROR(__xludf.DUMMYFUNCTION("""COMPUTED_VALUE"""),"MM0260000258")</f>
        <v>MM0260000258</v>
      </c>
      <c r="D565" s="1" t="str">
        <f ca="1">IFERROR(__xludf.DUMMYFUNCTION("""COMPUTED_VALUE"""),"All/BA")</f>
        <v>All/BA</v>
      </c>
      <c r="E565" s="1" t="str">
        <f ca="1">IFERROR(__xludf.DUMMYFUNCTION("""COMPUTED_VALUE"""),"p1/庫存")</f>
        <v>p1/庫存</v>
      </c>
      <c r="F565" s="1">
        <f ca="1">IFERROR(__xludf.DUMMYFUNCTION("""COMPUTED_VALUE"""),25)</f>
        <v>25</v>
      </c>
      <c r="G565" s="1"/>
      <c r="H565" s="1" t="str">
        <f ca="1">IFERROR(__xludf.DUMMYFUNCTION("""COMPUTED_VALUE"""),"P1")</f>
        <v>P1</v>
      </c>
      <c r="I565" s="1" t="str">
        <f ca="1">IFERROR(__xludf.DUMMYFUNCTION("""COMPUTED_VALUE"""),"Chiao Yu")</f>
        <v>Chiao Yu</v>
      </c>
    </row>
    <row r="566" spans="1:9" ht="12.7" x14ac:dyDescent="0.4">
      <c r="A566" s="2">
        <f ca="1">IFERROR(__xludf.DUMMYFUNCTION("""COMPUTED_VALUE"""),45532.6797585416)</f>
        <v>45532.679758541599</v>
      </c>
      <c r="B566" s="1" t="str">
        <f ca="1">IFERROR(__xludf.DUMMYFUNCTION("""COMPUTED_VALUE"""),"進貨")</f>
        <v>進貨</v>
      </c>
      <c r="C566" s="1" t="str">
        <f ca="1">IFERROR(__xludf.DUMMYFUNCTION("""COMPUTED_VALUE"""),"ME0270000789")</f>
        <v>ME0270000789</v>
      </c>
      <c r="D566" s="1" t="str">
        <f ca="1">IFERROR(__xludf.DUMMYFUNCTION("""COMPUTED_VALUE"""),"All/共用")</f>
        <v>All/共用</v>
      </c>
      <c r="E566" s="1" t="str">
        <f ca="1">IFERROR(__xludf.DUMMYFUNCTION("""COMPUTED_VALUE"""),"p2/庫存")</f>
        <v>p2/庫存</v>
      </c>
      <c r="F566" s="1">
        <f ca="1">IFERROR(__xludf.DUMMYFUNCTION("""COMPUTED_VALUE"""),20)</f>
        <v>20</v>
      </c>
      <c r="G566" s="1"/>
      <c r="H566" s="1" t="str">
        <f ca="1">IFERROR(__xludf.DUMMYFUNCTION("""COMPUTED_VALUE"""),"P2")</f>
        <v>P2</v>
      </c>
      <c r="I566" s="1" t="str">
        <f ca="1">IFERROR(__xludf.DUMMYFUNCTION("""COMPUTED_VALUE"""),"Chiao Yu")</f>
        <v>Chiao Yu</v>
      </c>
    </row>
    <row r="567" spans="1:9" ht="12.7" x14ac:dyDescent="0.4">
      <c r="A567" s="2">
        <f ca="1">IFERROR(__xludf.DUMMYFUNCTION("""COMPUTED_VALUE"""),45532.6812349305)</f>
        <v>45532.681234930496</v>
      </c>
      <c r="B567" s="1" t="str">
        <f ca="1">IFERROR(__xludf.DUMMYFUNCTION("""COMPUTED_VALUE"""),"進貨")</f>
        <v>進貨</v>
      </c>
      <c r="C567" s="1" t="str">
        <f ca="1">IFERROR(__xludf.DUMMYFUNCTION("""COMPUTED_VALUE"""),"ME0050000183")</f>
        <v>ME0050000183</v>
      </c>
      <c r="D567" s="1" t="str">
        <f ca="1">IFERROR(__xludf.DUMMYFUNCTION("""COMPUTED_VALUE"""),"All/共用")</f>
        <v>All/共用</v>
      </c>
      <c r="E567" s="1" t="str">
        <f ca="1">IFERROR(__xludf.DUMMYFUNCTION("""COMPUTED_VALUE"""),"p2/庫存")</f>
        <v>p2/庫存</v>
      </c>
      <c r="F567" s="1">
        <f ca="1">IFERROR(__xludf.DUMMYFUNCTION("""COMPUTED_VALUE"""),10)</f>
        <v>10</v>
      </c>
      <c r="G567" s="1"/>
      <c r="H567" s="1" t="str">
        <f ca="1">IFERROR(__xludf.DUMMYFUNCTION("""COMPUTED_VALUE"""),"P2")</f>
        <v>P2</v>
      </c>
      <c r="I567" s="1" t="str">
        <f ca="1">IFERROR(__xludf.DUMMYFUNCTION("""COMPUTED_VALUE"""),"Chiao Yu")</f>
        <v>Chiao Yu</v>
      </c>
    </row>
    <row r="568" spans="1:9" ht="12.7" x14ac:dyDescent="0.4">
      <c r="A568" s="2">
        <f ca="1">IFERROR(__xludf.DUMMYFUNCTION("""COMPUTED_VALUE"""),45532.8669311921)</f>
        <v>45532.866931192097</v>
      </c>
      <c r="B568" s="1" t="str">
        <f ca="1">IFERROR(__xludf.DUMMYFUNCTION("""COMPUTED_VALUE"""),"庫存調整")</f>
        <v>庫存調整</v>
      </c>
      <c r="C568" s="1" t="str">
        <f ca="1">IFERROR(__xludf.DUMMYFUNCTION("""COMPUTED_VALUE"""),"AGT000000005")</f>
        <v>AGT000000005</v>
      </c>
      <c r="D568" s="1" t="str">
        <f ca="1">IFERROR(__xludf.DUMMYFUNCTION("""COMPUTED_VALUE"""),"All/共用")</f>
        <v>All/共用</v>
      </c>
      <c r="E568" s="1" t="str">
        <f ca="1">IFERROR(__xludf.DUMMYFUNCTION("""COMPUTED_VALUE"""),"p2/庫存")</f>
        <v>p2/庫存</v>
      </c>
      <c r="F568" s="1">
        <f ca="1">IFERROR(__xludf.DUMMYFUNCTION("""COMPUTED_VALUE"""),-1)</f>
        <v>-1</v>
      </c>
      <c r="G568" s="1"/>
      <c r="H568" s="1" t="str">
        <f ca="1">IFERROR(__xludf.DUMMYFUNCTION("""COMPUTED_VALUE"""),"P2")</f>
        <v>P2</v>
      </c>
      <c r="I568" s="1" t="str">
        <f ca="1">IFERROR(__xludf.DUMMYFUNCTION("""COMPUTED_VALUE"""),"Simon")</f>
        <v>Simon</v>
      </c>
    </row>
    <row r="569" spans="1:9" ht="12.7" x14ac:dyDescent="0.4">
      <c r="A569" s="2">
        <f ca="1">IFERROR(__xludf.DUMMYFUNCTION("""COMPUTED_VALUE"""),45532.8679674189)</f>
        <v>45532.867967418897</v>
      </c>
      <c r="B569" s="1" t="str">
        <f ca="1">IFERROR(__xludf.DUMMYFUNCTION("""COMPUTED_VALUE"""),"庫存調整")</f>
        <v>庫存調整</v>
      </c>
      <c r="C569" s="1" t="str">
        <f ca="1">IFERROR(__xludf.DUMMYFUNCTION("""COMPUTED_VALUE"""),"ME0030000075")</f>
        <v>ME0030000075</v>
      </c>
      <c r="D569" s="1" t="str">
        <f ca="1">IFERROR(__xludf.DUMMYFUNCTION("""COMPUTED_VALUE"""),"All/共用")</f>
        <v>All/共用</v>
      </c>
      <c r="E569" s="1" t="str">
        <f ca="1">IFERROR(__xludf.DUMMYFUNCTION("""COMPUTED_VALUE"""),"p2/庫存")</f>
        <v>p2/庫存</v>
      </c>
      <c r="F569" s="1">
        <f ca="1">IFERROR(__xludf.DUMMYFUNCTION("""COMPUTED_VALUE"""),1)</f>
        <v>1</v>
      </c>
      <c r="G569" s="1"/>
      <c r="H569" s="1" t="str">
        <f ca="1">IFERROR(__xludf.DUMMYFUNCTION("""COMPUTED_VALUE"""),"P2")</f>
        <v>P2</v>
      </c>
      <c r="I569" s="1" t="str">
        <f ca="1">IFERROR(__xludf.DUMMYFUNCTION("""COMPUTED_VALUE"""),"Simon")</f>
        <v>Simon</v>
      </c>
    </row>
    <row r="570" spans="1:9" ht="12.7" x14ac:dyDescent="0.4">
      <c r="A570" s="2">
        <f ca="1">IFERROR(__xludf.DUMMYFUNCTION("""COMPUTED_VALUE"""),45532.8690060879)</f>
        <v>45532.869006087902</v>
      </c>
      <c r="B570" s="1" t="str">
        <f ca="1">IFERROR(__xludf.DUMMYFUNCTION("""COMPUTED_VALUE"""),"庫存調整")</f>
        <v>庫存調整</v>
      </c>
      <c r="C570" s="1" t="str">
        <f ca="1">IFERROR(__xludf.DUMMYFUNCTION("""COMPUTED_VALUE"""),"ME0060000277")</f>
        <v>ME0060000277</v>
      </c>
      <c r="D570" s="1" t="str">
        <f ca="1">IFERROR(__xludf.DUMMYFUNCTION("""COMPUTED_VALUE"""),"All/共用")</f>
        <v>All/共用</v>
      </c>
      <c r="E570" s="1" t="str">
        <f ca="1">IFERROR(__xludf.DUMMYFUNCTION("""COMPUTED_VALUE"""),"p2/庫存")</f>
        <v>p2/庫存</v>
      </c>
      <c r="F570" s="1">
        <f ca="1">IFERROR(__xludf.DUMMYFUNCTION("""COMPUTED_VALUE"""),1)</f>
        <v>1</v>
      </c>
      <c r="G570" s="1"/>
      <c r="H570" s="1" t="str">
        <f ca="1">IFERROR(__xludf.DUMMYFUNCTION("""COMPUTED_VALUE"""),"P2")</f>
        <v>P2</v>
      </c>
      <c r="I570" s="1" t="str">
        <f ca="1">IFERROR(__xludf.DUMMYFUNCTION("""COMPUTED_VALUE"""),"Simon")</f>
        <v>Simon</v>
      </c>
    </row>
    <row r="571" spans="1:9" ht="12.7" x14ac:dyDescent="0.4">
      <c r="A571" s="2">
        <f ca="1">IFERROR(__xludf.DUMMYFUNCTION("""COMPUTED_VALUE"""),45532.8706453819)</f>
        <v>45532.870645381903</v>
      </c>
      <c r="B571" s="1" t="str">
        <f ca="1">IFERROR(__xludf.DUMMYFUNCTION("""COMPUTED_VALUE"""),"庫存調整")</f>
        <v>庫存調整</v>
      </c>
      <c r="C571" s="1" t="str">
        <f ca="1">IFERROR(__xludf.DUMMYFUNCTION("""COMPUTED_VALUE"""),"ME0060000278")</f>
        <v>ME0060000278</v>
      </c>
      <c r="D571" s="1" t="str">
        <f ca="1">IFERROR(__xludf.DUMMYFUNCTION("""COMPUTED_VALUE"""),"All/共用")</f>
        <v>All/共用</v>
      </c>
      <c r="E571" s="1" t="str">
        <f ca="1">IFERROR(__xludf.DUMMYFUNCTION("""COMPUTED_VALUE"""),"p2/庫存")</f>
        <v>p2/庫存</v>
      </c>
      <c r="F571" s="1">
        <f ca="1">IFERROR(__xludf.DUMMYFUNCTION("""COMPUTED_VALUE"""),-1)</f>
        <v>-1</v>
      </c>
      <c r="G571" s="1"/>
      <c r="H571" s="1" t="str">
        <f ca="1">IFERROR(__xludf.DUMMYFUNCTION("""COMPUTED_VALUE"""),"P2")</f>
        <v>P2</v>
      </c>
      <c r="I571" s="1" t="str">
        <f ca="1">IFERROR(__xludf.DUMMYFUNCTION("""COMPUTED_VALUE"""),"Simon")</f>
        <v>Simon</v>
      </c>
    </row>
    <row r="572" spans="1:9" ht="12.7" x14ac:dyDescent="0.4">
      <c r="A572" s="2">
        <f ca="1">IFERROR(__xludf.DUMMYFUNCTION("""COMPUTED_VALUE"""),45532.8718448032)</f>
        <v>45532.871844803201</v>
      </c>
      <c r="B572" s="1" t="str">
        <f ca="1">IFERROR(__xludf.DUMMYFUNCTION("""COMPUTED_VALUE"""),"庫存調整")</f>
        <v>庫存調整</v>
      </c>
      <c r="C572" s="1" t="str">
        <f ca="1">IFERROR(__xludf.DUMMYFUNCTION("""COMPUTED_VALUE"""),"ME0270001045")</f>
        <v>ME0270001045</v>
      </c>
      <c r="D572" s="1" t="str">
        <f ca="1">IFERROR(__xludf.DUMMYFUNCTION("""COMPUTED_VALUE"""),"All/共用")</f>
        <v>All/共用</v>
      </c>
      <c r="E572" s="1" t="str">
        <f ca="1">IFERROR(__xludf.DUMMYFUNCTION("""COMPUTED_VALUE"""),"p2/庫存")</f>
        <v>p2/庫存</v>
      </c>
      <c r="F572" s="1">
        <f ca="1">IFERROR(__xludf.DUMMYFUNCTION("""COMPUTED_VALUE"""),7)</f>
        <v>7</v>
      </c>
      <c r="G572" s="1"/>
      <c r="H572" s="1" t="str">
        <f ca="1">IFERROR(__xludf.DUMMYFUNCTION("""COMPUTED_VALUE"""),"P2")</f>
        <v>P2</v>
      </c>
      <c r="I572" s="1" t="str">
        <f ca="1">IFERROR(__xludf.DUMMYFUNCTION("""COMPUTED_VALUE"""),"Simon")</f>
        <v>Simon</v>
      </c>
    </row>
    <row r="573" spans="1:9" ht="12.7" x14ac:dyDescent="0.4">
      <c r="A573" s="2">
        <f ca="1">IFERROR(__xludf.DUMMYFUNCTION("""COMPUTED_VALUE"""),45533.0115206597)</f>
        <v>45533.011520659697</v>
      </c>
      <c r="B573" s="1" t="str">
        <f ca="1">IFERROR(__xludf.DUMMYFUNCTION("""COMPUTED_VALUE"""),"返修")</f>
        <v>返修</v>
      </c>
      <c r="C573" s="1" t="str">
        <f ca="1">IFERROR(__xludf.DUMMYFUNCTION("""COMPUTED_VALUE"""),"ME0070000140")</f>
        <v>ME0070000140</v>
      </c>
      <c r="D573" s="1" t="str">
        <f ca="1">IFERROR(__xludf.DUMMYFUNCTION("""COMPUTED_VALUE"""),"All/BA")</f>
        <v>All/BA</v>
      </c>
      <c r="E573" s="1" t="str">
        <f ca="1">IFERROR(__xludf.DUMMYFUNCTION("""COMPUTED_VALUE"""),"p1/庫存")</f>
        <v>p1/庫存</v>
      </c>
      <c r="F573" s="1">
        <f ca="1">IFERROR(__xludf.DUMMYFUNCTION("""COMPUTED_VALUE"""),1)</f>
        <v>1</v>
      </c>
      <c r="G573" s="1" t="str">
        <f ca="1">IFERROR(__xludf.DUMMYFUNCTION("""COMPUTED_VALUE"""),"100A-2522C0047-2204")</f>
        <v>100A-2522C0047-2204</v>
      </c>
      <c r="H573" s="1" t="str">
        <f ca="1">IFERROR(__xludf.DUMMYFUNCTION("""COMPUTED_VALUE"""),"P1_030")</f>
        <v>P1_030</v>
      </c>
      <c r="I573" s="1" t="str">
        <f ca="1">IFERROR(__xludf.DUMMYFUNCTION("""COMPUTED_VALUE"""),"Simon")</f>
        <v>Simon</v>
      </c>
    </row>
    <row r="574" spans="1:9" ht="12.7" x14ac:dyDescent="0.4">
      <c r="A574" s="2">
        <f ca="1">IFERROR(__xludf.DUMMYFUNCTION("""COMPUTED_VALUE"""),45533.0126133796)</f>
        <v>45533.0126133796</v>
      </c>
      <c r="B574" s="1" t="str">
        <f ca="1">IFERROR(__xludf.DUMMYFUNCTION("""COMPUTED_VALUE"""),"領料")</f>
        <v>領料</v>
      </c>
      <c r="C574" s="1" t="str">
        <f ca="1">IFERROR(__xludf.DUMMYFUNCTION("""COMPUTED_VALUE"""),"ME0070000140")</f>
        <v>ME0070000140</v>
      </c>
      <c r="D574" s="1" t="str">
        <f ca="1">IFERROR(__xludf.DUMMYFUNCTION("""COMPUTED_VALUE"""),"All/BA")</f>
        <v>All/BA</v>
      </c>
      <c r="E574" s="1" t="str">
        <f ca="1">IFERROR(__xludf.DUMMYFUNCTION("""COMPUTED_VALUE"""),"p1/庫存")</f>
        <v>p1/庫存</v>
      </c>
      <c r="F574" s="1">
        <f ca="1">IFERROR(__xludf.DUMMYFUNCTION("""COMPUTED_VALUE"""),1)</f>
        <v>1</v>
      </c>
      <c r="G574" s="1" t="str">
        <f ca="1">IFERROR(__xludf.DUMMYFUNCTION("""COMPUTED_VALUE"""),"100A-2522C0047-2204")</f>
        <v>100A-2522C0047-2204</v>
      </c>
      <c r="H574" s="1" t="str">
        <f ca="1">IFERROR(__xludf.DUMMYFUNCTION("""COMPUTED_VALUE"""),"P1_030")</f>
        <v>P1_030</v>
      </c>
      <c r="I574" s="1" t="str">
        <f ca="1">IFERROR(__xludf.DUMMYFUNCTION("""COMPUTED_VALUE"""),"Simon")</f>
        <v>Simon</v>
      </c>
    </row>
    <row r="575" spans="1:9" ht="12.7" x14ac:dyDescent="0.4">
      <c r="A575" s="2">
        <f ca="1">IFERROR(__xludf.DUMMYFUNCTION("""COMPUTED_VALUE"""),45533.015474074)</f>
        <v>45533.015474074004</v>
      </c>
      <c r="B575" s="1" t="str">
        <f ca="1">IFERROR(__xludf.DUMMYFUNCTION("""COMPUTED_VALUE"""),"返修")</f>
        <v>返修</v>
      </c>
      <c r="C575" s="1" t="str">
        <f ca="1">IFERROR(__xludf.DUMMYFUNCTION("""COMPUTED_VALUE"""),"ME0070000140")</f>
        <v>ME0070000140</v>
      </c>
      <c r="D575" s="1" t="str">
        <f ca="1">IFERROR(__xludf.DUMMYFUNCTION("""COMPUTED_VALUE"""),"All/BA")</f>
        <v>All/BA</v>
      </c>
      <c r="E575" s="1" t="str">
        <f ca="1">IFERROR(__xludf.DUMMYFUNCTION("""COMPUTED_VALUE"""),"p2/庫存")</f>
        <v>p2/庫存</v>
      </c>
      <c r="F575" s="1">
        <f ca="1">IFERROR(__xludf.DUMMYFUNCTION("""COMPUTED_VALUE"""),1)</f>
        <v>1</v>
      </c>
      <c r="G575" s="1" t="str">
        <f ca="1">IFERROR(__xludf.DUMMYFUNCTION("""COMPUTED_VALUE"""),"100A-2522c00083-2208")</f>
        <v>100A-2522c00083-2208</v>
      </c>
      <c r="H575" s="1" t="str">
        <f ca="1">IFERROR(__xludf.DUMMYFUNCTION("""COMPUTED_VALUE"""),"P2_038")</f>
        <v>P2_038</v>
      </c>
      <c r="I575" s="1" t="str">
        <f ca="1">IFERROR(__xludf.DUMMYFUNCTION("""COMPUTED_VALUE"""),"Uri")</f>
        <v>Uri</v>
      </c>
    </row>
    <row r="576" spans="1:9" ht="12.7" x14ac:dyDescent="0.4">
      <c r="A576" s="2">
        <f ca="1">IFERROR(__xludf.DUMMYFUNCTION("""COMPUTED_VALUE"""),45533.0167124652)</f>
        <v>45533.0167124652</v>
      </c>
      <c r="B576" s="1" t="str">
        <f ca="1">IFERROR(__xludf.DUMMYFUNCTION("""COMPUTED_VALUE"""),"領料")</f>
        <v>領料</v>
      </c>
      <c r="C576" s="1" t="str">
        <f ca="1">IFERROR(__xludf.DUMMYFUNCTION("""COMPUTED_VALUE"""),"ME0070000140")</f>
        <v>ME0070000140</v>
      </c>
      <c r="D576" s="1" t="str">
        <f ca="1">IFERROR(__xludf.DUMMYFUNCTION("""COMPUTED_VALUE"""),"All/BA")</f>
        <v>All/BA</v>
      </c>
      <c r="E576" s="1" t="str">
        <f ca="1">IFERROR(__xludf.DUMMYFUNCTION("""COMPUTED_VALUE"""),"p2/庫存")</f>
        <v>p2/庫存</v>
      </c>
      <c r="F576" s="1">
        <f ca="1">IFERROR(__xludf.DUMMYFUNCTION("""COMPUTED_VALUE"""),1)</f>
        <v>1</v>
      </c>
      <c r="G576" s="1" t="str">
        <f ca="1">IFERROR(__xludf.DUMMYFUNCTION("""COMPUTED_VALUE"""),"100A-2522c00083-2208")</f>
        <v>100A-2522c00083-2208</v>
      </c>
      <c r="H576" s="1" t="str">
        <f ca="1">IFERROR(__xludf.DUMMYFUNCTION("""COMPUTED_VALUE"""),"P2_038")</f>
        <v>P2_038</v>
      </c>
      <c r="I576" s="1" t="str">
        <f ca="1">IFERROR(__xludf.DUMMYFUNCTION("""COMPUTED_VALUE"""),"Uri")</f>
        <v>Uri</v>
      </c>
    </row>
    <row r="577" spans="1:9" ht="12.7" x14ac:dyDescent="0.4">
      <c r="A577" s="2">
        <f ca="1">IFERROR(__xludf.DUMMYFUNCTION("""COMPUTED_VALUE"""),45533.2765409143)</f>
        <v>45533.276540914303</v>
      </c>
      <c r="B577" s="1" t="str">
        <f ca="1">IFERROR(__xludf.DUMMYFUNCTION("""COMPUTED_VALUE"""),"領料")</f>
        <v>領料</v>
      </c>
      <c r="C577" s="1" t="str">
        <f ca="1">IFERROR(__xludf.DUMMYFUNCTION("""COMPUTED_VALUE"""),"MM0260000077")</f>
        <v>MM0260000077</v>
      </c>
      <c r="D577" s="1" t="str">
        <f ca="1">IFERROR(__xludf.DUMMYFUNCTION("""COMPUTED_VALUE"""),"All/BA")</f>
        <v>All/BA</v>
      </c>
      <c r="E577" s="1" t="str">
        <f ca="1">IFERROR(__xludf.DUMMYFUNCTION("""COMPUTED_VALUE"""),"p1/庫存")</f>
        <v>p1/庫存</v>
      </c>
      <c r="F577" s="1">
        <f ca="1">IFERROR(__xludf.DUMMYFUNCTION("""COMPUTED_VALUE"""),16)</f>
        <v>16</v>
      </c>
      <c r="G577" s="1"/>
      <c r="H577" s="1" t="str">
        <f ca="1">IFERROR(__xludf.DUMMYFUNCTION("""COMPUTED_VALUE"""),"P1")</f>
        <v>P1</v>
      </c>
      <c r="I577" s="1" t="str">
        <f ca="1">IFERROR(__xludf.DUMMYFUNCTION("""COMPUTED_VALUE"""),"Simon")</f>
        <v>Simon</v>
      </c>
    </row>
    <row r="578" spans="1:9" ht="12.7" x14ac:dyDescent="0.4">
      <c r="A578" s="2">
        <f ca="1">IFERROR(__xludf.DUMMYFUNCTION("""COMPUTED_VALUE"""),45533.2802969328)</f>
        <v>45533.280296932797</v>
      </c>
      <c r="B578" s="1" t="str">
        <f ca="1">IFERROR(__xludf.DUMMYFUNCTION("""COMPUTED_VALUE"""),"領料")</f>
        <v>領料</v>
      </c>
      <c r="C578" s="1" t="str">
        <f ca="1">IFERROR(__xludf.DUMMYFUNCTION("""COMPUTED_VALUE"""),"ME0070000140")</f>
        <v>ME0070000140</v>
      </c>
      <c r="D578" s="1" t="str">
        <f ca="1">IFERROR(__xludf.DUMMYFUNCTION("""COMPUTED_VALUE"""),"All/BA")</f>
        <v>All/BA</v>
      </c>
      <c r="E578" s="1" t="str">
        <f ca="1">IFERROR(__xludf.DUMMYFUNCTION("""COMPUTED_VALUE"""),"p1/庫存")</f>
        <v>p1/庫存</v>
      </c>
      <c r="F578" s="1">
        <f ca="1">IFERROR(__xludf.DUMMYFUNCTION("""COMPUTED_VALUE"""),1)</f>
        <v>1</v>
      </c>
      <c r="G578" s="1" t="str">
        <f ca="1">IFERROR(__xludf.DUMMYFUNCTION("""COMPUTED_VALUE"""),"100A-2522C0064-2204")</f>
        <v>100A-2522C0064-2204</v>
      </c>
      <c r="H578" s="1" t="str">
        <f ca="1">IFERROR(__xludf.DUMMYFUNCTION("""COMPUTED_VALUE"""),"P1_017")</f>
        <v>P1_017</v>
      </c>
      <c r="I578" s="1" t="str">
        <f ca="1">IFERROR(__xludf.DUMMYFUNCTION("""COMPUTED_VALUE"""),"Simon")</f>
        <v>Simon</v>
      </c>
    </row>
    <row r="579" spans="1:9" ht="12.7" x14ac:dyDescent="0.4">
      <c r="A579" s="2">
        <f ca="1">IFERROR(__xludf.DUMMYFUNCTION("""COMPUTED_VALUE"""),45533.2817710879)</f>
        <v>45533.281771087903</v>
      </c>
      <c r="B579" s="1" t="str">
        <f ca="1">IFERROR(__xludf.DUMMYFUNCTION("""COMPUTED_VALUE"""),"料件上線時間")</f>
        <v>料件上線時間</v>
      </c>
      <c r="C579" s="1" t="str">
        <f ca="1">IFERROR(__xludf.DUMMYFUNCTION("""COMPUTED_VALUE"""),"ME0070000140")</f>
        <v>ME0070000140</v>
      </c>
      <c r="D579" s="1" t="str">
        <f ca="1">IFERROR(__xludf.DUMMYFUNCTION("""COMPUTED_VALUE"""),"All/BA")</f>
        <v>All/BA</v>
      </c>
      <c r="E579" s="1" t="str">
        <f ca="1">IFERROR(__xludf.DUMMYFUNCTION("""COMPUTED_VALUE"""),"p1/庫存")</f>
        <v>p1/庫存</v>
      </c>
      <c r="F579" s="1">
        <f ca="1">IFERROR(__xludf.DUMMYFUNCTION("""COMPUTED_VALUE"""),1)</f>
        <v>1</v>
      </c>
      <c r="G579" s="1" t="str">
        <f ca="1">IFERROR(__xludf.DUMMYFUNCTION("""COMPUTED_VALUE"""),"100A-2522C0001-2207")</f>
        <v>100A-2522C0001-2207</v>
      </c>
      <c r="H579" s="1" t="str">
        <f ca="1">IFERROR(__xludf.DUMMYFUNCTION("""COMPUTED_VALUE"""),"P1_017")</f>
        <v>P1_017</v>
      </c>
      <c r="I579" s="1" t="str">
        <f ca="1">IFERROR(__xludf.DUMMYFUNCTION("""COMPUTED_VALUE"""),"Simon")</f>
        <v>Simon</v>
      </c>
    </row>
    <row r="580" spans="1:9" ht="12.7" x14ac:dyDescent="0.4">
      <c r="A580" s="2">
        <f ca="1">IFERROR(__xludf.DUMMYFUNCTION("""COMPUTED_VALUE"""),45533.5566267245)</f>
        <v>45533.556626724501</v>
      </c>
      <c r="B580" s="1" t="str">
        <f ca="1">IFERROR(__xludf.DUMMYFUNCTION("""COMPUTED_VALUE"""),"送修")</f>
        <v>送修</v>
      </c>
      <c r="C580" s="1" t="str">
        <f ca="1">IFERROR(__xludf.DUMMYFUNCTION("""COMPUTED_VALUE"""),"ME0020000525")</f>
        <v>ME0020000525</v>
      </c>
      <c r="D580" s="1" t="str">
        <f ca="1">IFERROR(__xludf.DUMMYFUNCTION("""COMPUTED_VALUE"""),"All/共用")</f>
        <v>All/共用</v>
      </c>
      <c r="E580" s="1" t="str">
        <f ca="1">IFERROR(__xludf.DUMMYFUNCTION("""COMPUTED_VALUE"""),"p1/庫存")</f>
        <v>p1/庫存</v>
      </c>
      <c r="F580" s="1">
        <f ca="1">IFERROR(__xludf.DUMMYFUNCTION("""COMPUTED_VALUE"""),1)</f>
        <v>1</v>
      </c>
      <c r="G580" s="1" t="str">
        <f ca="1">IFERROR(__xludf.DUMMYFUNCTION("""COMPUTED_VALUE"""),"2223E63961EE")</f>
        <v>2223E63961EE</v>
      </c>
      <c r="H580" s="1" t="str">
        <f ca="1">IFERROR(__xludf.DUMMYFUNCTION("""COMPUTED_VALUE"""),"P1_021")</f>
        <v>P1_021</v>
      </c>
      <c r="I580" s="1" t="str">
        <f ca="1">IFERROR(__xludf.DUMMYFUNCTION("""COMPUTED_VALUE"""),"Chiao Yu")</f>
        <v>Chiao Yu</v>
      </c>
    </row>
    <row r="581" spans="1:9" ht="12.7" x14ac:dyDescent="0.4">
      <c r="A581" s="2">
        <f ca="1">IFERROR(__xludf.DUMMYFUNCTION("""COMPUTED_VALUE"""),45533.5575698379)</f>
        <v>45533.557569837903</v>
      </c>
      <c r="B581" s="1" t="str">
        <f ca="1">IFERROR(__xludf.DUMMYFUNCTION("""COMPUTED_VALUE"""),"料件上線時間")</f>
        <v>料件上線時間</v>
      </c>
      <c r="C581" s="1" t="str">
        <f ca="1">IFERROR(__xludf.DUMMYFUNCTION("""COMPUTED_VALUE"""),"ME0020000525")</f>
        <v>ME0020000525</v>
      </c>
      <c r="D581" s="1" t="str">
        <f ca="1">IFERROR(__xludf.DUMMYFUNCTION("""COMPUTED_VALUE"""),"All/共用")</f>
        <v>All/共用</v>
      </c>
      <c r="E581" s="1" t="str">
        <f ca="1">IFERROR(__xludf.DUMMYFUNCTION("""COMPUTED_VALUE"""),"p1/庫存")</f>
        <v>p1/庫存</v>
      </c>
      <c r="F581" s="1">
        <f ca="1">IFERROR(__xludf.DUMMYFUNCTION("""COMPUTED_VALUE"""),1)</f>
        <v>1</v>
      </c>
      <c r="G581" s="1" t="str">
        <f ca="1">IFERROR(__xludf.DUMMYFUNCTION("""COMPUTED_VALUE"""),"2228E6499385")</f>
        <v>2228E6499385</v>
      </c>
      <c r="H581" s="1" t="str">
        <f ca="1">IFERROR(__xludf.DUMMYFUNCTION("""COMPUTED_VALUE"""),"P1_021")</f>
        <v>P1_021</v>
      </c>
      <c r="I581" s="1" t="str">
        <f ca="1">IFERROR(__xludf.DUMMYFUNCTION("""COMPUTED_VALUE"""),"Chiao Yu")</f>
        <v>Chiao Yu</v>
      </c>
    </row>
    <row r="582" spans="1:9" ht="12.7" x14ac:dyDescent="0.4">
      <c r="A582" s="2">
        <f ca="1">IFERROR(__xludf.DUMMYFUNCTION("""COMPUTED_VALUE"""),45533.5923824074)</f>
        <v>45533.592382407398</v>
      </c>
      <c r="B582" s="1" t="str">
        <f ca="1">IFERROR(__xludf.DUMMYFUNCTION("""COMPUTED_VALUE"""),"進貨")</f>
        <v>進貨</v>
      </c>
      <c r="C582" s="1" t="str">
        <f ca="1">IFERROR(__xludf.DUMMYFUNCTION("""COMPUTED_VALUE"""),"MM0260000077")</f>
        <v>MM0260000077</v>
      </c>
      <c r="D582" s="1" t="str">
        <f ca="1">IFERROR(__xludf.DUMMYFUNCTION("""COMPUTED_VALUE"""),"All/BA")</f>
        <v>All/BA</v>
      </c>
      <c r="E582" s="1" t="str">
        <f ca="1">IFERROR(__xludf.DUMMYFUNCTION("""COMPUTED_VALUE"""),"p1/庫存")</f>
        <v>p1/庫存</v>
      </c>
      <c r="F582" s="1">
        <f ca="1">IFERROR(__xludf.DUMMYFUNCTION("""COMPUTED_VALUE"""),17)</f>
        <v>17</v>
      </c>
      <c r="G582" s="1"/>
      <c r="H582" s="1" t="str">
        <f ca="1">IFERROR(__xludf.DUMMYFUNCTION("""COMPUTED_VALUE"""),"P1")</f>
        <v>P1</v>
      </c>
      <c r="I582" s="1" t="str">
        <f ca="1">IFERROR(__xludf.DUMMYFUNCTION("""COMPUTED_VALUE"""),"Chiao Yu")</f>
        <v>Chiao Yu</v>
      </c>
    </row>
    <row r="583" spans="1:9" ht="12.7" x14ac:dyDescent="0.4">
      <c r="A583" s="2">
        <f ca="1">IFERROR(__xludf.DUMMYFUNCTION("""COMPUTED_VALUE"""),45533.5934223032)</f>
        <v>45533.593422303202</v>
      </c>
      <c r="B583" s="1" t="str">
        <f ca="1">IFERROR(__xludf.DUMMYFUNCTION("""COMPUTED_VALUE"""),"庫存調整")</f>
        <v>庫存調整</v>
      </c>
      <c r="C583" s="1" t="str">
        <f ca="1">IFERROR(__xludf.DUMMYFUNCTION("""COMPUTED_VALUE"""),"MM0260000077")</f>
        <v>MM0260000077</v>
      </c>
      <c r="D583" s="1" t="str">
        <f ca="1">IFERROR(__xludf.DUMMYFUNCTION("""COMPUTED_VALUE"""),"All/BA")</f>
        <v>All/BA</v>
      </c>
      <c r="E583" s="1" t="str">
        <f ca="1">IFERROR(__xludf.DUMMYFUNCTION("""COMPUTED_VALUE"""),"p1/庫存")</f>
        <v>p1/庫存</v>
      </c>
      <c r="F583" s="1">
        <f ca="1">IFERROR(__xludf.DUMMYFUNCTION("""COMPUTED_VALUE"""),4)</f>
        <v>4</v>
      </c>
      <c r="G583" s="1"/>
      <c r="H583" s="1" t="str">
        <f ca="1">IFERROR(__xludf.DUMMYFUNCTION("""COMPUTED_VALUE"""),"P1")</f>
        <v>P1</v>
      </c>
      <c r="I583" s="1" t="str">
        <f ca="1">IFERROR(__xludf.DUMMYFUNCTION("""COMPUTED_VALUE"""),"Chiao Yu")</f>
        <v>Chiao Yu</v>
      </c>
    </row>
    <row r="584" spans="1:9" ht="12.7" x14ac:dyDescent="0.4">
      <c r="A584" s="2">
        <f ca="1">IFERROR(__xludf.DUMMYFUNCTION("""COMPUTED_VALUE"""),45533.5939439699)</f>
        <v>45533.5939439699</v>
      </c>
      <c r="B584" s="1" t="str">
        <f ca="1">IFERROR(__xludf.DUMMYFUNCTION("""COMPUTED_VALUE"""),"庫存調整")</f>
        <v>庫存調整</v>
      </c>
      <c r="C584" s="1" t="str">
        <f ca="1">IFERROR(__xludf.DUMMYFUNCTION("""COMPUTED_VALUE"""),"MM0260000077")</f>
        <v>MM0260000077</v>
      </c>
      <c r="D584" s="1" t="str">
        <f ca="1">IFERROR(__xludf.DUMMYFUNCTION("""COMPUTED_VALUE"""),"All/BA")</f>
        <v>All/BA</v>
      </c>
      <c r="E584" s="1" t="str">
        <f ca="1">IFERROR(__xludf.DUMMYFUNCTION("""COMPUTED_VALUE"""),"p2/庫存")</f>
        <v>p2/庫存</v>
      </c>
      <c r="F584" s="1">
        <f ca="1">IFERROR(__xludf.DUMMYFUNCTION("""COMPUTED_VALUE"""),-4)</f>
        <v>-4</v>
      </c>
      <c r="G584" s="1"/>
      <c r="H584" s="1" t="str">
        <f ca="1">IFERROR(__xludf.DUMMYFUNCTION("""COMPUTED_VALUE"""),"P2")</f>
        <v>P2</v>
      </c>
      <c r="I584" s="1" t="str">
        <f ca="1">IFERROR(__xludf.DUMMYFUNCTION("""COMPUTED_VALUE"""),"Chiao Yu")</f>
        <v>Chiao Yu</v>
      </c>
    </row>
    <row r="585" spans="1:9" ht="12.7" x14ac:dyDescent="0.4">
      <c r="A585" s="2">
        <f ca="1">IFERROR(__xludf.DUMMYFUNCTION("""COMPUTED_VALUE"""),45533.5945651851)</f>
        <v>45533.5945651851</v>
      </c>
      <c r="B585" s="1" t="str">
        <f ca="1">IFERROR(__xludf.DUMMYFUNCTION("""COMPUTED_VALUE"""),"進貨")</f>
        <v>進貨</v>
      </c>
      <c r="C585" s="1" t="str">
        <f ca="1">IFERROR(__xludf.DUMMYFUNCTION("""COMPUTED_VALUE"""),"MM0260000249")</f>
        <v>MM0260000249</v>
      </c>
      <c r="D585" s="1" t="str">
        <f ca="1">IFERROR(__xludf.DUMMYFUNCTION("""COMPUTED_VALUE"""),"All/RL")</f>
        <v>All/RL</v>
      </c>
      <c r="E585" s="1" t="str">
        <f ca="1">IFERROR(__xludf.DUMMYFUNCTION("""COMPUTED_VALUE"""),"p2/庫存")</f>
        <v>p2/庫存</v>
      </c>
      <c r="F585" s="1">
        <f ca="1">IFERROR(__xludf.DUMMYFUNCTION("""COMPUTED_VALUE"""),6)</f>
        <v>6</v>
      </c>
      <c r="G585" s="1"/>
      <c r="H585" s="1" t="str">
        <f ca="1">IFERROR(__xludf.DUMMYFUNCTION("""COMPUTED_VALUE"""),"P2")</f>
        <v>P2</v>
      </c>
      <c r="I585" s="1" t="str">
        <f ca="1">IFERROR(__xludf.DUMMYFUNCTION("""COMPUTED_VALUE"""),"Chiao Yu")</f>
        <v>Chiao Yu</v>
      </c>
    </row>
    <row r="586" spans="1:9" ht="12.7" x14ac:dyDescent="0.4">
      <c r="A586" s="2">
        <f ca="1">IFERROR(__xludf.DUMMYFUNCTION("""COMPUTED_VALUE"""),45533.6212603356)</f>
        <v>45533.621260335603</v>
      </c>
      <c r="B586" s="1" t="str">
        <f ca="1">IFERROR(__xludf.DUMMYFUNCTION("""COMPUTED_VALUE"""),"領料")</f>
        <v>領料</v>
      </c>
      <c r="C586" s="1" t="str">
        <f ca="1">IFERROR(__xludf.DUMMYFUNCTION("""COMPUTED_VALUE"""),"MM0260000249")</f>
        <v>MM0260000249</v>
      </c>
      <c r="D586" s="1" t="str">
        <f ca="1">IFERROR(__xludf.DUMMYFUNCTION("""COMPUTED_VALUE"""),"All/RL")</f>
        <v>All/RL</v>
      </c>
      <c r="E586" s="1" t="str">
        <f ca="1">IFERROR(__xludf.DUMMYFUNCTION("""COMPUTED_VALUE"""),"p2/庫存")</f>
        <v>p2/庫存</v>
      </c>
      <c r="F586" s="1">
        <f ca="1">IFERROR(__xludf.DUMMYFUNCTION("""COMPUTED_VALUE"""),0)</f>
        <v>0</v>
      </c>
      <c r="G586" s="1"/>
      <c r="H586" s="1" t="str">
        <f ca="1">IFERROR(__xludf.DUMMYFUNCTION("""COMPUTED_VALUE"""),"P2")</f>
        <v>P2</v>
      </c>
      <c r="I586" s="1" t="str">
        <f ca="1">IFERROR(__xludf.DUMMYFUNCTION("""COMPUTED_VALUE"""),"Chiao Yu")</f>
        <v>Chiao Yu</v>
      </c>
    </row>
    <row r="587" spans="1:9" ht="12.7" x14ac:dyDescent="0.4">
      <c r="A587" s="2">
        <f ca="1">IFERROR(__xludf.DUMMYFUNCTION("""COMPUTED_VALUE"""),45533.62346228)</f>
        <v>45533.623462279997</v>
      </c>
      <c r="B587" s="1" t="str">
        <f ca="1">IFERROR(__xludf.DUMMYFUNCTION("""COMPUTED_VALUE"""),"進貨")</f>
        <v>進貨</v>
      </c>
      <c r="C587" s="1" t="str">
        <f ca="1">IFERROR(__xludf.DUMMYFUNCTION("""COMPUTED_VALUE"""),"ME0270001131")</f>
        <v>ME0270001131</v>
      </c>
      <c r="D587" s="1" t="str">
        <f ca="1">IFERROR(__xludf.DUMMYFUNCTION("""COMPUTED_VALUE"""),"All/共用")</f>
        <v>All/共用</v>
      </c>
      <c r="E587" s="1" t="str">
        <f ca="1">IFERROR(__xludf.DUMMYFUNCTION("""COMPUTED_VALUE"""),"p2/庫存")</f>
        <v>p2/庫存</v>
      </c>
      <c r="F587" s="1">
        <f ca="1">IFERROR(__xludf.DUMMYFUNCTION("""COMPUTED_VALUE"""),1)</f>
        <v>1</v>
      </c>
      <c r="G587" s="1"/>
      <c r="H587" s="1" t="str">
        <f ca="1">IFERROR(__xludf.DUMMYFUNCTION("""COMPUTED_VALUE"""),"P2")</f>
        <v>P2</v>
      </c>
      <c r="I587" s="1" t="str">
        <f ca="1">IFERROR(__xludf.DUMMYFUNCTION("""COMPUTED_VALUE"""),"Chiao Yu")</f>
        <v>Chiao Yu</v>
      </c>
    </row>
    <row r="588" spans="1:9" ht="12.7" x14ac:dyDescent="0.4">
      <c r="A588" s="2">
        <f ca="1">IFERROR(__xludf.DUMMYFUNCTION("""COMPUTED_VALUE"""),45534.1282051157)</f>
        <v>45534.128205115703</v>
      </c>
      <c r="B588" s="1" t="str">
        <f ca="1">IFERROR(__xludf.DUMMYFUNCTION("""COMPUTED_VALUE"""),"送修")</f>
        <v>送修</v>
      </c>
      <c r="C588" s="1" t="str">
        <f ca="1">IFERROR(__xludf.DUMMYFUNCTION("""COMPUTED_VALUE"""),"ME0020000525")</f>
        <v>ME0020000525</v>
      </c>
      <c r="D588" s="1" t="str">
        <f ca="1">IFERROR(__xludf.DUMMYFUNCTION("""COMPUTED_VALUE"""),"All/共用")</f>
        <v>All/共用</v>
      </c>
      <c r="E588" s="1" t="str">
        <f ca="1">IFERROR(__xludf.DUMMYFUNCTION("""COMPUTED_VALUE"""),"p1/庫存")</f>
        <v>p1/庫存</v>
      </c>
      <c r="F588" s="1">
        <f ca="1">IFERROR(__xludf.DUMMYFUNCTION("""COMPUTED_VALUE"""),1)</f>
        <v>1</v>
      </c>
      <c r="G588" s="1" t="str">
        <f ca="1">IFERROR(__xludf.DUMMYFUNCTION("""COMPUTED_VALUE"""),"228E6499385")</f>
        <v>228E6499385</v>
      </c>
      <c r="H588" s="1" t="str">
        <f ca="1">IFERROR(__xludf.DUMMYFUNCTION("""COMPUTED_VALUE"""),"P1_021")</f>
        <v>P1_021</v>
      </c>
      <c r="I588" s="1" t="str">
        <f ca="1">IFERROR(__xludf.DUMMYFUNCTION("""COMPUTED_VALUE"""),"Simon")</f>
        <v>Simon</v>
      </c>
    </row>
    <row r="589" spans="1:9" ht="12.7" x14ac:dyDescent="0.4">
      <c r="A589" s="2">
        <f ca="1">IFERROR(__xludf.DUMMYFUNCTION("""COMPUTED_VALUE"""),45534.1290579166)</f>
        <v>45534.129057916602</v>
      </c>
      <c r="B589" s="1" t="str">
        <f ca="1">IFERROR(__xludf.DUMMYFUNCTION("""COMPUTED_VALUE"""),"料件上線時間")</f>
        <v>料件上線時間</v>
      </c>
      <c r="C589" s="1" t="str">
        <f ca="1">IFERROR(__xludf.DUMMYFUNCTION("""COMPUTED_VALUE"""),"ME0020000525")</f>
        <v>ME0020000525</v>
      </c>
      <c r="D589" s="1" t="str">
        <f ca="1">IFERROR(__xludf.DUMMYFUNCTION("""COMPUTED_VALUE"""),"All/共用")</f>
        <v>All/共用</v>
      </c>
      <c r="E589" s="1" t="str">
        <f ca="1">IFERROR(__xludf.DUMMYFUNCTION("""COMPUTED_VALUE"""),"p1/庫存")</f>
        <v>p1/庫存</v>
      </c>
      <c r="F589" s="1">
        <f ca="1">IFERROR(__xludf.DUMMYFUNCTION("""COMPUTED_VALUE"""),1)</f>
        <v>1</v>
      </c>
      <c r="G589" s="1" t="str">
        <f ca="1">IFERROR(__xludf.DUMMYFUNCTION("""COMPUTED_VALUE"""),"2412E8A0C020")</f>
        <v>2412E8A0C020</v>
      </c>
      <c r="H589" s="1" t="str">
        <f ca="1">IFERROR(__xludf.DUMMYFUNCTION("""COMPUTED_VALUE"""),"P1_021")</f>
        <v>P1_021</v>
      </c>
      <c r="I589" s="1" t="str">
        <f ca="1">IFERROR(__xludf.DUMMYFUNCTION("""COMPUTED_VALUE"""),"Simon")</f>
        <v>Simon</v>
      </c>
    </row>
    <row r="590" spans="1:9" ht="12.7" x14ac:dyDescent="0.4">
      <c r="A590" s="2">
        <f ca="1">IFERROR(__xludf.DUMMYFUNCTION("""COMPUTED_VALUE"""),45534.2472611458)</f>
        <v>45534.2472611458</v>
      </c>
      <c r="B590" s="1" t="str">
        <f ca="1">IFERROR(__xludf.DUMMYFUNCTION("""COMPUTED_VALUE"""),"領料")</f>
        <v>領料</v>
      </c>
      <c r="C590" s="1" t="str">
        <f ca="1">IFERROR(__xludf.DUMMYFUNCTION("""COMPUTED_VALUE"""),"AGT000000005")</f>
        <v>AGT000000005</v>
      </c>
      <c r="D590" s="1" t="str">
        <f ca="1">IFERROR(__xludf.DUMMYFUNCTION("""COMPUTED_VALUE"""),"All/共用")</f>
        <v>All/共用</v>
      </c>
      <c r="E590" s="1" t="str">
        <f ca="1">IFERROR(__xludf.DUMMYFUNCTION("""COMPUTED_VALUE"""),"p1/庫存")</f>
        <v>p1/庫存</v>
      </c>
      <c r="F590" s="1">
        <f ca="1">IFERROR(__xludf.DUMMYFUNCTION("""COMPUTED_VALUE"""),1)</f>
        <v>1</v>
      </c>
      <c r="G590" s="1"/>
      <c r="H590" s="1" t="str">
        <f ca="1">IFERROR(__xludf.DUMMYFUNCTION("""COMPUTED_VALUE"""),"P1_028")</f>
        <v>P1_028</v>
      </c>
      <c r="I590" s="1" t="str">
        <f ca="1">IFERROR(__xludf.DUMMYFUNCTION("""COMPUTED_VALUE"""),"Simon")</f>
        <v>Simon</v>
      </c>
    </row>
    <row r="591" spans="1:9" ht="12.7" x14ac:dyDescent="0.4">
      <c r="A591" s="2">
        <f ca="1">IFERROR(__xludf.DUMMYFUNCTION("""COMPUTED_VALUE"""),45534.2535933912)</f>
        <v>45534.2535933912</v>
      </c>
      <c r="B591" s="1" t="str">
        <f ca="1">IFERROR(__xludf.DUMMYFUNCTION("""COMPUTED_VALUE"""),"領料")</f>
        <v>領料</v>
      </c>
      <c r="C591" s="1" t="str">
        <f ca="1">IFERROR(__xludf.DUMMYFUNCTION("""COMPUTED_VALUE"""),"MM0260000077")</f>
        <v>MM0260000077</v>
      </c>
      <c r="D591" s="1" t="str">
        <f ca="1">IFERROR(__xludf.DUMMYFUNCTION("""COMPUTED_VALUE"""),"All/BA")</f>
        <v>All/BA</v>
      </c>
      <c r="E591" s="1" t="str">
        <f ca="1">IFERROR(__xludf.DUMMYFUNCTION("""COMPUTED_VALUE"""),"p1/庫存")</f>
        <v>p1/庫存</v>
      </c>
      <c r="F591" s="1">
        <f ca="1">IFERROR(__xludf.DUMMYFUNCTION("""COMPUTED_VALUE"""),20)</f>
        <v>20</v>
      </c>
      <c r="G591" s="1"/>
      <c r="H591" s="1" t="str">
        <f ca="1">IFERROR(__xludf.DUMMYFUNCTION("""COMPUTED_VALUE"""),"P1")</f>
        <v>P1</v>
      </c>
      <c r="I591" s="1" t="str">
        <f ca="1">IFERROR(__xludf.DUMMYFUNCTION("""COMPUTED_VALUE"""),"Simon")</f>
        <v>Simon</v>
      </c>
    </row>
    <row r="592" spans="1:9" ht="12.7" x14ac:dyDescent="0.4">
      <c r="A592" s="2">
        <f ca="1">IFERROR(__xludf.DUMMYFUNCTION("""COMPUTED_VALUE"""),45534.3453954398)</f>
        <v>45534.345395439799</v>
      </c>
      <c r="B592" s="1" t="str">
        <f ca="1">IFERROR(__xludf.DUMMYFUNCTION("""COMPUTED_VALUE"""),"領料")</f>
        <v>領料</v>
      </c>
      <c r="C592" s="1" t="str">
        <f ca="1">IFERROR(__xludf.DUMMYFUNCTION("""COMPUTED_VALUE"""),"ME0060000277")</f>
        <v>ME0060000277</v>
      </c>
      <c r="D592" s="1" t="str">
        <f ca="1">IFERROR(__xludf.DUMMYFUNCTION("""COMPUTED_VALUE"""),"All/共用")</f>
        <v>All/共用</v>
      </c>
      <c r="E592" s="1" t="str">
        <f ca="1">IFERROR(__xludf.DUMMYFUNCTION("""COMPUTED_VALUE"""),"p1/庫存")</f>
        <v>p1/庫存</v>
      </c>
      <c r="F592" s="1">
        <f ca="1">IFERROR(__xludf.DUMMYFUNCTION("""COMPUTED_VALUE"""),1)</f>
        <v>1</v>
      </c>
      <c r="G592" s="1"/>
      <c r="H592" s="1" t="str">
        <f ca="1">IFERROR(__xludf.DUMMYFUNCTION("""COMPUTED_VALUE"""),"P1_028")</f>
        <v>P1_028</v>
      </c>
      <c r="I592" s="1" t="str">
        <f ca="1">IFERROR(__xludf.DUMMYFUNCTION("""COMPUTED_VALUE"""),"Simon")</f>
        <v>Simon</v>
      </c>
    </row>
    <row r="593" spans="1:9" ht="12.7" x14ac:dyDescent="0.4">
      <c r="A593" s="2">
        <f ca="1">IFERROR(__xludf.DUMMYFUNCTION("""COMPUTED_VALUE"""),45534.5818843634)</f>
        <v>45534.581884363397</v>
      </c>
      <c r="B593" s="1" t="str">
        <f ca="1">IFERROR(__xludf.DUMMYFUNCTION("""COMPUTED_VALUE"""),"庫存調整")</f>
        <v>庫存調整</v>
      </c>
      <c r="C593" s="1" t="str">
        <f ca="1">IFERROR(__xludf.DUMMYFUNCTION("""COMPUTED_VALUE"""),"ME0020000525")</f>
        <v>ME0020000525</v>
      </c>
      <c r="D593" s="1" t="str">
        <f ca="1">IFERROR(__xludf.DUMMYFUNCTION("""COMPUTED_VALUE"""),"All/共用")</f>
        <v>All/共用</v>
      </c>
      <c r="E593" s="1" t="str">
        <f ca="1">IFERROR(__xludf.DUMMYFUNCTION("""COMPUTED_VALUE"""),"p2/庫存")</f>
        <v>p2/庫存</v>
      </c>
      <c r="F593" s="1">
        <f ca="1">IFERROR(__xludf.DUMMYFUNCTION("""COMPUTED_VALUE"""),-1)</f>
        <v>-1</v>
      </c>
      <c r="G593" s="1"/>
      <c r="H593" s="1" t="str">
        <f ca="1">IFERROR(__xludf.DUMMYFUNCTION("""COMPUTED_VALUE"""),"P2")</f>
        <v>P2</v>
      </c>
      <c r="I593" s="1" t="str">
        <f ca="1">IFERROR(__xludf.DUMMYFUNCTION("""COMPUTED_VALUE"""),"Chiao Yu")</f>
        <v>Chiao Yu</v>
      </c>
    </row>
    <row r="594" spans="1:9" ht="12.7" x14ac:dyDescent="0.4">
      <c r="A594" s="2">
        <f ca="1">IFERROR(__xludf.DUMMYFUNCTION("""COMPUTED_VALUE"""),45534.5824704398)</f>
        <v>45534.582470439796</v>
      </c>
      <c r="B594" s="1" t="str">
        <f ca="1">IFERROR(__xludf.DUMMYFUNCTION("""COMPUTED_VALUE"""),"庫存調整")</f>
        <v>庫存調整</v>
      </c>
      <c r="C594" s="1" t="str">
        <f ca="1">IFERROR(__xludf.DUMMYFUNCTION("""COMPUTED_VALUE"""),"ME0020000525")</f>
        <v>ME0020000525</v>
      </c>
      <c r="D594" s="1" t="str">
        <f ca="1">IFERROR(__xludf.DUMMYFUNCTION("""COMPUTED_VALUE"""),"All/共用")</f>
        <v>All/共用</v>
      </c>
      <c r="E594" s="1" t="str">
        <f ca="1">IFERROR(__xludf.DUMMYFUNCTION("""COMPUTED_VALUE"""),"p1/庫存")</f>
        <v>p1/庫存</v>
      </c>
      <c r="F594" s="1">
        <f ca="1">IFERROR(__xludf.DUMMYFUNCTION("""COMPUTED_VALUE"""),1)</f>
        <v>1</v>
      </c>
      <c r="G594" s="1"/>
      <c r="H594" s="1" t="str">
        <f ca="1">IFERROR(__xludf.DUMMYFUNCTION("""COMPUTED_VALUE"""),"P1")</f>
        <v>P1</v>
      </c>
      <c r="I594" s="1" t="str">
        <f ca="1">IFERROR(__xludf.DUMMYFUNCTION("""COMPUTED_VALUE"""),"Chiao Yu")</f>
        <v>Chiao Yu</v>
      </c>
    </row>
    <row r="595" spans="1:9" ht="12.7" x14ac:dyDescent="0.4">
      <c r="A595" s="2">
        <f ca="1">IFERROR(__xludf.DUMMYFUNCTION("""COMPUTED_VALUE"""),45537.8570459259)</f>
        <v>45537.857045925899</v>
      </c>
      <c r="B595" s="1" t="str">
        <f ca="1">IFERROR(__xludf.DUMMYFUNCTION("""COMPUTED_VALUE"""),"領料")</f>
        <v>領料</v>
      </c>
      <c r="C595" s="1" t="str">
        <f ca="1">IFERROR(__xludf.DUMMYFUNCTION("""COMPUTED_VALUE"""),"AGT000000009")</f>
        <v>AGT000000009</v>
      </c>
      <c r="D595" s="1" t="str">
        <f ca="1">IFERROR(__xludf.DUMMYFUNCTION("""COMPUTED_VALUE"""),"All/共用")</f>
        <v>All/共用</v>
      </c>
      <c r="E595" s="1" t="str">
        <f ca="1">IFERROR(__xludf.DUMMYFUNCTION("""COMPUTED_VALUE"""),"p1/庫存")</f>
        <v>p1/庫存</v>
      </c>
      <c r="F595" s="1">
        <f ca="1">IFERROR(__xludf.DUMMYFUNCTION("""COMPUTED_VALUE"""),30)</f>
        <v>30</v>
      </c>
      <c r="G595" s="1"/>
      <c r="H595" s="1" t="str">
        <f ca="1">IFERROR(__xludf.DUMMYFUNCTION("""COMPUTED_VALUE"""),"P1")</f>
        <v>P1</v>
      </c>
      <c r="I595" s="1" t="str">
        <f ca="1">IFERROR(__xludf.DUMMYFUNCTION("""COMPUTED_VALUE"""),"Jason")</f>
        <v>Jason</v>
      </c>
    </row>
    <row r="596" spans="1:9" ht="12.7" x14ac:dyDescent="0.4">
      <c r="A596" s="2">
        <f ca="1">IFERROR(__xludf.DUMMYFUNCTION("""COMPUTED_VALUE"""),45537.8579801504)</f>
        <v>45537.857980150402</v>
      </c>
      <c r="B596" s="1" t="str">
        <f ca="1">IFERROR(__xludf.DUMMYFUNCTION("""COMPUTED_VALUE"""),"領料")</f>
        <v>領料</v>
      </c>
      <c r="C596" s="1" t="str">
        <f ca="1">IFERROR(__xludf.DUMMYFUNCTION("""COMPUTED_VALUE"""),"AGT000000010")</f>
        <v>AGT000000010</v>
      </c>
      <c r="D596" s="1" t="str">
        <f ca="1">IFERROR(__xludf.DUMMYFUNCTION("""COMPUTED_VALUE"""),"All/共用")</f>
        <v>All/共用</v>
      </c>
      <c r="E596" s="1" t="str">
        <f ca="1">IFERROR(__xludf.DUMMYFUNCTION("""COMPUTED_VALUE"""),"p1/庫存")</f>
        <v>p1/庫存</v>
      </c>
      <c r="F596" s="1">
        <f ca="1">IFERROR(__xludf.DUMMYFUNCTION("""COMPUTED_VALUE"""),30)</f>
        <v>30</v>
      </c>
      <c r="G596" s="1"/>
      <c r="H596" s="1" t="str">
        <f ca="1">IFERROR(__xludf.DUMMYFUNCTION("""COMPUTED_VALUE"""),"P1")</f>
        <v>P1</v>
      </c>
      <c r="I596" s="1" t="str">
        <f ca="1">IFERROR(__xludf.DUMMYFUNCTION("""COMPUTED_VALUE"""),"Jason")</f>
        <v>Jason</v>
      </c>
    </row>
    <row r="597" spans="1:9" ht="12.7" x14ac:dyDescent="0.4">
      <c r="A597" s="2">
        <f ca="1">IFERROR(__xludf.DUMMYFUNCTION("""COMPUTED_VALUE"""),45538.2886039814)</f>
        <v>45538.288603981397</v>
      </c>
      <c r="B597" s="1" t="str">
        <f ca="1">IFERROR(__xludf.DUMMYFUNCTION("""COMPUTED_VALUE"""),"領料")</f>
        <v>領料</v>
      </c>
      <c r="C597" s="1" t="str">
        <f ca="1">IFERROR(__xludf.DUMMYFUNCTION("""COMPUTED_VALUE"""),"AGT000000009")</f>
        <v>AGT000000009</v>
      </c>
      <c r="D597" s="1" t="str">
        <f ca="1">IFERROR(__xludf.DUMMYFUNCTION("""COMPUTED_VALUE"""),"All/共用")</f>
        <v>All/共用</v>
      </c>
      <c r="E597" s="1" t="str">
        <f ca="1">IFERROR(__xludf.DUMMYFUNCTION("""COMPUTED_VALUE"""),"p1/庫存")</f>
        <v>p1/庫存</v>
      </c>
      <c r="F597" s="1">
        <f ca="1">IFERROR(__xludf.DUMMYFUNCTION("""COMPUTED_VALUE"""),24)</f>
        <v>24</v>
      </c>
      <c r="G597" s="1"/>
      <c r="H597" s="1" t="str">
        <f ca="1">IFERROR(__xludf.DUMMYFUNCTION("""COMPUTED_VALUE"""),"P1")</f>
        <v>P1</v>
      </c>
      <c r="I597" s="1" t="str">
        <f ca="1">IFERROR(__xludf.DUMMYFUNCTION("""COMPUTED_VALUE"""),"Jason")</f>
        <v>Jason</v>
      </c>
    </row>
    <row r="598" spans="1:9" ht="12.7" x14ac:dyDescent="0.4">
      <c r="A598" s="2">
        <f ca="1">IFERROR(__xludf.DUMMYFUNCTION("""COMPUTED_VALUE"""),45538.2896178819)</f>
        <v>45538.289617881899</v>
      </c>
      <c r="B598" s="1" t="str">
        <f ca="1">IFERROR(__xludf.DUMMYFUNCTION("""COMPUTED_VALUE"""),"領料")</f>
        <v>領料</v>
      </c>
      <c r="C598" s="1" t="str">
        <f ca="1">IFERROR(__xludf.DUMMYFUNCTION("""COMPUTED_VALUE"""),"AGT000000010")</f>
        <v>AGT000000010</v>
      </c>
      <c r="D598" s="1" t="str">
        <f ca="1">IFERROR(__xludf.DUMMYFUNCTION("""COMPUTED_VALUE"""),"All/共用")</f>
        <v>All/共用</v>
      </c>
      <c r="E598" s="1" t="str">
        <f ca="1">IFERROR(__xludf.DUMMYFUNCTION("""COMPUTED_VALUE"""),"p1/庫存")</f>
        <v>p1/庫存</v>
      </c>
      <c r="F598" s="1">
        <f ca="1">IFERROR(__xludf.DUMMYFUNCTION("""COMPUTED_VALUE"""),24)</f>
        <v>24</v>
      </c>
      <c r="G598" s="1"/>
      <c r="H598" s="1" t="str">
        <f ca="1">IFERROR(__xludf.DUMMYFUNCTION("""COMPUTED_VALUE"""),"P1")</f>
        <v>P1</v>
      </c>
      <c r="I598" s="1" t="str">
        <f ca="1">IFERROR(__xludf.DUMMYFUNCTION("""COMPUTED_VALUE"""),"Jason")</f>
        <v>Jason</v>
      </c>
    </row>
    <row r="599" spans="1:9" ht="12.7" x14ac:dyDescent="0.4">
      <c r="A599" s="2">
        <f ca="1">IFERROR(__xludf.DUMMYFUNCTION("""COMPUTED_VALUE"""),45538.5047214699)</f>
        <v>45538.504721469901</v>
      </c>
      <c r="B599" s="1" t="str">
        <f ca="1">IFERROR(__xludf.DUMMYFUNCTION("""COMPUTED_VALUE"""),"領料")</f>
        <v>領料</v>
      </c>
      <c r="C599" s="1" t="str">
        <f ca="1">IFERROR(__xludf.DUMMYFUNCTION("""COMPUTED_VALUE"""),"AGT000000009")</f>
        <v>AGT000000009</v>
      </c>
      <c r="D599" s="1" t="str">
        <f ca="1">IFERROR(__xludf.DUMMYFUNCTION("""COMPUTED_VALUE"""),"All/共用")</f>
        <v>All/共用</v>
      </c>
      <c r="E599" s="1" t="str">
        <f ca="1">IFERROR(__xludf.DUMMYFUNCTION("""COMPUTED_VALUE"""),"p1/庫存")</f>
        <v>p1/庫存</v>
      </c>
      <c r="F599" s="1">
        <f ca="1">IFERROR(__xludf.DUMMYFUNCTION("""COMPUTED_VALUE"""),6)</f>
        <v>6</v>
      </c>
      <c r="G599" s="1"/>
      <c r="H599" s="1" t="str">
        <f ca="1">IFERROR(__xludf.DUMMYFUNCTION("""COMPUTED_VALUE"""),"P1")</f>
        <v>P1</v>
      </c>
      <c r="I599" s="1" t="str">
        <f ca="1">IFERROR(__xludf.DUMMYFUNCTION("""COMPUTED_VALUE"""),"Chiao Yu")</f>
        <v>Chiao Yu</v>
      </c>
    </row>
    <row r="600" spans="1:9" ht="12.7" x14ac:dyDescent="0.4">
      <c r="A600" s="2">
        <f ca="1">IFERROR(__xludf.DUMMYFUNCTION("""COMPUTED_VALUE"""),45538.5052552199)</f>
        <v>45538.505255219898</v>
      </c>
      <c r="B600" s="1" t="str">
        <f ca="1">IFERROR(__xludf.DUMMYFUNCTION("""COMPUTED_VALUE"""),"領料")</f>
        <v>領料</v>
      </c>
      <c r="C600" s="1" t="str">
        <f ca="1">IFERROR(__xludf.DUMMYFUNCTION("""COMPUTED_VALUE"""),"AGT000000010")</f>
        <v>AGT000000010</v>
      </c>
      <c r="D600" s="1" t="str">
        <f ca="1">IFERROR(__xludf.DUMMYFUNCTION("""COMPUTED_VALUE"""),"All/共用")</f>
        <v>All/共用</v>
      </c>
      <c r="E600" s="1" t="str">
        <f ca="1">IFERROR(__xludf.DUMMYFUNCTION("""COMPUTED_VALUE"""),"p1/庫存")</f>
        <v>p1/庫存</v>
      </c>
      <c r="F600" s="1">
        <f ca="1">IFERROR(__xludf.DUMMYFUNCTION("""COMPUTED_VALUE"""),6)</f>
        <v>6</v>
      </c>
      <c r="G600" s="1"/>
      <c r="H600" s="1" t="str">
        <f ca="1">IFERROR(__xludf.DUMMYFUNCTION("""COMPUTED_VALUE"""),"P1")</f>
        <v>P1</v>
      </c>
      <c r="I600" s="1" t="str">
        <f ca="1">IFERROR(__xludf.DUMMYFUNCTION("""COMPUTED_VALUE"""),"Chiao Yu")</f>
        <v>Chiao Yu</v>
      </c>
    </row>
    <row r="601" spans="1:9" ht="12.7" x14ac:dyDescent="0.4">
      <c r="A601" s="2">
        <f ca="1">IFERROR(__xludf.DUMMYFUNCTION("""COMPUTED_VALUE"""),45539.2618189699)</f>
        <v>45539.261818969899</v>
      </c>
      <c r="B601" s="1" t="str">
        <f ca="1">IFERROR(__xludf.DUMMYFUNCTION("""COMPUTED_VALUE"""),"領料")</f>
        <v>領料</v>
      </c>
      <c r="C601" s="1" t="str">
        <f ca="1">IFERROR(__xludf.DUMMYFUNCTION("""COMPUTED_VALUE"""),"AGT000000009")</f>
        <v>AGT000000009</v>
      </c>
      <c r="D601" s="1" t="str">
        <f ca="1">IFERROR(__xludf.DUMMYFUNCTION("""COMPUTED_VALUE"""),"All/共用")</f>
        <v>All/共用</v>
      </c>
      <c r="E601" s="1" t="str">
        <f ca="1">IFERROR(__xludf.DUMMYFUNCTION("""COMPUTED_VALUE"""),"p1/庫存")</f>
        <v>p1/庫存</v>
      </c>
      <c r="F601" s="1">
        <f ca="1">IFERROR(__xludf.DUMMYFUNCTION("""COMPUTED_VALUE"""),24)</f>
        <v>24</v>
      </c>
      <c r="G601" s="1"/>
      <c r="H601" s="1" t="str">
        <f ca="1">IFERROR(__xludf.DUMMYFUNCTION("""COMPUTED_VALUE"""),"P1")</f>
        <v>P1</v>
      </c>
      <c r="I601" s="1" t="str">
        <f ca="1">IFERROR(__xludf.DUMMYFUNCTION("""COMPUTED_VALUE"""),"Barry")</f>
        <v>Barry</v>
      </c>
    </row>
    <row r="602" spans="1:9" ht="12.7" x14ac:dyDescent="0.4">
      <c r="A602" s="2">
        <f ca="1">IFERROR(__xludf.DUMMYFUNCTION("""COMPUTED_VALUE"""),45539.2625394675)</f>
        <v>45539.262539467498</v>
      </c>
      <c r="B602" s="1" t="str">
        <f ca="1">IFERROR(__xludf.DUMMYFUNCTION("""COMPUTED_VALUE"""),"領料")</f>
        <v>領料</v>
      </c>
      <c r="C602" s="1" t="str">
        <f ca="1">IFERROR(__xludf.DUMMYFUNCTION("""COMPUTED_VALUE"""),"AGT000000010")</f>
        <v>AGT000000010</v>
      </c>
      <c r="D602" s="1" t="str">
        <f ca="1">IFERROR(__xludf.DUMMYFUNCTION("""COMPUTED_VALUE"""),"All/共用")</f>
        <v>All/共用</v>
      </c>
      <c r="E602" s="1" t="str">
        <f ca="1">IFERROR(__xludf.DUMMYFUNCTION("""COMPUTED_VALUE"""),"p1/庫存")</f>
        <v>p1/庫存</v>
      </c>
      <c r="F602" s="1">
        <f ca="1">IFERROR(__xludf.DUMMYFUNCTION("""COMPUTED_VALUE"""),24)</f>
        <v>24</v>
      </c>
      <c r="G602" s="1"/>
      <c r="H602" s="1" t="str">
        <f ca="1">IFERROR(__xludf.DUMMYFUNCTION("""COMPUTED_VALUE"""),"P1")</f>
        <v>P1</v>
      </c>
      <c r="I602" s="1" t="str">
        <f ca="1">IFERROR(__xludf.DUMMYFUNCTION("""COMPUTED_VALUE"""),"Barry")</f>
        <v>Barry</v>
      </c>
    </row>
    <row r="603" spans="1:9" ht="12.7" x14ac:dyDescent="0.4">
      <c r="A603" s="2">
        <f ca="1">IFERROR(__xludf.DUMMYFUNCTION("""COMPUTED_VALUE"""),45540.2703175925)</f>
        <v>45540.270317592498</v>
      </c>
      <c r="B603" s="1" t="str">
        <f ca="1">IFERROR(__xludf.DUMMYFUNCTION("""COMPUTED_VALUE"""),"領料")</f>
        <v>領料</v>
      </c>
      <c r="C603" s="1" t="str">
        <f ca="1">IFERROR(__xludf.DUMMYFUNCTION("""COMPUTED_VALUE"""),"AGT000000009")</f>
        <v>AGT000000009</v>
      </c>
      <c r="D603" s="1" t="str">
        <f ca="1">IFERROR(__xludf.DUMMYFUNCTION("""COMPUTED_VALUE"""),"All/共用")</f>
        <v>All/共用</v>
      </c>
      <c r="E603" s="1" t="str">
        <f ca="1">IFERROR(__xludf.DUMMYFUNCTION("""COMPUTED_VALUE"""),"p1/庫存")</f>
        <v>p1/庫存</v>
      </c>
      <c r="F603" s="1">
        <f ca="1">IFERROR(__xludf.DUMMYFUNCTION("""COMPUTED_VALUE"""),30)</f>
        <v>30</v>
      </c>
      <c r="G603" s="1"/>
      <c r="H603" s="1" t="str">
        <f ca="1">IFERROR(__xludf.DUMMYFUNCTION("""COMPUTED_VALUE"""),"P1")</f>
        <v>P1</v>
      </c>
      <c r="I603" s="1" t="str">
        <f ca="1">IFERROR(__xludf.DUMMYFUNCTION("""COMPUTED_VALUE"""),"Barry")</f>
        <v>Barry</v>
      </c>
    </row>
    <row r="604" spans="1:9" ht="12.7" x14ac:dyDescent="0.4">
      <c r="A604" s="2">
        <f ca="1">IFERROR(__xludf.DUMMYFUNCTION("""COMPUTED_VALUE"""),45540.2713189467)</f>
        <v>45540.271318946703</v>
      </c>
      <c r="B604" s="1" t="str">
        <f ca="1">IFERROR(__xludf.DUMMYFUNCTION("""COMPUTED_VALUE"""),"領料")</f>
        <v>領料</v>
      </c>
      <c r="C604" s="1" t="str">
        <f ca="1">IFERROR(__xludf.DUMMYFUNCTION("""COMPUTED_VALUE"""),"AGT000000010")</f>
        <v>AGT000000010</v>
      </c>
      <c r="D604" s="1" t="str">
        <f ca="1">IFERROR(__xludf.DUMMYFUNCTION("""COMPUTED_VALUE"""),"All/共用")</f>
        <v>All/共用</v>
      </c>
      <c r="E604" s="1" t="str">
        <f ca="1">IFERROR(__xludf.DUMMYFUNCTION("""COMPUTED_VALUE"""),"p1/庫存")</f>
        <v>p1/庫存</v>
      </c>
      <c r="F604" s="1">
        <f ca="1">IFERROR(__xludf.DUMMYFUNCTION("""COMPUTED_VALUE"""),30)</f>
        <v>30</v>
      </c>
      <c r="G604" s="1"/>
      <c r="H604" s="1" t="str">
        <f ca="1">IFERROR(__xludf.DUMMYFUNCTION("""COMPUTED_VALUE"""),"P1")</f>
        <v>P1</v>
      </c>
      <c r="I604" s="1" t="str">
        <f ca="1">IFERROR(__xludf.DUMMYFUNCTION("""COMPUTED_VALUE"""),"Barry")</f>
        <v>Barry</v>
      </c>
    </row>
    <row r="605" spans="1:9" ht="12.7" x14ac:dyDescent="0.4">
      <c r="A605" s="2">
        <f ca="1">IFERROR(__xludf.DUMMYFUNCTION("""COMPUTED_VALUE"""),45541.267689537)</f>
        <v>45541.267689537002</v>
      </c>
      <c r="B605" s="1" t="str">
        <f ca="1">IFERROR(__xludf.DUMMYFUNCTION("""COMPUTED_VALUE"""),"領料")</f>
        <v>領料</v>
      </c>
      <c r="C605" s="1" t="str">
        <f ca="1">IFERROR(__xludf.DUMMYFUNCTION("""COMPUTED_VALUE"""),"AGT000000009")</f>
        <v>AGT000000009</v>
      </c>
      <c r="D605" s="1" t="str">
        <f ca="1">IFERROR(__xludf.DUMMYFUNCTION("""COMPUTED_VALUE"""),"All/共用")</f>
        <v>All/共用</v>
      </c>
      <c r="E605" s="1" t="str">
        <f ca="1">IFERROR(__xludf.DUMMYFUNCTION("""COMPUTED_VALUE"""),"p1/庫存")</f>
        <v>p1/庫存</v>
      </c>
      <c r="F605" s="1">
        <f ca="1">IFERROR(__xludf.DUMMYFUNCTION("""COMPUTED_VALUE"""),30)</f>
        <v>30</v>
      </c>
      <c r="G605" s="1"/>
      <c r="H605" s="1" t="str">
        <f ca="1">IFERROR(__xludf.DUMMYFUNCTION("""COMPUTED_VALUE"""),"P1")</f>
        <v>P1</v>
      </c>
      <c r="I605" s="1" t="str">
        <f ca="1">IFERROR(__xludf.DUMMYFUNCTION("""COMPUTED_VALUE"""),"Jason")</f>
        <v>Jason</v>
      </c>
    </row>
    <row r="606" spans="1:9" ht="12.7" x14ac:dyDescent="0.4">
      <c r="A606" s="2">
        <f ca="1">IFERROR(__xludf.DUMMYFUNCTION("""COMPUTED_VALUE"""),45541.2683185416)</f>
        <v>45541.268318541603</v>
      </c>
      <c r="B606" s="1" t="str">
        <f ca="1">IFERROR(__xludf.DUMMYFUNCTION("""COMPUTED_VALUE"""),"領料")</f>
        <v>領料</v>
      </c>
      <c r="C606" s="1" t="str">
        <f ca="1">IFERROR(__xludf.DUMMYFUNCTION("""COMPUTED_VALUE"""),"AGT000000010")</f>
        <v>AGT000000010</v>
      </c>
      <c r="D606" s="1" t="str">
        <f ca="1">IFERROR(__xludf.DUMMYFUNCTION("""COMPUTED_VALUE"""),"All/共用")</f>
        <v>All/共用</v>
      </c>
      <c r="E606" s="1" t="str">
        <f ca="1">IFERROR(__xludf.DUMMYFUNCTION("""COMPUTED_VALUE"""),"p1/庫存")</f>
        <v>p1/庫存</v>
      </c>
      <c r="F606" s="1">
        <f ca="1">IFERROR(__xludf.DUMMYFUNCTION("""COMPUTED_VALUE"""),30)</f>
        <v>30</v>
      </c>
      <c r="G606" s="1"/>
      <c r="H606" s="1" t="str">
        <f ca="1">IFERROR(__xludf.DUMMYFUNCTION("""COMPUTED_VALUE"""),"P1")</f>
        <v>P1</v>
      </c>
      <c r="I606" s="1" t="str">
        <f ca="1">IFERROR(__xludf.DUMMYFUNCTION("""COMPUTED_VALUE"""),"Jason")</f>
        <v>Jason</v>
      </c>
    </row>
    <row r="607" spans="1:9" ht="12.7" x14ac:dyDescent="0.4">
      <c r="A607" s="2">
        <f ca="1">IFERROR(__xludf.DUMMYFUNCTION("""COMPUTED_VALUE"""),45541.5907719675)</f>
        <v>45541.590771967501</v>
      </c>
      <c r="B607" s="1" t="str">
        <f ca="1">IFERROR(__xludf.DUMMYFUNCTION("""COMPUTED_VALUE"""),"返修")</f>
        <v>返修</v>
      </c>
      <c r="C607" s="1" t="str">
        <f ca="1">IFERROR(__xludf.DUMMYFUNCTION("""COMPUTED_VALUE"""),"A00100000731")</f>
        <v>A00100000731</v>
      </c>
      <c r="D607" s="1" t="str">
        <f ca="1">IFERROR(__xludf.DUMMYFUNCTION("""COMPUTED_VALUE"""),"All/BA")</f>
        <v>All/BA</v>
      </c>
      <c r="E607" s="1" t="str">
        <f ca="1">IFERROR(__xludf.DUMMYFUNCTION("""COMPUTED_VALUE"""),"p1/庫存")</f>
        <v>p1/庫存</v>
      </c>
      <c r="F607" s="1">
        <f ca="1">IFERROR(__xludf.DUMMYFUNCTION("""COMPUTED_VALUE"""),1)</f>
        <v>1</v>
      </c>
      <c r="G607" s="1" t="str">
        <f ca="1">IFERROR(__xludf.DUMMYFUNCTION("""COMPUTED_VALUE"""),"05F424")</f>
        <v>05F424</v>
      </c>
      <c r="H607" s="1" t="str">
        <f ca="1">IFERROR(__xludf.DUMMYFUNCTION("""COMPUTED_VALUE"""),"P1")</f>
        <v>P1</v>
      </c>
      <c r="I607" s="1" t="str">
        <f ca="1">IFERROR(__xludf.DUMMYFUNCTION("""COMPUTED_VALUE"""),"Chiao Yu")</f>
        <v>Chiao Yu</v>
      </c>
    </row>
    <row r="608" spans="1:9" ht="12.7" x14ac:dyDescent="0.4">
      <c r="A608" s="2">
        <f ca="1">IFERROR(__xludf.DUMMYFUNCTION("""COMPUTED_VALUE"""),45544.8531937152)</f>
        <v>45544.8531937152</v>
      </c>
      <c r="B608" s="1" t="str">
        <f ca="1">IFERROR(__xludf.DUMMYFUNCTION("""COMPUTED_VALUE"""),"返修")</f>
        <v>返修</v>
      </c>
      <c r="C608" s="1" t="str">
        <f ca="1">IFERROR(__xludf.DUMMYFUNCTION("""COMPUTED_VALUE"""),"ME0020000525")</f>
        <v>ME0020000525</v>
      </c>
      <c r="D608" s="1" t="str">
        <f ca="1">IFERROR(__xludf.DUMMYFUNCTION("""COMPUTED_VALUE"""),"All/共用")</f>
        <v>All/共用</v>
      </c>
      <c r="E608" s="1" t="str">
        <f ca="1">IFERROR(__xludf.DUMMYFUNCTION("""COMPUTED_VALUE"""),"p1/庫存")</f>
        <v>p1/庫存</v>
      </c>
      <c r="F608" s="1">
        <f ca="1">IFERROR(__xludf.DUMMYFUNCTION("""COMPUTED_VALUE"""),1)</f>
        <v>1</v>
      </c>
      <c r="G608" s="1"/>
      <c r="H608" s="1" t="str">
        <f ca="1">IFERROR(__xludf.DUMMYFUNCTION("""COMPUTED_VALUE"""),"P1_021")</f>
        <v>P1_021</v>
      </c>
      <c r="I608" s="1" t="str">
        <f ca="1">IFERROR(__xludf.DUMMYFUNCTION("""COMPUTED_VALUE"""),"Simon")</f>
        <v>Simon</v>
      </c>
    </row>
    <row r="609" spans="1:9" ht="12.7" x14ac:dyDescent="0.4">
      <c r="A609" s="2">
        <f ca="1">IFERROR(__xludf.DUMMYFUNCTION("""COMPUTED_VALUE"""),45544.854210324)</f>
        <v>45544.854210324003</v>
      </c>
      <c r="B609" s="1" t="str">
        <f ca="1">IFERROR(__xludf.DUMMYFUNCTION("""COMPUTED_VALUE"""),"返修")</f>
        <v>返修</v>
      </c>
      <c r="C609" s="1" t="str">
        <f ca="1">IFERROR(__xludf.DUMMYFUNCTION("""COMPUTED_VALUE"""),"ME0020000525")</f>
        <v>ME0020000525</v>
      </c>
      <c r="D609" s="1" t="str">
        <f ca="1">IFERROR(__xludf.DUMMYFUNCTION("""COMPUTED_VALUE"""),"All/共用")</f>
        <v>All/共用</v>
      </c>
      <c r="E609" s="1" t="str">
        <f ca="1">IFERROR(__xludf.DUMMYFUNCTION("""COMPUTED_VALUE"""),"p1/庫存")</f>
        <v>p1/庫存</v>
      </c>
      <c r="F609" s="1">
        <f ca="1">IFERROR(__xludf.DUMMYFUNCTION("""COMPUTED_VALUE"""),1)</f>
        <v>1</v>
      </c>
      <c r="G609" s="1"/>
      <c r="H609" s="1" t="str">
        <f ca="1">IFERROR(__xludf.DUMMYFUNCTION("""COMPUTED_VALUE"""),"P1_021")</f>
        <v>P1_021</v>
      </c>
      <c r="I609" s="1" t="str">
        <f ca="1">IFERROR(__xludf.DUMMYFUNCTION("""COMPUTED_VALUE"""),"Simon")</f>
        <v>Simon</v>
      </c>
    </row>
    <row r="610" spans="1:9" ht="12.7" x14ac:dyDescent="0.4">
      <c r="A610" s="2">
        <f ca="1">IFERROR(__xludf.DUMMYFUNCTION("""COMPUTED_VALUE"""),45545.759265243)</f>
        <v>45545.759265243003</v>
      </c>
      <c r="B610" s="1" t="str">
        <f ca="1">IFERROR(__xludf.DUMMYFUNCTION("""COMPUTED_VALUE"""),"進貨")</f>
        <v>進貨</v>
      </c>
      <c r="C610" s="1" t="str">
        <f ca="1">IFERROR(__xludf.DUMMYFUNCTION("""COMPUTED_VALUE"""),"ME0020000525")</f>
        <v>ME0020000525</v>
      </c>
      <c r="D610" s="1" t="str">
        <f ca="1">IFERROR(__xludf.DUMMYFUNCTION("""COMPUTED_VALUE"""),"All/共用")</f>
        <v>All/共用</v>
      </c>
      <c r="E610" s="1" t="str">
        <f ca="1">IFERROR(__xludf.DUMMYFUNCTION("""COMPUTED_VALUE"""),"p2/庫存")</f>
        <v>p2/庫存</v>
      </c>
      <c r="F610" s="1">
        <f ca="1">IFERROR(__xludf.DUMMYFUNCTION("""COMPUTED_VALUE"""),2)</f>
        <v>2</v>
      </c>
      <c r="G610" s="1"/>
      <c r="H610" s="1" t="str">
        <f ca="1">IFERROR(__xludf.DUMMYFUNCTION("""COMPUTED_VALUE"""),"P2")</f>
        <v>P2</v>
      </c>
      <c r="I610" s="1" t="str">
        <f ca="1">IFERROR(__xludf.DUMMYFUNCTION("""COMPUTED_VALUE"""),"Chiao Yu")</f>
        <v>Chiao Yu</v>
      </c>
    </row>
    <row r="611" spans="1:9" ht="12.7" x14ac:dyDescent="0.4">
      <c r="A611" s="2">
        <f ca="1">IFERROR(__xludf.DUMMYFUNCTION("""COMPUTED_VALUE"""),45546.282050081)</f>
        <v>45546.282050080998</v>
      </c>
      <c r="B611" s="1" t="str">
        <f ca="1">IFERROR(__xludf.DUMMYFUNCTION("""COMPUTED_VALUE"""),"領料")</f>
        <v>領料</v>
      </c>
      <c r="C611" s="1" t="str">
        <f ca="1">IFERROR(__xludf.DUMMYFUNCTION("""COMPUTED_VALUE"""),"AGT000000009")</f>
        <v>AGT000000009</v>
      </c>
      <c r="D611" s="1" t="str">
        <f ca="1">IFERROR(__xludf.DUMMYFUNCTION("""COMPUTED_VALUE"""),"All/共用")</f>
        <v>All/共用</v>
      </c>
      <c r="E611" s="1" t="str">
        <f ca="1">IFERROR(__xludf.DUMMYFUNCTION("""COMPUTED_VALUE"""),"p1/庫存")</f>
        <v>p1/庫存</v>
      </c>
      <c r="F611" s="1">
        <f ca="1">IFERROR(__xludf.DUMMYFUNCTION("""COMPUTED_VALUE"""),6)</f>
        <v>6</v>
      </c>
      <c r="G611" s="1"/>
      <c r="H611" s="1" t="str">
        <f ca="1">IFERROR(__xludf.DUMMYFUNCTION("""COMPUTED_VALUE"""),"P1")</f>
        <v>P1</v>
      </c>
      <c r="I611" s="1" t="str">
        <f ca="1">IFERROR(__xludf.DUMMYFUNCTION("""COMPUTED_VALUE"""),"Jason")</f>
        <v>Jason</v>
      </c>
    </row>
    <row r="612" spans="1:9" ht="12.7" x14ac:dyDescent="0.4">
      <c r="A612" s="2">
        <f ca="1">IFERROR(__xludf.DUMMYFUNCTION("""COMPUTED_VALUE"""),45546.2826941782)</f>
        <v>45546.282694178197</v>
      </c>
      <c r="B612" s="1" t="str">
        <f ca="1">IFERROR(__xludf.DUMMYFUNCTION("""COMPUTED_VALUE"""),"領料")</f>
        <v>領料</v>
      </c>
      <c r="C612" s="1" t="str">
        <f ca="1">IFERROR(__xludf.DUMMYFUNCTION("""COMPUTED_VALUE"""),"AGT000000010")</f>
        <v>AGT000000010</v>
      </c>
      <c r="D612" s="1" t="str">
        <f ca="1">IFERROR(__xludf.DUMMYFUNCTION("""COMPUTED_VALUE"""),"All/共用")</f>
        <v>All/共用</v>
      </c>
      <c r="E612" s="1" t="str">
        <f ca="1">IFERROR(__xludf.DUMMYFUNCTION("""COMPUTED_VALUE"""),"p1/庫存")</f>
        <v>p1/庫存</v>
      </c>
      <c r="F612" s="1">
        <f ca="1">IFERROR(__xludf.DUMMYFUNCTION("""COMPUTED_VALUE"""),6)</f>
        <v>6</v>
      </c>
      <c r="G612" s="1"/>
      <c r="H612" s="1" t="str">
        <f ca="1">IFERROR(__xludf.DUMMYFUNCTION("""COMPUTED_VALUE"""),"P1")</f>
        <v>P1</v>
      </c>
      <c r="I612" s="1" t="str">
        <f ca="1">IFERROR(__xludf.DUMMYFUNCTION("""COMPUTED_VALUE"""),"Jason")</f>
        <v>Jason</v>
      </c>
    </row>
    <row r="613" spans="1:9" ht="12.7" x14ac:dyDescent="0.4">
      <c r="A613" s="2">
        <f ca="1">IFERROR(__xludf.DUMMYFUNCTION("""COMPUTED_VALUE"""),45547.2762925115)</f>
        <v>45547.276292511502</v>
      </c>
      <c r="B613" s="1" t="str">
        <f ca="1">IFERROR(__xludf.DUMMYFUNCTION("""COMPUTED_VALUE"""),"領料")</f>
        <v>領料</v>
      </c>
      <c r="C613" s="1" t="str">
        <f ca="1">IFERROR(__xludf.DUMMYFUNCTION("""COMPUTED_VALUE"""),"AGT000000009")</f>
        <v>AGT000000009</v>
      </c>
      <c r="D613" s="1" t="str">
        <f ca="1">IFERROR(__xludf.DUMMYFUNCTION("""COMPUTED_VALUE"""),"All/共用")</f>
        <v>All/共用</v>
      </c>
      <c r="E613" s="1" t="str">
        <f ca="1">IFERROR(__xludf.DUMMYFUNCTION("""COMPUTED_VALUE"""),"p1/庫存")</f>
        <v>p1/庫存</v>
      </c>
      <c r="F613" s="1">
        <f ca="1">IFERROR(__xludf.DUMMYFUNCTION("""COMPUTED_VALUE"""),6)</f>
        <v>6</v>
      </c>
      <c r="G613" s="1"/>
      <c r="H613" s="1" t="str">
        <f ca="1">IFERROR(__xludf.DUMMYFUNCTION("""COMPUTED_VALUE"""),"P1")</f>
        <v>P1</v>
      </c>
      <c r="I613" s="1" t="str">
        <f ca="1">IFERROR(__xludf.DUMMYFUNCTION("""COMPUTED_VALUE"""),"Jason")</f>
        <v>Jason</v>
      </c>
    </row>
    <row r="614" spans="1:9" ht="12.7" x14ac:dyDescent="0.4">
      <c r="A614" s="2">
        <f ca="1">IFERROR(__xludf.DUMMYFUNCTION("""COMPUTED_VALUE"""),45547.2768103125)</f>
        <v>45547.276810312498</v>
      </c>
      <c r="B614" s="1" t="str">
        <f ca="1">IFERROR(__xludf.DUMMYFUNCTION("""COMPUTED_VALUE"""),"領料")</f>
        <v>領料</v>
      </c>
      <c r="C614" s="1" t="str">
        <f ca="1">IFERROR(__xludf.DUMMYFUNCTION("""COMPUTED_VALUE"""),"AGT000000010")</f>
        <v>AGT000000010</v>
      </c>
      <c r="D614" s="1" t="str">
        <f ca="1">IFERROR(__xludf.DUMMYFUNCTION("""COMPUTED_VALUE"""),"All/共用")</f>
        <v>All/共用</v>
      </c>
      <c r="E614" s="1" t="str">
        <f ca="1">IFERROR(__xludf.DUMMYFUNCTION("""COMPUTED_VALUE"""),"p1/庫存")</f>
        <v>p1/庫存</v>
      </c>
      <c r="F614" s="1">
        <f ca="1">IFERROR(__xludf.DUMMYFUNCTION("""COMPUTED_VALUE"""),6)</f>
        <v>6</v>
      </c>
      <c r="G614" s="1"/>
      <c r="H614" s="1" t="str">
        <f ca="1">IFERROR(__xludf.DUMMYFUNCTION("""COMPUTED_VALUE"""),"P1")</f>
        <v>P1</v>
      </c>
      <c r="I614" s="1" t="str">
        <f ca="1">IFERROR(__xludf.DUMMYFUNCTION("""COMPUTED_VALUE"""),"Jason")</f>
        <v>Jason</v>
      </c>
    </row>
    <row r="615" spans="1:9" ht="12.7" x14ac:dyDescent="0.4">
      <c r="A615" s="2">
        <f ca="1">IFERROR(__xludf.DUMMYFUNCTION("""COMPUTED_VALUE"""),45547.3889640162)</f>
        <v>45547.388964016201</v>
      </c>
      <c r="B615" s="1" t="str">
        <f ca="1">IFERROR(__xludf.DUMMYFUNCTION("""COMPUTED_VALUE"""),"領料")</f>
        <v>領料</v>
      </c>
      <c r="C615" s="1" t="str">
        <f ca="1">IFERROR(__xludf.DUMMYFUNCTION("""COMPUTED_VALUE"""),"MM0260000259")</f>
        <v>MM0260000259</v>
      </c>
      <c r="D615" s="1" t="str">
        <f ca="1">IFERROR(__xludf.DUMMYFUNCTION("""COMPUTED_VALUE"""),"All/SB")</f>
        <v>All/SB</v>
      </c>
      <c r="E615" s="1" t="str">
        <f ca="1">IFERROR(__xludf.DUMMYFUNCTION("""COMPUTED_VALUE"""),"p2/庫存")</f>
        <v>p2/庫存</v>
      </c>
      <c r="F615" s="1">
        <f ca="1">IFERROR(__xludf.DUMMYFUNCTION("""COMPUTED_VALUE"""),1)</f>
        <v>1</v>
      </c>
      <c r="G615" s="1"/>
      <c r="H615" s="1" t="str">
        <f ca="1">IFERROR(__xludf.DUMMYFUNCTION("""COMPUTED_VALUE"""),"P2_4001")</f>
        <v>P2_4001</v>
      </c>
      <c r="I615" s="1" t="str">
        <f ca="1">IFERROR(__xludf.DUMMYFUNCTION("""COMPUTED_VALUE"""),"Chiao Yu")</f>
        <v>Chiao Yu</v>
      </c>
    </row>
    <row r="616" spans="1:9" ht="12.7" x14ac:dyDescent="0.4">
      <c r="A616" s="2">
        <f ca="1">IFERROR(__xludf.DUMMYFUNCTION("""COMPUTED_VALUE"""),45547.3893174074)</f>
        <v>45547.389317407396</v>
      </c>
      <c r="B616" s="1" t="str">
        <f ca="1">IFERROR(__xludf.DUMMYFUNCTION("""COMPUTED_VALUE"""),"領料")</f>
        <v>領料</v>
      </c>
      <c r="C616" s="1" t="str">
        <f ca="1">IFERROR(__xludf.DUMMYFUNCTION("""COMPUTED_VALUE"""),"MM0260000259")</f>
        <v>MM0260000259</v>
      </c>
      <c r="D616" s="1" t="str">
        <f ca="1">IFERROR(__xludf.DUMMYFUNCTION("""COMPUTED_VALUE"""),"All/SB")</f>
        <v>All/SB</v>
      </c>
      <c r="E616" s="1" t="str">
        <f ca="1">IFERROR(__xludf.DUMMYFUNCTION("""COMPUTED_VALUE"""),"p2/庫存")</f>
        <v>p2/庫存</v>
      </c>
      <c r="F616" s="1">
        <f ca="1">IFERROR(__xludf.DUMMYFUNCTION("""COMPUTED_VALUE"""),1)</f>
        <v>1</v>
      </c>
      <c r="G616" s="1"/>
      <c r="H616" s="1" t="str">
        <f ca="1">IFERROR(__xludf.DUMMYFUNCTION("""COMPUTED_VALUE"""),"P2_4002")</f>
        <v>P2_4002</v>
      </c>
      <c r="I616" s="1" t="str">
        <f ca="1">IFERROR(__xludf.DUMMYFUNCTION("""COMPUTED_VALUE"""),"Chiao Yu")</f>
        <v>Chiao Yu</v>
      </c>
    </row>
    <row r="617" spans="1:9" ht="12.7" x14ac:dyDescent="0.4">
      <c r="A617" s="2">
        <f ca="1">IFERROR(__xludf.DUMMYFUNCTION("""COMPUTED_VALUE"""),45548.3671572569)</f>
        <v>45548.3671572569</v>
      </c>
      <c r="B617" s="1" t="str">
        <f ca="1">IFERROR(__xludf.DUMMYFUNCTION("""COMPUTED_VALUE"""),"領料")</f>
        <v>領料</v>
      </c>
      <c r="C617" s="1" t="str">
        <f ca="1">IFERROR(__xludf.DUMMYFUNCTION("""COMPUTED_VALUE"""),"AGT000000009")</f>
        <v>AGT000000009</v>
      </c>
      <c r="D617" s="1" t="str">
        <f ca="1">IFERROR(__xludf.DUMMYFUNCTION("""COMPUTED_VALUE"""),"All/共用")</f>
        <v>All/共用</v>
      </c>
      <c r="E617" s="1" t="str">
        <f ca="1">IFERROR(__xludf.DUMMYFUNCTION("""COMPUTED_VALUE"""),"p1/庫存")</f>
        <v>p1/庫存</v>
      </c>
      <c r="F617" s="1">
        <f ca="1">IFERROR(__xludf.DUMMYFUNCTION("""COMPUTED_VALUE"""),30)</f>
        <v>30</v>
      </c>
      <c r="G617" s="1"/>
      <c r="H617" s="1" t="str">
        <f ca="1">IFERROR(__xludf.DUMMYFUNCTION("""COMPUTED_VALUE"""),"P1")</f>
        <v>P1</v>
      </c>
      <c r="I617" s="1" t="str">
        <f ca="1">IFERROR(__xludf.DUMMYFUNCTION("""COMPUTED_VALUE"""),"Chiao Yu")</f>
        <v>Chiao Yu</v>
      </c>
    </row>
    <row r="618" spans="1:9" ht="12.7" x14ac:dyDescent="0.4">
      <c r="A618" s="2">
        <f ca="1">IFERROR(__xludf.DUMMYFUNCTION("""COMPUTED_VALUE"""),45548.3680210648)</f>
        <v>45548.368021064802</v>
      </c>
      <c r="B618" s="1" t="str">
        <f ca="1">IFERROR(__xludf.DUMMYFUNCTION("""COMPUTED_VALUE"""),"領料")</f>
        <v>領料</v>
      </c>
      <c r="C618" s="1" t="str">
        <f ca="1">IFERROR(__xludf.DUMMYFUNCTION("""COMPUTED_VALUE"""),"AGT000000010")</f>
        <v>AGT000000010</v>
      </c>
      <c r="D618" s="1" t="str">
        <f ca="1">IFERROR(__xludf.DUMMYFUNCTION("""COMPUTED_VALUE"""),"All/共用")</f>
        <v>All/共用</v>
      </c>
      <c r="E618" s="1" t="str">
        <f ca="1">IFERROR(__xludf.DUMMYFUNCTION("""COMPUTED_VALUE"""),"p1/庫存")</f>
        <v>p1/庫存</v>
      </c>
      <c r="F618" s="1">
        <f ca="1">IFERROR(__xludf.DUMMYFUNCTION("""COMPUTED_VALUE"""),30)</f>
        <v>30</v>
      </c>
      <c r="G618" s="1"/>
      <c r="H618" s="1" t="str">
        <f ca="1">IFERROR(__xludf.DUMMYFUNCTION("""COMPUTED_VALUE"""),"P1")</f>
        <v>P1</v>
      </c>
      <c r="I618" s="1" t="str">
        <f ca="1">IFERROR(__xludf.DUMMYFUNCTION("""COMPUTED_VALUE"""),"Chiao Yu")</f>
        <v>Chiao Yu</v>
      </c>
    </row>
    <row r="619" spans="1:9" ht="12.7" x14ac:dyDescent="0.4">
      <c r="A619" s="2">
        <f ca="1">IFERROR(__xludf.DUMMYFUNCTION("""COMPUTED_VALUE"""),45548.3706843287)</f>
        <v>45548.3706843287</v>
      </c>
      <c r="B619" s="1" t="str">
        <f ca="1">IFERROR(__xludf.DUMMYFUNCTION("""COMPUTED_VALUE"""),"庫存調整")</f>
        <v>庫存調整</v>
      </c>
      <c r="C619" s="1" t="str">
        <f ca="1">IFERROR(__xludf.DUMMYFUNCTION("""COMPUTED_VALUE"""),"AGT000000005")</f>
        <v>AGT000000005</v>
      </c>
      <c r="D619" s="1" t="str">
        <f ca="1">IFERROR(__xludf.DUMMYFUNCTION("""COMPUTED_VALUE"""),"All/共用")</f>
        <v>All/共用</v>
      </c>
      <c r="E619" s="1" t="str">
        <f ca="1">IFERROR(__xludf.DUMMYFUNCTION("""COMPUTED_VALUE"""),"p1/庫存")</f>
        <v>p1/庫存</v>
      </c>
      <c r="F619" s="1">
        <f ca="1">IFERROR(__xludf.DUMMYFUNCTION("""COMPUTED_VALUE"""),60)</f>
        <v>60</v>
      </c>
      <c r="G619" s="1"/>
      <c r="H619" s="1" t="str">
        <f ca="1">IFERROR(__xludf.DUMMYFUNCTION("""COMPUTED_VALUE"""),"P1")</f>
        <v>P1</v>
      </c>
      <c r="I619" s="1" t="str">
        <f ca="1">IFERROR(__xludf.DUMMYFUNCTION("""COMPUTED_VALUE"""),"Chiao Yu")</f>
        <v>Chiao Yu</v>
      </c>
    </row>
    <row r="620" spans="1:9" ht="12.7" x14ac:dyDescent="0.4">
      <c r="A620" s="2">
        <f ca="1">IFERROR(__xludf.DUMMYFUNCTION("""COMPUTED_VALUE"""),45548.3774136342)</f>
        <v>45548.377413634204</v>
      </c>
      <c r="B620" s="1" t="str">
        <f ca="1">IFERROR(__xludf.DUMMYFUNCTION("""COMPUTED_VALUE"""),"庫存調整")</f>
        <v>庫存調整</v>
      </c>
      <c r="C620" s="1" t="str">
        <f ca="1">IFERROR(__xludf.DUMMYFUNCTION("""COMPUTED_VALUE"""),"ME0060000278")</f>
        <v>ME0060000278</v>
      </c>
      <c r="D620" s="1" t="str">
        <f ca="1">IFERROR(__xludf.DUMMYFUNCTION("""COMPUTED_VALUE"""),"All/共用")</f>
        <v>All/共用</v>
      </c>
      <c r="E620" s="1" t="str">
        <f ca="1">IFERROR(__xludf.DUMMYFUNCTION("""COMPUTED_VALUE"""),"p1/庫存")</f>
        <v>p1/庫存</v>
      </c>
      <c r="F620" s="1">
        <f ca="1">IFERROR(__xludf.DUMMYFUNCTION("""COMPUTED_VALUE"""),60)</f>
        <v>60</v>
      </c>
      <c r="G620" s="1"/>
      <c r="H620" s="1" t="str">
        <f ca="1">IFERROR(__xludf.DUMMYFUNCTION("""COMPUTED_VALUE"""),"P1")</f>
        <v>P1</v>
      </c>
      <c r="I620" s="1" t="str">
        <f ca="1">IFERROR(__xludf.DUMMYFUNCTION("""COMPUTED_VALUE"""),"Chiao Yu")</f>
        <v>Chiao Yu</v>
      </c>
    </row>
    <row r="621" spans="1:9" ht="12.7" x14ac:dyDescent="0.4">
      <c r="A621" s="2">
        <f ca="1">IFERROR(__xludf.DUMMYFUNCTION("""COMPUTED_VALUE"""),45555.6474778588)</f>
        <v>45555.647477858802</v>
      </c>
      <c r="B621" s="1" t="str">
        <f ca="1">IFERROR(__xludf.DUMMYFUNCTION("""COMPUTED_VALUE"""),"進貨")</f>
        <v>進貨</v>
      </c>
      <c r="C621" s="1" t="str">
        <f ca="1">IFERROR(__xludf.DUMMYFUNCTION("""COMPUTED_VALUE"""),"MM0260000259")</f>
        <v>MM0260000259</v>
      </c>
      <c r="D621" s="1" t="str">
        <f ca="1">IFERROR(__xludf.DUMMYFUNCTION("""COMPUTED_VALUE"""),"All/SB")</f>
        <v>All/SB</v>
      </c>
      <c r="E621" s="1" t="str">
        <f ca="1">IFERROR(__xludf.DUMMYFUNCTION("""COMPUTED_VALUE"""),"p2/庫存")</f>
        <v>p2/庫存</v>
      </c>
      <c r="F621" s="1">
        <f ca="1">IFERROR(__xludf.DUMMYFUNCTION("""COMPUTED_VALUE"""),2)</f>
        <v>2</v>
      </c>
      <c r="G621" s="1"/>
      <c r="H621" s="1" t="str">
        <f ca="1">IFERROR(__xludf.DUMMYFUNCTION("""COMPUTED_VALUE"""),"P2")</f>
        <v>P2</v>
      </c>
      <c r="I621" s="1" t="str">
        <f ca="1">IFERROR(__xludf.DUMMYFUNCTION("""COMPUTED_VALUE"""),"Simon")</f>
        <v>Simon</v>
      </c>
    </row>
    <row r="622" spans="1:9" ht="12.7" x14ac:dyDescent="0.4">
      <c r="A622" s="2">
        <f ca="1">IFERROR(__xludf.DUMMYFUNCTION("""COMPUTED_VALUE"""),45555.6486596643)</f>
        <v>45555.648659664301</v>
      </c>
      <c r="B622" s="1" t="str">
        <f ca="1">IFERROR(__xludf.DUMMYFUNCTION("""COMPUTED_VALUE"""),"庫存調整")</f>
        <v>庫存調整</v>
      </c>
      <c r="C622" s="1" t="str">
        <f ca="1">IFERROR(__xludf.DUMMYFUNCTION("""COMPUTED_VALUE"""),"ME0270001045")</f>
        <v>ME0270001045</v>
      </c>
      <c r="D622" s="1" t="str">
        <f ca="1">IFERROR(__xludf.DUMMYFUNCTION("""COMPUTED_VALUE"""),"All/共用")</f>
        <v>All/共用</v>
      </c>
      <c r="E622" s="1" t="str">
        <f ca="1">IFERROR(__xludf.DUMMYFUNCTION("""COMPUTED_VALUE"""),"p2/庫存")</f>
        <v>p2/庫存</v>
      </c>
      <c r="F622" s="1">
        <f ca="1">IFERROR(__xludf.DUMMYFUNCTION("""COMPUTED_VALUE"""),-4)</f>
        <v>-4</v>
      </c>
      <c r="G622" s="1"/>
      <c r="H622" s="1" t="str">
        <f ca="1">IFERROR(__xludf.DUMMYFUNCTION("""COMPUTED_VALUE"""),"P2")</f>
        <v>P2</v>
      </c>
      <c r="I622" s="1" t="str">
        <f ca="1">IFERROR(__xludf.DUMMYFUNCTION("""COMPUTED_VALUE"""),"Simon")</f>
        <v>Simon</v>
      </c>
    </row>
    <row r="623" spans="1:9" ht="12.7" x14ac:dyDescent="0.4">
      <c r="A623" s="2">
        <f ca="1">IFERROR(__xludf.DUMMYFUNCTION("""COMPUTED_VALUE"""),45555.649454699)</f>
        <v>45555.649454699</v>
      </c>
      <c r="B623" s="1" t="str">
        <f ca="1">IFERROR(__xludf.DUMMYFUNCTION("""COMPUTED_VALUE"""),"庫存調整")</f>
        <v>庫存調整</v>
      </c>
      <c r="C623" s="1" t="str">
        <f ca="1">IFERROR(__xludf.DUMMYFUNCTION("""COMPUTED_VALUE"""),"ME0270001045")</f>
        <v>ME0270001045</v>
      </c>
      <c r="D623" s="1" t="str">
        <f ca="1">IFERROR(__xludf.DUMMYFUNCTION("""COMPUTED_VALUE"""),"All/共用")</f>
        <v>All/共用</v>
      </c>
      <c r="E623" s="1" t="str">
        <f ca="1">IFERROR(__xludf.DUMMYFUNCTION("""COMPUTED_VALUE"""),"p1/庫存")</f>
        <v>p1/庫存</v>
      </c>
      <c r="F623" s="1">
        <f ca="1">IFERROR(__xludf.DUMMYFUNCTION("""COMPUTED_VALUE"""),4)</f>
        <v>4</v>
      </c>
      <c r="G623" s="1"/>
      <c r="H623" s="1" t="str">
        <f ca="1">IFERROR(__xludf.DUMMYFUNCTION("""COMPUTED_VALUE"""),"P1")</f>
        <v>P1</v>
      </c>
      <c r="I623" s="1" t="str">
        <f ca="1">IFERROR(__xludf.DUMMYFUNCTION("""COMPUTED_VALUE"""),"Simon")</f>
        <v>Simon</v>
      </c>
    </row>
    <row r="624" spans="1:9" ht="12.7" x14ac:dyDescent="0.4">
      <c r="A624" s="2">
        <f ca="1">IFERROR(__xludf.DUMMYFUNCTION("""COMPUTED_VALUE"""),45558.5958750462)</f>
        <v>45558.595875046201</v>
      </c>
      <c r="B624" s="1" t="str">
        <f ca="1">IFERROR(__xludf.DUMMYFUNCTION("""COMPUTED_VALUE"""),"送修")</f>
        <v>送修</v>
      </c>
      <c r="C624" s="1" t="str">
        <f ca="1">IFERROR(__xludf.DUMMYFUNCTION("""COMPUTED_VALUE"""),"ME0030000076")</f>
        <v>ME0030000076</v>
      </c>
      <c r="D624" s="1" t="str">
        <f ca="1">IFERROR(__xludf.DUMMYFUNCTION("""COMPUTED_VALUE"""),"All/共用")</f>
        <v>All/共用</v>
      </c>
      <c r="E624" s="1" t="str">
        <f ca="1">IFERROR(__xludf.DUMMYFUNCTION("""COMPUTED_VALUE"""),"p1/庫存")</f>
        <v>p1/庫存</v>
      </c>
      <c r="F624" s="1">
        <f ca="1">IFERROR(__xludf.DUMMYFUNCTION("""COMPUTED_VALUE"""),1)</f>
        <v>1</v>
      </c>
      <c r="G624" s="1" t="str">
        <f ca="1">IFERROR(__xludf.DUMMYFUNCTION("""COMPUTED_VALUE"""),"223B586006612")</f>
        <v>223B586006612</v>
      </c>
      <c r="H624" s="1" t="str">
        <f ca="1">IFERROR(__xludf.DUMMYFUNCTION("""COMPUTED_VALUE"""),"P1_3001")</f>
        <v>P1_3001</v>
      </c>
      <c r="I624" s="1" t="str">
        <f ca="1">IFERROR(__xludf.DUMMYFUNCTION("""COMPUTED_VALUE"""),"Simon")</f>
        <v>Simon</v>
      </c>
    </row>
    <row r="625" spans="1:9" ht="12.7" x14ac:dyDescent="0.4">
      <c r="A625" s="2">
        <f ca="1">IFERROR(__xludf.DUMMYFUNCTION("""COMPUTED_VALUE"""),45558.5985553703)</f>
        <v>45558.598555370299</v>
      </c>
      <c r="B625" s="1" t="str">
        <f ca="1">IFERROR(__xludf.DUMMYFUNCTION("""COMPUTED_VALUE"""),"料件上線時間")</f>
        <v>料件上線時間</v>
      </c>
      <c r="C625" s="1" t="str">
        <f ca="1">IFERROR(__xludf.DUMMYFUNCTION("""COMPUTED_VALUE"""),"ME0030000076")</f>
        <v>ME0030000076</v>
      </c>
      <c r="D625" s="1" t="str">
        <f ca="1">IFERROR(__xludf.DUMMYFUNCTION("""COMPUTED_VALUE"""),"All/共用")</f>
        <v>All/共用</v>
      </c>
      <c r="E625" s="1" t="str">
        <f ca="1">IFERROR(__xludf.DUMMYFUNCTION("""COMPUTED_VALUE"""),"p1/庫存")</f>
        <v>p1/庫存</v>
      </c>
      <c r="F625" s="1">
        <f ca="1">IFERROR(__xludf.DUMMYFUNCTION("""COMPUTED_VALUE"""),1)</f>
        <v>1</v>
      </c>
      <c r="G625" s="1"/>
      <c r="H625" s="1" t="str">
        <f ca="1">IFERROR(__xludf.DUMMYFUNCTION("""COMPUTED_VALUE"""),"P1")</f>
        <v>P1</v>
      </c>
      <c r="I625" s="1" t="str">
        <f ca="1">IFERROR(__xludf.DUMMYFUNCTION("""COMPUTED_VALUE"""),"Simon")</f>
        <v>Simon</v>
      </c>
    </row>
    <row r="626" spans="1:9" ht="12.7" x14ac:dyDescent="0.4">
      <c r="A626" s="2">
        <f ca="1">IFERROR(__xludf.DUMMYFUNCTION("""COMPUTED_VALUE"""),45559.3170616435)</f>
        <v>45559.317061643502</v>
      </c>
      <c r="B626" s="1" t="str">
        <f ca="1">IFERROR(__xludf.DUMMYFUNCTION("""COMPUTED_VALUE"""),"送修")</f>
        <v>送修</v>
      </c>
      <c r="C626" s="1" t="str">
        <f ca="1">IFERROR(__xludf.DUMMYFUNCTION("""COMPUTED_VALUE"""),"ME0010000382")</f>
        <v>ME0010000382</v>
      </c>
      <c r="D626" s="1" t="str">
        <f ca="1">IFERROR(__xludf.DUMMYFUNCTION("""COMPUTED_VALUE"""),"All/共用")</f>
        <v>All/共用</v>
      </c>
      <c r="E626" s="1" t="str">
        <f ca="1">IFERROR(__xludf.DUMMYFUNCTION("""COMPUTED_VALUE"""),"p1/庫存")</f>
        <v>p1/庫存</v>
      </c>
      <c r="F626" s="1">
        <f ca="1">IFERROR(__xludf.DUMMYFUNCTION("""COMPUTED_VALUE"""),1)</f>
        <v>1</v>
      </c>
      <c r="G626" s="1"/>
      <c r="H626" s="1" t="str">
        <f ca="1">IFERROR(__xludf.DUMMYFUNCTION("""COMPUTED_VALUE"""),"P1")</f>
        <v>P1</v>
      </c>
      <c r="I626" s="1" t="str">
        <f ca="1">IFERROR(__xludf.DUMMYFUNCTION("""COMPUTED_VALUE"""),"Barry")</f>
        <v>Barry</v>
      </c>
    </row>
    <row r="627" spans="1:9" ht="12.7" x14ac:dyDescent="0.4">
      <c r="A627" s="2">
        <f ca="1">IFERROR(__xludf.DUMMYFUNCTION("""COMPUTED_VALUE"""),45559.6558301041)</f>
        <v>45559.6558301041</v>
      </c>
      <c r="B627" s="1" t="str">
        <f ca="1">IFERROR(__xludf.DUMMYFUNCTION("""COMPUTED_VALUE"""),"領料")</f>
        <v>領料</v>
      </c>
      <c r="C627" s="1" t="str">
        <f ca="1">IFERROR(__xludf.DUMMYFUNCTION("""COMPUTED_VALUE"""),"ME0270001256")</f>
        <v>ME0270001256</v>
      </c>
      <c r="D627" s="1" t="str">
        <f ca="1">IFERROR(__xludf.DUMMYFUNCTION("""COMPUTED_VALUE"""),"All/共用")</f>
        <v>All/共用</v>
      </c>
      <c r="E627" s="1" t="str">
        <f ca="1">IFERROR(__xludf.DUMMYFUNCTION("""COMPUTED_VALUE"""),"p1/庫存")</f>
        <v>p1/庫存</v>
      </c>
      <c r="F627" s="1">
        <f ca="1">IFERROR(__xludf.DUMMYFUNCTION("""COMPUTED_VALUE"""),2)</f>
        <v>2</v>
      </c>
      <c r="G627" s="1"/>
      <c r="H627" s="1" t="str">
        <f ca="1">IFERROR(__xludf.DUMMYFUNCTION("""COMPUTED_VALUE"""),"P1")</f>
        <v>P1</v>
      </c>
      <c r="I627" s="1" t="str">
        <f ca="1">IFERROR(__xludf.DUMMYFUNCTION("""COMPUTED_VALUE"""),"Chiao Yu")</f>
        <v>Chiao Yu</v>
      </c>
    </row>
    <row r="628" spans="1:9" ht="12.7" x14ac:dyDescent="0.4">
      <c r="A628" s="2">
        <f ca="1">IFERROR(__xludf.DUMMYFUNCTION("""COMPUTED_VALUE"""),45560.2718431597)</f>
        <v>45560.271843159702</v>
      </c>
      <c r="B628" s="1" t="str">
        <f ca="1">IFERROR(__xludf.DUMMYFUNCTION("""COMPUTED_VALUE"""),"領料")</f>
        <v>領料</v>
      </c>
      <c r="C628" s="1" t="str">
        <f ca="1">IFERROR(__xludf.DUMMYFUNCTION("""COMPUTED_VALUE"""),"AGT000000009")</f>
        <v>AGT000000009</v>
      </c>
      <c r="D628" s="1" t="str">
        <f ca="1">IFERROR(__xludf.DUMMYFUNCTION("""COMPUTED_VALUE"""),"All/共用")</f>
        <v>All/共用</v>
      </c>
      <c r="E628" s="1" t="str">
        <f ca="1">IFERROR(__xludf.DUMMYFUNCTION("""COMPUTED_VALUE"""),"p1/庫存")</f>
        <v>p1/庫存</v>
      </c>
      <c r="F628" s="1">
        <f ca="1">IFERROR(__xludf.DUMMYFUNCTION("""COMPUTED_VALUE"""),1)</f>
        <v>1</v>
      </c>
      <c r="G628" s="1"/>
      <c r="H628" s="1" t="str">
        <f ca="1">IFERROR(__xludf.DUMMYFUNCTION("""COMPUTED_VALUE"""),"P1_018")</f>
        <v>P1_018</v>
      </c>
      <c r="I628" s="1" t="str">
        <f ca="1">IFERROR(__xludf.DUMMYFUNCTION("""COMPUTED_VALUE"""),"Barry")</f>
        <v>Barry</v>
      </c>
    </row>
    <row r="629" spans="1:9" ht="12.7" x14ac:dyDescent="0.4">
      <c r="A629" s="2">
        <f ca="1">IFERROR(__xludf.DUMMYFUNCTION("""COMPUTED_VALUE"""),45560.4125214814)</f>
        <v>45560.412521481398</v>
      </c>
      <c r="B629" s="1" t="str">
        <f ca="1">IFERROR(__xludf.DUMMYFUNCTION("""COMPUTED_VALUE"""),"領料")</f>
        <v>領料</v>
      </c>
      <c r="C629" s="1" t="str">
        <f ca="1">IFERROR(__xludf.DUMMYFUNCTION("""COMPUTED_VALUE"""),"ME0270001045")</f>
        <v>ME0270001045</v>
      </c>
      <c r="D629" s="1" t="str">
        <f ca="1">IFERROR(__xludf.DUMMYFUNCTION("""COMPUTED_VALUE"""),"All/共用")</f>
        <v>All/共用</v>
      </c>
      <c r="E629" s="1" t="str">
        <f ca="1">IFERROR(__xludf.DUMMYFUNCTION("""COMPUTED_VALUE"""),"p1/庫存")</f>
        <v>p1/庫存</v>
      </c>
      <c r="F629" s="1">
        <f ca="1">IFERROR(__xludf.DUMMYFUNCTION("""COMPUTED_VALUE"""),2)</f>
        <v>2</v>
      </c>
      <c r="G629" s="1"/>
      <c r="H629" s="1" t="str">
        <f ca="1">IFERROR(__xludf.DUMMYFUNCTION("""COMPUTED_VALUE"""),"P1")</f>
        <v>P1</v>
      </c>
      <c r="I629" s="1" t="str">
        <f ca="1">IFERROR(__xludf.DUMMYFUNCTION("""COMPUTED_VALUE"""),"Chiao Yu")</f>
        <v>Chiao Yu</v>
      </c>
    </row>
    <row r="630" spans="1:9" ht="12.7" x14ac:dyDescent="0.4">
      <c r="A630" s="2">
        <f ca="1">IFERROR(__xludf.DUMMYFUNCTION("""COMPUTED_VALUE"""),45562.4328802777)</f>
        <v>45562.432880277702</v>
      </c>
      <c r="B630" s="1" t="str">
        <f ca="1">IFERROR(__xludf.DUMMYFUNCTION("""COMPUTED_VALUE"""),"領料")</f>
        <v>領料</v>
      </c>
      <c r="C630" s="1" t="str">
        <f ca="1">IFERROR(__xludf.DUMMYFUNCTION("""COMPUTED_VALUE"""),"ME0270001045")</f>
        <v>ME0270001045</v>
      </c>
      <c r="D630" s="1" t="str">
        <f ca="1">IFERROR(__xludf.DUMMYFUNCTION("""COMPUTED_VALUE"""),"All/共用")</f>
        <v>All/共用</v>
      </c>
      <c r="E630" s="1" t="str">
        <f ca="1">IFERROR(__xludf.DUMMYFUNCTION("""COMPUTED_VALUE"""),"p2/庫存")</f>
        <v>p2/庫存</v>
      </c>
      <c r="F630" s="1">
        <f ca="1">IFERROR(__xludf.DUMMYFUNCTION("""COMPUTED_VALUE"""),1)</f>
        <v>1</v>
      </c>
      <c r="G630" s="1"/>
      <c r="H630" s="1" t="str">
        <f ca="1">IFERROR(__xludf.DUMMYFUNCTION("""COMPUTED_VALUE"""),"P2")</f>
        <v>P2</v>
      </c>
      <c r="I630" s="1" t="str">
        <f ca="1">IFERROR(__xludf.DUMMYFUNCTION("""COMPUTED_VALUE"""),"Jason")</f>
        <v>Jason</v>
      </c>
    </row>
    <row r="631" spans="1:9" ht="12.7" x14ac:dyDescent="0.4">
      <c r="A631" s="2">
        <f ca="1">IFERROR(__xludf.DUMMYFUNCTION("""COMPUTED_VALUE"""),45562.6263748958)</f>
        <v>45562.626374895801</v>
      </c>
      <c r="B631" s="1" t="str">
        <f ca="1">IFERROR(__xludf.DUMMYFUNCTION("""COMPUTED_VALUE"""),"庫存調整")</f>
        <v>庫存調整</v>
      </c>
      <c r="C631" s="1" t="str">
        <f ca="1">IFERROR(__xludf.DUMMYFUNCTION("""COMPUTED_VALUE"""),"ME0270001045")</f>
        <v>ME0270001045</v>
      </c>
      <c r="D631" s="1" t="str">
        <f ca="1">IFERROR(__xludf.DUMMYFUNCTION("""COMPUTED_VALUE"""),"All/共用")</f>
        <v>All/共用</v>
      </c>
      <c r="E631" s="1" t="str">
        <f ca="1">IFERROR(__xludf.DUMMYFUNCTION("""COMPUTED_VALUE"""),"p1/庫存")</f>
        <v>p1/庫存</v>
      </c>
      <c r="F631" s="1">
        <f ca="1">IFERROR(__xludf.DUMMYFUNCTION("""COMPUTED_VALUE"""),2)</f>
        <v>2</v>
      </c>
      <c r="G631" s="1"/>
      <c r="H631" s="1" t="str">
        <f ca="1">IFERROR(__xludf.DUMMYFUNCTION("""COMPUTED_VALUE"""),"P1")</f>
        <v>P1</v>
      </c>
      <c r="I631" s="1" t="str">
        <f ca="1">IFERROR(__xludf.DUMMYFUNCTION("""COMPUTED_VALUE"""),"Chiao Yu")</f>
        <v>Chiao Yu</v>
      </c>
    </row>
    <row r="632" spans="1:9" ht="12.7" x14ac:dyDescent="0.4">
      <c r="A632" s="2">
        <f ca="1">IFERROR(__xludf.DUMMYFUNCTION("""COMPUTED_VALUE"""),45562.6270617361)</f>
        <v>45562.627061736101</v>
      </c>
      <c r="B632" s="1" t="str">
        <f ca="1">IFERROR(__xludf.DUMMYFUNCTION("""COMPUTED_VALUE"""),"庫存調整")</f>
        <v>庫存調整</v>
      </c>
      <c r="C632" s="1" t="str">
        <f ca="1">IFERROR(__xludf.DUMMYFUNCTION("""COMPUTED_VALUE"""),"ME0270001045")</f>
        <v>ME0270001045</v>
      </c>
      <c r="D632" s="1" t="str">
        <f ca="1">IFERROR(__xludf.DUMMYFUNCTION("""COMPUTED_VALUE"""),"All/共用")</f>
        <v>All/共用</v>
      </c>
      <c r="E632" s="1" t="str">
        <f ca="1">IFERROR(__xludf.DUMMYFUNCTION("""COMPUTED_VALUE"""),"p2/庫存")</f>
        <v>p2/庫存</v>
      </c>
      <c r="F632" s="1">
        <f ca="1">IFERROR(__xludf.DUMMYFUNCTION("""COMPUTED_VALUE"""),-2)</f>
        <v>-2</v>
      </c>
      <c r="G632" s="1"/>
      <c r="H632" s="1" t="str">
        <f ca="1">IFERROR(__xludf.DUMMYFUNCTION("""COMPUTED_VALUE"""),"P2")</f>
        <v>P2</v>
      </c>
      <c r="I632" s="1" t="str">
        <f ca="1">IFERROR(__xludf.DUMMYFUNCTION("""COMPUTED_VALUE"""),"Simon")</f>
        <v>Simon</v>
      </c>
    </row>
    <row r="633" spans="1:9" ht="12.7" x14ac:dyDescent="0.4">
      <c r="A633" s="2">
        <f ca="1">IFERROR(__xludf.DUMMYFUNCTION("""COMPUTED_VALUE"""),45562.6278866203)</f>
        <v>45562.627886620299</v>
      </c>
      <c r="B633" s="1" t="str">
        <f ca="1">IFERROR(__xludf.DUMMYFUNCTION("""COMPUTED_VALUE"""),"領料")</f>
        <v>領料</v>
      </c>
      <c r="C633" s="1" t="str">
        <f ca="1">IFERROR(__xludf.DUMMYFUNCTION("""COMPUTED_VALUE"""),"ME0270001045")</f>
        <v>ME0270001045</v>
      </c>
      <c r="D633" s="1" t="str">
        <f ca="1">IFERROR(__xludf.DUMMYFUNCTION("""COMPUTED_VALUE"""),"All/共用")</f>
        <v>All/共用</v>
      </c>
      <c r="E633" s="1" t="str">
        <f ca="1">IFERROR(__xludf.DUMMYFUNCTION("""COMPUTED_VALUE"""),"p1/庫存")</f>
        <v>p1/庫存</v>
      </c>
      <c r="F633" s="1">
        <f ca="1">IFERROR(__xludf.DUMMYFUNCTION("""COMPUTED_VALUE"""),3)</f>
        <v>3</v>
      </c>
      <c r="G633" s="1"/>
      <c r="H633" s="1" t="str">
        <f ca="1">IFERROR(__xludf.DUMMYFUNCTION("""COMPUTED_VALUE"""),"P1")</f>
        <v>P1</v>
      </c>
      <c r="I633" s="1" t="str">
        <f ca="1">IFERROR(__xludf.DUMMYFUNCTION("""COMPUTED_VALUE"""),"Chiao Yu")</f>
        <v>Chiao Yu</v>
      </c>
    </row>
    <row r="634" spans="1:9" ht="12.7" x14ac:dyDescent="0.4">
      <c r="A634" s="2">
        <f ca="1">IFERROR(__xludf.DUMMYFUNCTION("""COMPUTED_VALUE"""),45562.8046041782)</f>
        <v>45562.8046041782</v>
      </c>
      <c r="B634" s="1" t="str">
        <f ca="1">IFERROR(__xludf.DUMMYFUNCTION("""COMPUTED_VALUE"""),"返修")</f>
        <v>返修</v>
      </c>
      <c r="C634" s="1" t="str">
        <f ca="1">IFERROR(__xludf.DUMMYFUNCTION("""COMPUTED_VALUE"""),"A00100000731")</f>
        <v>A00100000731</v>
      </c>
      <c r="D634" s="1" t="str">
        <f ca="1">IFERROR(__xludf.DUMMYFUNCTION("""COMPUTED_VALUE"""),"All/BA")</f>
        <v>All/BA</v>
      </c>
      <c r="E634" s="1" t="str">
        <f ca="1">IFERROR(__xludf.DUMMYFUNCTION("""COMPUTED_VALUE"""),"p1/庫存")</f>
        <v>p1/庫存</v>
      </c>
      <c r="F634" s="1">
        <f ca="1">IFERROR(__xludf.DUMMYFUNCTION("""COMPUTED_VALUE"""),1)</f>
        <v>1</v>
      </c>
      <c r="G634" s="1" t="str">
        <f ca="1">IFERROR(__xludf.DUMMYFUNCTION("""COMPUTED_VALUE"""),"05F425")</f>
        <v>05F425</v>
      </c>
      <c r="H634" s="1" t="str">
        <f ca="1">IFERROR(__xludf.DUMMYFUNCTION("""COMPUTED_VALUE"""),"P1_014")</f>
        <v>P1_014</v>
      </c>
      <c r="I634" s="1" t="str">
        <f ca="1">IFERROR(__xludf.DUMMYFUNCTION("""COMPUTED_VALUE"""),"Chiao Yu")</f>
        <v>Chiao Yu</v>
      </c>
    </row>
    <row r="635" spans="1:9" ht="12.7" x14ac:dyDescent="0.4">
      <c r="A635" s="2">
        <f ca="1">IFERROR(__xludf.DUMMYFUNCTION("""COMPUTED_VALUE"""),45562.8052523611)</f>
        <v>45562.805252361097</v>
      </c>
      <c r="B635" s="1" t="str">
        <f ca="1">IFERROR(__xludf.DUMMYFUNCTION("""COMPUTED_VALUE"""),"返修")</f>
        <v>返修</v>
      </c>
      <c r="C635" s="1" t="str">
        <f ca="1">IFERROR(__xludf.DUMMYFUNCTION("""COMPUTED_VALUE"""),"A00100000731")</f>
        <v>A00100000731</v>
      </c>
      <c r="D635" s="1" t="str">
        <f ca="1">IFERROR(__xludf.DUMMYFUNCTION("""COMPUTED_VALUE"""),"All/BA")</f>
        <v>All/BA</v>
      </c>
      <c r="E635" s="1" t="str">
        <f ca="1">IFERROR(__xludf.DUMMYFUNCTION("""COMPUTED_VALUE"""),"p1/庫存")</f>
        <v>p1/庫存</v>
      </c>
      <c r="F635" s="1">
        <f ca="1">IFERROR(__xludf.DUMMYFUNCTION("""COMPUTED_VALUE"""),1)</f>
        <v>1</v>
      </c>
      <c r="G635" s="1" t="str">
        <f ca="1">IFERROR(__xludf.DUMMYFUNCTION("""COMPUTED_VALUE"""),"04F225")</f>
        <v>04F225</v>
      </c>
      <c r="H635" s="1" t="str">
        <f ca="1">IFERROR(__xludf.DUMMYFUNCTION("""COMPUTED_VALUE"""),"P1_018")</f>
        <v>P1_018</v>
      </c>
      <c r="I635" s="1" t="str">
        <f ca="1">IFERROR(__xludf.DUMMYFUNCTION("""COMPUTED_VALUE"""),"Chiao Yu")</f>
        <v>Chiao Yu</v>
      </c>
    </row>
    <row r="636" spans="1:9" ht="12.7" x14ac:dyDescent="0.4">
      <c r="A636" s="2">
        <f ca="1">IFERROR(__xludf.DUMMYFUNCTION("""COMPUTED_VALUE"""),45562.8068943865)</f>
        <v>45562.8068943865</v>
      </c>
      <c r="B636" s="1" t="str">
        <f ca="1">IFERROR(__xludf.DUMMYFUNCTION("""COMPUTED_VALUE"""),"返修")</f>
        <v>返修</v>
      </c>
      <c r="C636" s="1" t="str">
        <f ca="1">IFERROR(__xludf.DUMMYFUNCTION("""COMPUTED_VALUE"""),"ME0160000073")</f>
        <v>ME0160000073</v>
      </c>
      <c r="D636" s="1" t="str">
        <f ca="1">IFERROR(__xludf.DUMMYFUNCTION("""COMPUTED_VALUE"""),"All/BA")</f>
        <v>All/BA</v>
      </c>
      <c r="E636" s="1" t="str">
        <f ca="1">IFERROR(__xludf.DUMMYFUNCTION("""COMPUTED_VALUE"""),"p1/庫存")</f>
        <v>p1/庫存</v>
      </c>
      <c r="F636" s="1">
        <f ca="1">IFERROR(__xludf.DUMMYFUNCTION("""COMPUTED_VALUE"""),1)</f>
        <v>1</v>
      </c>
      <c r="G636" s="1" t="str">
        <f ca="1">IFERROR(__xludf.DUMMYFUNCTION("""COMPUTED_VALUE"""),"B2211410")</f>
        <v>B2211410</v>
      </c>
      <c r="H636" s="1" t="str">
        <f ca="1">IFERROR(__xludf.DUMMYFUNCTION("""COMPUTED_VALUE"""),"P1_044")</f>
        <v>P1_044</v>
      </c>
      <c r="I636" s="1" t="str">
        <f ca="1">IFERROR(__xludf.DUMMYFUNCTION("""COMPUTED_VALUE"""),"Chiao Yu")</f>
        <v>Chiao Yu</v>
      </c>
    </row>
    <row r="637" spans="1:9" ht="12.7" x14ac:dyDescent="0.4">
      <c r="A637" s="2">
        <f ca="1">IFERROR(__xludf.DUMMYFUNCTION("""COMPUTED_VALUE"""),45562.8075888657)</f>
        <v>45562.807588865697</v>
      </c>
      <c r="B637" s="1" t="str">
        <f ca="1">IFERROR(__xludf.DUMMYFUNCTION("""COMPUTED_VALUE"""),"返修")</f>
        <v>返修</v>
      </c>
      <c r="C637" s="1" t="str">
        <f ca="1">IFERROR(__xludf.DUMMYFUNCTION("""COMPUTED_VALUE"""),"ME0160000073")</f>
        <v>ME0160000073</v>
      </c>
      <c r="D637" s="1" t="str">
        <f ca="1">IFERROR(__xludf.DUMMYFUNCTION("""COMPUTED_VALUE"""),"All/BA")</f>
        <v>All/BA</v>
      </c>
      <c r="E637" s="1" t="str">
        <f ca="1">IFERROR(__xludf.DUMMYFUNCTION("""COMPUTED_VALUE"""),"p1/庫存")</f>
        <v>p1/庫存</v>
      </c>
      <c r="F637" s="1">
        <f ca="1">IFERROR(__xludf.DUMMYFUNCTION("""COMPUTED_VALUE"""),1)</f>
        <v>1</v>
      </c>
      <c r="G637" s="1" t="str">
        <f ca="1">IFERROR(__xludf.DUMMYFUNCTION("""COMPUTED_VALUE"""),"B2002353")</f>
        <v>B2002353</v>
      </c>
      <c r="H637" s="1" t="str">
        <f ca="1">IFERROR(__xludf.DUMMYFUNCTION("""COMPUTED_VALUE"""),"P1_025")</f>
        <v>P1_025</v>
      </c>
      <c r="I637" s="1" t="str">
        <f ca="1">IFERROR(__xludf.DUMMYFUNCTION("""COMPUTED_VALUE"""),"Chiao Yu")</f>
        <v>Chiao Yu</v>
      </c>
    </row>
    <row r="638" spans="1:9" ht="12.7" x14ac:dyDescent="0.4">
      <c r="A638" s="2">
        <f ca="1">IFERROR(__xludf.DUMMYFUNCTION("""COMPUTED_VALUE"""),45562.8081334606)</f>
        <v>45562.808133460603</v>
      </c>
      <c r="B638" s="1" t="str">
        <f ca="1">IFERROR(__xludf.DUMMYFUNCTION("""COMPUTED_VALUE"""),"返修")</f>
        <v>返修</v>
      </c>
      <c r="C638" s="1" t="str">
        <f ca="1">IFERROR(__xludf.DUMMYFUNCTION("""COMPUTED_VALUE"""),"ME0160000073")</f>
        <v>ME0160000073</v>
      </c>
      <c r="D638" s="1" t="str">
        <f ca="1">IFERROR(__xludf.DUMMYFUNCTION("""COMPUTED_VALUE"""),"All/BA")</f>
        <v>All/BA</v>
      </c>
      <c r="E638" s="1" t="str">
        <f ca="1">IFERROR(__xludf.DUMMYFUNCTION("""COMPUTED_VALUE"""),"p1/庫存")</f>
        <v>p1/庫存</v>
      </c>
      <c r="F638" s="1">
        <f ca="1">IFERROR(__xludf.DUMMYFUNCTION("""COMPUTED_VALUE"""),1)</f>
        <v>1</v>
      </c>
      <c r="G638" s="1" t="str">
        <f ca="1">IFERROR(__xludf.DUMMYFUNCTION("""COMPUTED_VALUE"""),"B2206372")</f>
        <v>B2206372</v>
      </c>
      <c r="H638" s="1" t="str">
        <f ca="1">IFERROR(__xludf.DUMMYFUNCTION("""COMPUTED_VALUE"""),"P1_025")</f>
        <v>P1_025</v>
      </c>
      <c r="I638" s="1" t="str">
        <f ca="1">IFERROR(__xludf.DUMMYFUNCTION("""COMPUTED_VALUE"""),"Chiao Yu")</f>
        <v>Chiao Yu</v>
      </c>
    </row>
    <row r="639" spans="1:9" ht="12.7" x14ac:dyDescent="0.4">
      <c r="A639" s="2">
        <f ca="1">IFERROR(__xludf.DUMMYFUNCTION("""COMPUTED_VALUE"""),45563.6997601041)</f>
        <v>45563.6997601041</v>
      </c>
      <c r="B639" s="1" t="str">
        <f ca="1">IFERROR(__xludf.DUMMYFUNCTION("""COMPUTED_VALUE"""),"送修")</f>
        <v>送修</v>
      </c>
      <c r="C639" s="1" t="str">
        <f ca="1">IFERROR(__xludf.DUMMYFUNCTION("""COMPUTED_VALUE"""),"ME0020000525")</f>
        <v>ME0020000525</v>
      </c>
      <c r="D639" s="1" t="str">
        <f ca="1">IFERROR(__xludf.DUMMYFUNCTION("""COMPUTED_VALUE"""),"All/共用")</f>
        <v>All/共用</v>
      </c>
      <c r="E639" s="1" t="str">
        <f ca="1">IFERROR(__xludf.DUMMYFUNCTION("""COMPUTED_VALUE"""),"p2/庫存")</f>
        <v>p2/庫存</v>
      </c>
      <c r="F639" s="1">
        <f ca="1">IFERROR(__xludf.DUMMYFUNCTION("""COMPUTED_VALUE"""),1)</f>
        <v>1</v>
      </c>
      <c r="G639" s="1" t="str">
        <f ca="1">IFERROR(__xludf.DUMMYFUNCTION("""COMPUTED_VALUE"""),"2214E62338CE")</f>
        <v>2214E62338CE</v>
      </c>
      <c r="H639" s="1" t="str">
        <f ca="1">IFERROR(__xludf.DUMMYFUNCTION("""COMPUTED_VALUE"""),"P2_2003")</f>
        <v>P2_2003</v>
      </c>
      <c r="I639" s="1" t="str">
        <f ca="1">IFERROR(__xludf.DUMMYFUNCTION("""COMPUTED_VALUE"""),"Chiao Yu")</f>
        <v>Chiao Yu</v>
      </c>
    </row>
    <row r="640" spans="1:9" ht="12.7" x14ac:dyDescent="0.4">
      <c r="A640" s="2">
        <f ca="1">IFERROR(__xludf.DUMMYFUNCTION("""COMPUTED_VALUE"""),45563.700986574)</f>
        <v>45563.700986573996</v>
      </c>
      <c r="B640" s="1" t="str">
        <f ca="1">IFERROR(__xludf.DUMMYFUNCTION("""COMPUTED_VALUE"""),"料件上線時間")</f>
        <v>料件上線時間</v>
      </c>
      <c r="C640" s="1" t="str">
        <f ca="1">IFERROR(__xludf.DUMMYFUNCTION("""COMPUTED_VALUE"""),"ME0020000525")</f>
        <v>ME0020000525</v>
      </c>
      <c r="D640" s="1" t="str">
        <f ca="1">IFERROR(__xludf.DUMMYFUNCTION("""COMPUTED_VALUE"""),"All/共用")</f>
        <v>All/共用</v>
      </c>
      <c r="E640" s="1" t="str">
        <f ca="1">IFERROR(__xludf.DUMMYFUNCTION("""COMPUTED_VALUE"""),"p2/庫存")</f>
        <v>p2/庫存</v>
      </c>
      <c r="F640" s="1">
        <f ca="1">IFERROR(__xludf.DUMMYFUNCTION("""COMPUTED_VALUE"""),1)</f>
        <v>1</v>
      </c>
      <c r="G640" s="1" t="str">
        <f ca="1">IFERROR(__xludf.DUMMYFUNCTION("""COMPUTED_VALUE"""),"2413E8A288B0")</f>
        <v>2413E8A288B0</v>
      </c>
      <c r="H640" s="1" t="str">
        <f ca="1">IFERROR(__xludf.DUMMYFUNCTION("""COMPUTED_VALUE"""),"P2_2003")</f>
        <v>P2_2003</v>
      </c>
      <c r="I640" s="1" t="str">
        <f ca="1">IFERROR(__xludf.DUMMYFUNCTION("""COMPUTED_VALUE"""),"Chiao Yu")</f>
        <v>Chiao Yu</v>
      </c>
    </row>
    <row r="641" spans="1:9" ht="12.7" x14ac:dyDescent="0.4">
      <c r="A641" s="2">
        <f ca="1">IFERROR(__xludf.DUMMYFUNCTION("""COMPUTED_VALUE"""),45565.8318225694)</f>
        <v>45565.831822569402</v>
      </c>
      <c r="B641" s="1" t="str">
        <f ca="1">IFERROR(__xludf.DUMMYFUNCTION("""COMPUTED_VALUE"""),"送修")</f>
        <v>送修</v>
      </c>
      <c r="C641" s="1" t="str">
        <f ca="1">IFERROR(__xludf.DUMMYFUNCTION("""COMPUTED_VALUE"""),"A00700000825")</f>
        <v>A00700000825</v>
      </c>
      <c r="D641" s="1" t="str">
        <f ca="1">IFERROR(__xludf.DUMMYFUNCTION("""COMPUTED_VALUE"""),"All/RL")</f>
        <v>All/RL</v>
      </c>
      <c r="E641" s="1" t="str">
        <f ca="1">IFERROR(__xludf.DUMMYFUNCTION("""COMPUTED_VALUE"""),"p2/庫存")</f>
        <v>p2/庫存</v>
      </c>
      <c r="F641" s="1">
        <f ca="1">IFERROR(__xludf.DUMMYFUNCTION("""COMPUTED_VALUE"""),1)</f>
        <v>1</v>
      </c>
      <c r="G641" s="1" t="str">
        <f ca="1">IFERROR(__xludf.DUMMYFUNCTION("""COMPUTED_VALUE"""),"B603068016004467")</f>
        <v>B603068016004467</v>
      </c>
      <c r="H641" s="1" t="str">
        <f ca="1">IFERROR(__xludf.DUMMYFUNCTION("""COMPUTED_VALUE"""),"P2_1002")</f>
        <v>P2_1002</v>
      </c>
      <c r="I641" s="1" t="str">
        <f ca="1">IFERROR(__xludf.DUMMYFUNCTION("""COMPUTED_VALUE"""),"Simon")</f>
        <v>Simon</v>
      </c>
    </row>
    <row r="642" spans="1:9" ht="12.7" x14ac:dyDescent="0.4">
      <c r="A642" s="2">
        <f ca="1">IFERROR(__xludf.DUMMYFUNCTION("""COMPUTED_VALUE"""),45565.8325815972)</f>
        <v>45565.832581597198</v>
      </c>
      <c r="B642" s="1" t="str">
        <f ca="1">IFERROR(__xludf.DUMMYFUNCTION("""COMPUTED_VALUE"""),"料件上線時間")</f>
        <v>料件上線時間</v>
      </c>
      <c r="C642" s="1" t="str">
        <f ca="1">IFERROR(__xludf.DUMMYFUNCTION("""COMPUTED_VALUE"""),"A00700000825")</f>
        <v>A00700000825</v>
      </c>
      <c r="D642" s="1" t="str">
        <f ca="1">IFERROR(__xludf.DUMMYFUNCTION("""COMPUTED_VALUE"""),"All/RL")</f>
        <v>All/RL</v>
      </c>
      <c r="E642" s="1" t="str">
        <f ca="1">IFERROR(__xludf.DUMMYFUNCTION("""COMPUTED_VALUE"""),"p2/庫存")</f>
        <v>p2/庫存</v>
      </c>
      <c r="F642" s="1">
        <f ca="1">IFERROR(__xludf.DUMMYFUNCTION("""COMPUTED_VALUE"""),1)</f>
        <v>1</v>
      </c>
      <c r="G642" s="1"/>
      <c r="H642" s="1" t="str">
        <f ca="1">IFERROR(__xludf.DUMMYFUNCTION("""COMPUTED_VALUE"""),"P2_1002")</f>
        <v>P2_1002</v>
      </c>
      <c r="I642" s="1" t="str">
        <f ca="1">IFERROR(__xludf.DUMMYFUNCTION("""COMPUTED_VALUE"""),"Simon")</f>
        <v>Simon</v>
      </c>
    </row>
    <row r="643" spans="1:9" ht="12.7" x14ac:dyDescent="0.4">
      <c r="A643" s="2">
        <f ca="1">IFERROR(__xludf.DUMMYFUNCTION("""COMPUTED_VALUE"""),45566.3099930555)</f>
        <v>45566.309993055504</v>
      </c>
      <c r="B643" s="1" t="str">
        <f ca="1">IFERROR(__xludf.DUMMYFUNCTION("""COMPUTED_VALUE"""),"送修")</f>
        <v>送修</v>
      </c>
      <c r="C643" s="1" t="str">
        <f ca="1">IFERROR(__xludf.DUMMYFUNCTION("""COMPUTED_VALUE"""),"ME0160000073")</f>
        <v>ME0160000073</v>
      </c>
      <c r="D643" s="1" t="str">
        <f ca="1">IFERROR(__xludf.DUMMYFUNCTION("""COMPUTED_VALUE"""),"All/BA")</f>
        <v>All/BA</v>
      </c>
      <c r="E643" s="1" t="str">
        <f ca="1">IFERROR(__xludf.DUMMYFUNCTION("""COMPUTED_VALUE"""),"p2/庫存")</f>
        <v>p2/庫存</v>
      </c>
      <c r="F643" s="1">
        <f ca="1">IFERROR(__xludf.DUMMYFUNCTION("""COMPUTED_VALUE"""),1)</f>
        <v>1</v>
      </c>
      <c r="G643" s="1" t="str">
        <f ca="1">IFERROR(__xludf.DUMMYFUNCTION("""COMPUTED_VALUE"""),"B1409079")</f>
        <v>B1409079</v>
      </c>
      <c r="H643" s="1" t="str">
        <f ca="1">IFERROR(__xludf.DUMMYFUNCTION("""COMPUTED_VALUE"""),"P2_043")</f>
        <v>P2_043</v>
      </c>
      <c r="I643" s="1" t="str">
        <f ca="1">IFERROR(__xludf.DUMMYFUNCTION("""COMPUTED_VALUE"""),"Jason")</f>
        <v>Jason</v>
      </c>
    </row>
    <row r="644" spans="1:9" ht="12.7" x14ac:dyDescent="0.4">
      <c r="A644" s="2">
        <f ca="1">IFERROR(__xludf.DUMMYFUNCTION("""COMPUTED_VALUE"""),45566.3433232638)</f>
        <v>45566.343323263798</v>
      </c>
      <c r="B644" s="1" t="str">
        <f ca="1">IFERROR(__xludf.DUMMYFUNCTION("""COMPUTED_VALUE"""),"料件上線時間")</f>
        <v>料件上線時間</v>
      </c>
      <c r="C644" s="1" t="str">
        <f ca="1">IFERROR(__xludf.DUMMYFUNCTION("""COMPUTED_VALUE"""),"ME0160000073")</f>
        <v>ME0160000073</v>
      </c>
      <c r="D644" s="1" t="str">
        <f ca="1">IFERROR(__xludf.DUMMYFUNCTION("""COMPUTED_VALUE"""),"All/BA")</f>
        <v>All/BA</v>
      </c>
      <c r="E644" s="1" t="str">
        <f ca="1">IFERROR(__xludf.DUMMYFUNCTION("""COMPUTED_VALUE"""),"p2/庫存")</f>
        <v>p2/庫存</v>
      </c>
      <c r="F644" s="1">
        <f ca="1">IFERROR(__xludf.DUMMYFUNCTION("""COMPUTED_VALUE"""),1)</f>
        <v>1</v>
      </c>
      <c r="G644" s="1" t="str">
        <f ca="1">IFERROR(__xludf.DUMMYFUNCTION("""COMPUTED_VALUE"""),"B2211395")</f>
        <v>B2211395</v>
      </c>
      <c r="H644" s="1" t="str">
        <f ca="1">IFERROR(__xludf.DUMMYFUNCTION("""COMPUTED_VALUE"""),"P2_043")</f>
        <v>P2_043</v>
      </c>
      <c r="I644" s="1" t="str">
        <f ca="1">IFERROR(__xludf.DUMMYFUNCTION("""COMPUTED_VALUE"""),"Jason")</f>
        <v>Jason</v>
      </c>
    </row>
    <row r="645" spans="1:9" ht="12.7" x14ac:dyDescent="0.4">
      <c r="A645" s="2">
        <f ca="1">IFERROR(__xludf.DUMMYFUNCTION("""COMPUTED_VALUE"""),45567.2825486226)</f>
        <v>45567.282548622599</v>
      </c>
      <c r="B645" s="1" t="str">
        <f ca="1">IFERROR(__xludf.DUMMYFUNCTION("""COMPUTED_VALUE"""),"領料")</f>
        <v>領料</v>
      </c>
      <c r="C645" s="1" t="str">
        <f ca="1">IFERROR(__xludf.DUMMYFUNCTION("""COMPUTED_VALUE"""),"ME0270001045")</f>
        <v>ME0270001045</v>
      </c>
      <c r="D645" s="1" t="str">
        <f ca="1">IFERROR(__xludf.DUMMYFUNCTION("""COMPUTED_VALUE"""),"All/共用")</f>
        <v>All/共用</v>
      </c>
      <c r="E645" s="1" t="str">
        <f ca="1">IFERROR(__xludf.DUMMYFUNCTION("""COMPUTED_VALUE"""),"p2/庫存")</f>
        <v>p2/庫存</v>
      </c>
      <c r="F645" s="1">
        <f ca="1">IFERROR(__xludf.DUMMYFUNCTION("""COMPUTED_VALUE"""),0)</f>
        <v>0</v>
      </c>
      <c r="G645" s="1"/>
      <c r="H645" s="1" t="str">
        <f ca="1">IFERROR(__xludf.DUMMYFUNCTION("""COMPUTED_VALUE"""),"P2")</f>
        <v>P2</v>
      </c>
      <c r="I645" s="1" t="str">
        <f ca="1">IFERROR(__xludf.DUMMYFUNCTION("""COMPUTED_VALUE"""),"Jason")</f>
        <v>Jason</v>
      </c>
    </row>
    <row r="646" spans="1:9" ht="12.7" x14ac:dyDescent="0.4">
      <c r="A646" s="2">
        <f ca="1">IFERROR(__xludf.DUMMYFUNCTION("""COMPUTED_VALUE"""),45569.4665890046)</f>
        <v>45569.466589004602</v>
      </c>
      <c r="B646" s="1" t="str">
        <f ca="1">IFERROR(__xludf.DUMMYFUNCTION("""COMPUTED_VALUE"""),"送修")</f>
        <v>送修</v>
      </c>
      <c r="C646" s="1" t="str">
        <f ca="1">IFERROR(__xludf.DUMMYFUNCTION("""COMPUTED_VALUE"""),"A00100000731")</f>
        <v>A00100000731</v>
      </c>
      <c r="D646" s="1" t="str">
        <f ca="1">IFERROR(__xludf.DUMMYFUNCTION("""COMPUTED_VALUE"""),"All/BA")</f>
        <v>All/BA</v>
      </c>
      <c r="E646" s="1" t="str">
        <f ca="1">IFERROR(__xludf.DUMMYFUNCTION("""COMPUTED_VALUE"""),"p1/庫存")</f>
        <v>p1/庫存</v>
      </c>
      <c r="F646" s="1">
        <f ca="1">IFERROR(__xludf.DUMMYFUNCTION("""COMPUTED_VALUE"""),1)</f>
        <v>1</v>
      </c>
      <c r="G646" s="1" t="str">
        <f ca="1">IFERROR(__xludf.DUMMYFUNCTION("""COMPUTED_VALUE"""),"06F026")</f>
        <v>06F026</v>
      </c>
      <c r="H646" s="1" t="str">
        <f ca="1">IFERROR(__xludf.DUMMYFUNCTION("""COMPUTED_VALUE"""),"P1_003")</f>
        <v>P1_003</v>
      </c>
      <c r="I646" s="1" t="str">
        <f ca="1">IFERROR(__xludf.DUMMYFUNCTION("""COMPUTED_VALUE"""),"Barry")</f>
        <v>Barry</v>
      </c>
    </row>
    <row r="647" spans="1:9" ht="12.7" x14ac:dyDescent="0.4">
      <c r="A647" s="2">
        <f ca="1">IFERROR(__xludf.DUMMYFUNCTION("""COMPUTED_VALUE"""),45569.4677465393)</f>
        <v>45569.467746539303</v>
      </c>
      <c r="B647" s="1" t="str">
        <f ca="1">IFERROR(__xludf.DUMMYFUNCTION("""COMPUTED_VALUE"""),"料件上線時間")</f>
        <v>料件上線時間</v>
      </c>
      <c r="C647" s="1" t="str">
        <f ca="1">IFERROR(__xludf.DUMMYFUNCTION("""COMPUTED_VALUE"""),"A00100000731")</f>
        <v>A00100000731</v>
      </c>
      <c r="D647" s="1" t="str">
        <f ca="1">IFERROR(__xludf.DUMMYFUNCTION("""COMPUTED_VALUE"""),"All/BA")</f>
        <v>All/BA</v>
      </c>
      <c r="E647" s="1" t="str">
        <f ca="1">IFERROR(__xludf.DUMMYFUNCTION("""COMPUTED_VALUE"""),"p1/庫存")</f>
        <v>p1/庫存</v>
      </c>
      <c r="F647" s="1">
        <f ca="1">IFERROR(__xludf.DUMMYFUNCTION("""COMPUTED_VALUE"""),1)</f>
        <v>1</v>
      </c>
      <c r="G647" s="1" t="str">
        <f ca="1">IFERROR(__xludf.DUMMYFUNCTION("""COMPUTED_VALUE"""),"04F225 ")</f>
        <v xml:space="preserve">04F225 </v>
      </c>
      <c r="H647" s="1" t="str">
        <f ca="1">IFERROR(__xludf.DUMMYFUNCTION("""COMPUTED_VALUE"""),"P1_003")</f>
        <v>P1_003</v>
      </c>
      <c r="I647" s="1" t="str">
        <f ca="1">IFERROR(__xludf.DUMMYFUNCTION("""COMPUTED_VALUE"""),"Chiao Yu")</f>
        <v>Chiao Yu</v>
      </c>
    </row>
    <row r="648" spans="1:9" ht="12.7" x14ac:dyDescent="0.4">
      <c r="A648" s="2">
        <f ca="1">IFERROR(__xludf.DUMMYFUNCTION("""COMPUTED_VALUE"""),45572.3409687731)</f>
        <v>45572.340968773096</v>
      </c>
      <c r="B648" s="1" t="str">
        <f ca="1">IFERROR(__xludf.DUMMYFUNCTION("""COMPUTED_VALUE"""),"領料")</f>
        <v>領料</v>
      </c>
      <c r="C648" s="1" t="str">
        <f ca="1">IFERROR(__xludf.DUMMYFUNCTION("""COMPUTED_VALUE"""),"AGT000000005")</f>
        <v>AGT000000005</v>
      </c>
      <c r="D648" s="1" t="str">
        <f ca="1">IFERROR(__xludf.DUMMYFUNCTION("""COMPUTED_VALUE"""),"All/共用")</f>
        <v>All/共用</v>
      </c>
      <c r="E648" s="1" t="str">
        <f ca="1">IFERROR(__xludf.DUMMYFUNCTION("""COMPUTED_VALUE"""),"p1/庫存")</f>
        <v>p1/庫存</v>
      </c>
      <c r="F648" s="1">
        <f ca="1">IFERROR(__xludf.DUMMYFUNCTION("""COMPUTED_VALUE"""),1)</f>
        <v>1</v>
      </c>
      <c r="G648" s="1"/>
      <c r="H648" s="1" t="str">
        <f ca="1">IFERROR(__xludf.DUMMYFUNCTION("""COMPUTED_VALUE"""),"P1_024")</f>
        <v>P1_024</v>
      </c>
      <c r="I648" s="1" t="str">
        <f ca="1">IFERROR(__xludf.DUMMYFUNCTION("""COMPUTED_VALUE"""),"Barry")</f>
        <v>Barry</v>
      </c>
    </row>
    <row r="649" spans="1:9" ht="12.7" x14ac:dyDescent="0.4">
      <c r="A649" s="2">
        <f ca="1">IFERROR(__xludf.DUMMYFUNCTION("""COMPUTED_VALUE"""),45573.761734537)</f>
        <v>45573.761734537002</v>
      </c>
      <c r="B649" s="1" t="str">
        <f ca="1">IFERROR(__xludf.DUMMYFUNCTION("""COMPUTED_VALUE"""),"送修")</f>
        <v>送修</v>
      </c>
      <c r="C649" s="1" t="str">
        <f ca="1">IFERROR(__xludf.DUMMYFUNCTION("""COMPUTED_VALUE"""),"ME0070000140")</f>
        <v>ME0070000140</v>
      </c>
      <c r="D649" s="1" t="str">
        <f ca="1">IFERROR(__xludf.DUMMYFUNCTION("""COMPUTED_VALUE"""),"All/BA")</f>
        <v>All/BA</v>
      </c>
      <c r="E649" s="1" t="str">
        <f ca="1">IFERROR(__xludf.DUMMYFUNCTION("""COMPUTED_VALUE"""),"p1/庫存")</f>
        <v>p1/庫存</v>
      </c>
      <c r="F649" s="1">
        <f ca="1">IFERROR(__xludf.DUMMYFUNCTION("""COMPUTED_VALUE"""),1)</f>
        <v>1</v>
      </c>
      <c r="G649" s="1" t="str">
        <f ca="1">IFERROR(__xludf.DUMMYFUNCTION("""COMPUTED_VALUE"""),"100A-2522C0066-2204")</f>
        <v>100A-2522C0066-2204</v>
      </c>
      <c r="H649" s="1" t="str">
        <f ca="1">IFERROR(__xludf.DUMMYFUNCTION("""COMPUTED_VALUE"""),"P1_013")</f>
        <v>P1_013</v>
      </c>
      <c r="I649" s="1" t="str">
        <f ca="1">IFERROR(__xludf.DUMMYFUNCTION("""COMPUTED_VALUE"""),"Chiao Yu")</f>
        <v>Chiao Yu</v>
      </c>
    </row>
    <row r="650" spans="1:9" ht="12.7" x14ac:dyDescent="0.4">
      <c r="A650" s="2">
        <f ca="1">IFERROR(__xludf.DUMMYFUNCTION("""COMPUTED_VALUE"""),45573.7628473263)</f>
        <v>45573.762847326303</v>
      </c>
      <c r="B650" s="1" t="str">
        <f ca="1">IFERROR(__xludf.DUMMYFUNCTION("""COMPUTED_VALUE"""),"送修")</f>
        <v>送修</v>
      </c>
      <c r="C650" s="1" t="str">
        <f ca="1">IFERROR(__xludf.DUMMYFUNCTION("""COMPUTED_VALUE"""),"ME0020000544")</f>
        <v>ME0020000544</v>
      </c>
      <c r="D650" s="1" t="str">
        <f ca="1">IFERROR(__xludf.DUMMYFUNCTION("""COMPUTED_VALUE"""),"All/共用")</f>
        <v>All/共用</v>
      </c>
      <c r="E650" s="1" t="str">
        <f ca="1">IFERROR(__xludf.DUMMYFUNCTION("""COMPUTED_VALUE"""),"p1/庫存")</f>
        <v>p1/庫存</v>
      </c>
      <c r="F650" s="1">
        <f ca="1">IFERROR(__xludf.DUMMYFUNCTION("""COMPUTED_VALUE"""),1)</f>
        <v>1</v>
      </c>
      <c r="G650" s="1" t="str">
        <f ca="1">IFERROR(__xludf.DUMMYFUNCTION("""COMPUTED_VALUE"""),"E2266Q5001030046")</f>
        <v>E2266Q5001030046</v>
      </c>
      <c r="H650" s="1" t="str">
        <f ca="1">IFERROR(__xludf.DUMMYFUNCTION("""COMPUTED_VALUE"""),"P1_013")</f>
        <v>P1_013</v>
      </c>
      <c r="I650" s="1" t="str">
        <f ca="1">IFERROR(__xludf.DUMMYFUNCTION("""COMPUTED_VALUE"""),"Chiao Yu")</f>
        <v>Chiao Yu</v>
      </c>
    </row>
    <row r="651" spans="1:9" ht="12.7" x14ac:dyDescent="0.4">
      <c r="A651" s="2">
        <f ca="1">IFERROR(__xludf.DUMMYFUNCTION("""COMPUTED_VALUE"""),45573.7641149189)</f>
        <v>45573.7641149189</v>
      </c>
      <c r="B651" s="1" t="str">
        <f ca="1">IFERROR(__xludf.DUMMYFUNCTION("""COMPUTED_VALUE"""),"料件上線時間")</f>
        <v>料件上線時間</v>
      </c>
      <c r="C651" s="1" t="str">
        <f ca="1">IFERROR(__xludf.DUMMYFUNCTION("""COMPUTED_VALUE"""),"ME0070000140")</f>
        <v>ME0070000140</v>
      </c>
      <c r="D651" s="1" t="str">
        <f ca="1">IFERROR(__xludf.DUMMYFUNCTION("""COMPUTED_VALUE"""),"All/BA")</f>
        <v>All/BA</v>
      </c>
      <c r="E651" s="1" t="str">
        <f ca="1">IFERROR(__xludf.DUMMYFUNCTION("""COMPUTED_VALUE"""),"p1/庫存")</f>
        <v>p1/庫存</v>
      </c>
      <c r="F651" s="1">
        <f ca="1">IFERROR(__xludf.DUMMYFUNCTION("""COMPUTED_VALUE"""),1)</f>
        <v>1</v>
      </c>
      <c r="G651" s="1"/>
      <c r="H651" s="1" t="str">
        <f ca="1">IFERROR(__xludf.DUMMYFUNCTION("""COMPUTED_VALUE"""),"P1_013")</f>
        <v>P1_013</v>
      </c>
      <c r="I651" s="1" t="str">
        <f ca="1">IFERROR(__xludf.DUMMYFUNCTION("""COMPUTED_VALUE"""),"Chiao Yu")</f>
        <v>Chiao Yu</v>
      </c>
    </row>
    <row r="652" spans="1:9" ht="12.7" x14ac:dyDescent="0.4">
      <c r="A652" s="2">
        <f ca="1">IFERROR(__xludf.DUMMYFUNCTION("""COMPUTED_VALUE"""),45573.7662870138)</f>
        <v>45573.766287013801</v>
      </c>
      <c r="B652" s="1" t="str">
        <f ca="1">IFERROR(__xludf.DUMMYFUNCTION("""COMPUTED_VALUE"""),"料件上線時間")</f>
        <v>料件上線時間</v>
      </c>
      <c r="C652" s="1" t="str">
        <f ca="1">IFERROR(__xludf.DUMMYFUNCTION("""COMPUTED_VALUE"""),"ME0020000544")</f>
        <v>ME0020000544</v>
      </c>
      <c r="D652" s="1" t="str">
        <f ca="1">IFERROR(__xludf.DUMMYFUNCTION("""COMPUTED_VALUE"""),"All/共用")</f>
        <v>All/共用</v>
      </c>
      <c r="E652" s="1" t="str">
        <f ca="1">IFERROR(__xludf.DUMMYFUNCTION("""COMPUTED_VALUE"""),"p1/庫存")</f>
        <v>p1/庫存</v>
      </c>
      <c r="F652" s="1">
        <f ca="1">IFERROR(__xludf.DUMMYFUNCTION("""COMPUTED_VALUE"""),1)</f>
        <v>1</v>
      </c>
      <c r="G652" s="1"/>
      <c r="H652" s="1" t="str">
        <f ca="1">IFERROR(__xludf.DUMMYFUNCTION("""COMPUTED_VALUE"""),"P1_013")</f>
        <v>P1_013</v>
      </c>
      <c r="I652" s="1" t="str">
        <f ca="1">IFERROR(__xludf.DUMMYFUNCTION("""COMPUTED_VALUE"""),"Chiao Yu")</f>
        <v>Chiao Yu</v>
      </c>
    </row>
    <row r="653" spans="1:9" ht="12.7" x14ac:dyDescent="0.4">
      <c r="A653" s="2">
        <f ca="1">IFERROR(__xludf.DUMMYFUNCTION("""COMPUTED_VALUE"""),45574.3448026388)</f>
        <v>45574.3448026388</v>
      </c>
      <c r="B653" s="1" t="str">
        <f ca="1">IFERROR(__xludf.DUMMYFUNCTION("""COMPUTED_VALUE"""),"領料")</f>
        <v>領料</v>
      </c>
      <c r="C653" s="1" t="str">
        <f ca="1">IFERROR(__xludf.DUMMYFUNCTION("""COMPUTED_VALUE"""),"AGT000000005")</f>
        <v>AGT000000005</v>
      </c>
      <c r="D653" s="1" t="str">
        <f ca="1">IFERROR(__xludf.DUMMYFUNCTION("""COMPUTED_VALUE"""),"All/共用")</f>
        <v>All/共用</v>
      </c>
      <c r="E653" s="1" t="str">
        <f ca="1">IFERROR(__xludf.DUMMYFUNCTION("""COMPUTED_VALUE"""),"p1/庫存")</f>
        <v>p1/庫存</v>
      </c>
      <c r="F653" s="1">
        <f ca="1">IFERROR(__xludf.DUMMYFUNCTION("""COMPUTED_VALUE"""),1)</f>
        <v>1</v>
      </c>
      <c r="G653" s="1"/>
      <c r="H653" s="1" t="str">
        <f ca="1">IFERROR(__xludf.DUMMYFUNCTION("""COMPUTED_VALUE"""),"P1_027")</f>
        <v>P1_027</v>
      </c>
      <c r="I653" s="1" t="str">
        <f ca="1">IFERROR(__xludf.DUMMYFUNCTION("""COMPUTED_VALUE"""),"Barry")</f>
        <v>Barry</v>
      </c>
    </row>
    <row r="654" spans="1:9" ht="12.7" x14ac:dyDescent="0.4">
      <c r="A654" s="2">
        <f ca="1">IFERROR(__xludf.DUMMYFUNCTION("""COMPUTED_VALUE"""),45574.6146143287)</f>
        <v>45574.614614328697</v>
      </c>
      <c r="B654" s="1" t="str">
        <f ca="1">IFERROR(__xludf.DUMMYFUNCTION("""COMPUTED_VALUE"""),"送修")</f>
        <v>送修</v>
      </c>
      <c r="C654" s="1" t="str">
        <f ca="1">IFERROR(__xludf.DUMMYFUNCTION("""COMPUTED_VALUE"""),"ME0160000073")</f>
        <v>ME0160000073</v>
      </c>
      <c r="D654" s="1" t="str">
        <f ca="1">IFERROR(__xludf.DUMMYFUNCTION("""COMPUTED_VALUE"""),"All/BA")</f>
        <v>All/BA</v>
      </c>
      <c r="E654" s="1" t="str">
        <f ca="1">IFERROR(__xludf.DUMMYFUNCTION("""COMPUTED_VALUE"""),"p1/庫存")</f>
        <v>p1/庫存</v>
      </c>
      <c r="F654" s="1">
        <f ca="1">IFERROR(__xludf.DUMMYFUNCTION("""COMPUTED_VALUE"""),1)</f>
        <v>1</v>
      </c>
      <c r="G654" s="1" t="str">
        <f ca="1">IFERROR(__xludf.DUMMYFUNCTION("""COMPUTED_VALUE"""),"B2211400")</f>
        <v>B2211400</v>
      </c>
      <c r="H654" s="1" t="str">
        <f ca="1">IFERROR(__xludf.DUMMYFUNCTION("""COMPUTED_VALUE"""),"P2_034")</f>
        <v>P2_034</v>
      </c>
      <c r="I654" s="1" t="str">
        <f ca="1">IFERROR(__xludf.DUMMYFUNCTION("""COMPUTED_VALUE"""),"Chiao Yu")</f>
        <v>Chiao Yu</v>
      </c>
    </row>
    <row r="655" spans="1:9" ht="12.7" x14ac:dyDescent="0.4">
      <c r="A655" s="2">
        <f ca="1">IFERROR(__xludf.DUMMYFUNCTION("""COMPUTED_VALUE"""),45579.87827978)</f>
        <v>45579.878279780001</v>
      </c>
      <c r="B655" s="1" t="str">
        <f ca="1">IFERROR(__xludf.DUMMYFUNCTION("""COMPUTED_VALUE"""),"庫存調整")</f>
        <v>庫存調整</v>
      </c>
      <c r="C655" s="1" t="str">
        <f ca="1">IFERROR(__xludf.DUMMYFUNCTION("""COMPUTED_VALUE"""),"ME0020000619")</f>
        <v>ME0020000619</v>
      </c>
      <c r="D655" s="1" t="str">
        <f ca="1">IFERROR(__xludf.DUMMYFUNCTION("""COMPUTED_VALUE"""),"All/共用")</f>
        <v>All/共用</v>
      </c>
      <c r="E655" s="1" t="str">
        <f ca="1">IFERROR(__xludf.DUMMYFUNCTION("""COMPUTED_VALUE"""),"p2/庫存")</f>
        <v>p2/庫存</v>
      </c>
      <c r="F655" s="1">
        <f ca="1">IFERROR(__xludf.DUMMYFUNCTION("""COMPUTED_VALUE"""),1)</f>
        <v>1</v>
      </c>
      <c r="G655" s="1"/>
      <c r="H655" s="1" t="str">
        <f ca="1">IFERROR(__xludf.DUMMYFUNCTION("""COMPUTED_VALUE"""),"P2_4001")</f>
        <v>P2_4001</v>
      </c>
      <c r="I655" s="1" t="str">
        <f ca="1">IFERROR(__xludf.DUMMYFUNCTION("""COMPUTED_VALUE"""),"Simon")</f>
        <v>Simon</v>
      </c>
    </row>
    <row r="656" spans="1:9" ht="12.7" x14ac:dyDescent="0.4">
      <c r="A656" s="2">
        <f ca="1">IFERROR(__xludf.DUMMYFUNCTION("""COMPUTED_VALUE"""),45579.8799444907)</f>
        <v>45579.879944490698</v>
      </c>
      <c r="B656" s="1" t="str">
        <f ca="1">IFERROR(__xludf.DUMMYFUNCTION("""COMPUTED_VALUE"""),"送修")</f>
        <v>送修</v>
      </c>
      <c r="C656" s="1" t="str">
        <f ca="1">IFERROR(__xludf.DUMMYFUNCTION("""COMPUTED_VALUE"""),"ME0020000619")</f>
        <v>ME0020000619</v>
      </c>
      <c r="D656" s="1" t="str">
        <f ca="1">IFERROR(__xludf.DUMMYFUNCTION("""COMPUTED_VALUE"""),"All/共用")</f>
        <v>All/共用</v>
      </c>
      <c r="E656" s="1" t="str">
        <f ca="1">IFERROR(__xludf.DUMMYFUNCTION("""COMPUTED_VALUE"""),"p2/庫存")</f>
        <v>p2/庫存</v>
      </c>
      <c r="F656" s="1">
        <f ca="1">IFERROR(__xludf.DUMMYFUNCTION("""COMPUTED_VALUE"""),1)</f>
        <v>1</v>
      </c>
      <c r="G656" s="1"/>
      <c r="H656" s="1" t="str">
        <f ca="1">IFERROR(__xludf.DUMMYFUNCTION("""COMPUTED_VALUE"""),"P2_4001")</f>
        <v>P2_4001</v>
      </c>
      <c r="I656" s="1" t="str">
        <f ca="1">IFERROR(__xludf.DUMMYFUNCTION("""COMPUTED_VALUE"""),"Simon")</f>
        <v>Simon</v>
      </c>
    </row>
    <row r="657" spans="1:9" ht="12.7" x14ac:dyDescent="0.4">
      <c r="A657" s="2">
        <f ca="1">IFERROR(__xludf.DUMMYFUNCTION("""COMPUTED_VALUE"""),45579.8817821759)</f>
        <v>45579.8817821759</v>
      </c>
      <c r="B657" s="1" t="str">
        <f ca="1">IFERROR(__xludf.DUMMYFUNCTION("""COMPUTED_VALUE"""),"領料")</f>
        <v>領料</v>
      </c>
      <c r="C657" s="1" t="str">
        <f ca="1">IFERROR(__xludf.DUMMYFUNCTION("""COMPUTED_VALUE"""),"A00900000618")</f>
        <v>A00900000618</v>
      </c>
      <c r="D657" s="1" t="str">
        <f ca="1">IFERROR(__xludf.DUMMYFUNCTION("""COMPUTED_VALUE"""),"All/共用")</f>
        <v>All/共用</v>
      </c>
      <c r="E657" s="1" t="str">
        <f ca="1">IFERROR(__xludf.DUMMYFUNCTION("""COMPUTED_VALUE"""),"p1/庫存")</f>
        <v>p1/庫存</v>
      </c>
      <c r="F657" s="1">
        <f ca="1">IFERROR(__xludf.DUMMYFUNCTION("""COMPUTED_VALUE"""),1)</f>
        <v>1</v>
      </c>
      <c r="G657" s="1"/>
      <c r="H657" s="1" t="str">
        <f ca="1">IFERROR(__xludf.DUMMYFUNCTION("""COMPUTED_VALUE"""),"P1")</f>
        <v>P1</v>
      </c>
      <c r="I657" s="1" t="str">
        <f ca="1">IFERROR(__xludf.DUMMYFUNCTION("""COMPUTED_VALUE"""),"Simon")</f>
        <v>Simon</v>
      </c>
    </row>
    <row r="658" spans="1:9" ht="12.7" x14ac:dyDescent="0.4">
      <c r="A658" s="2">
        <f ca="1">IFERROR(__xludf.DUMMYFUNCTION("""COMPUTED_VALUE"""),45579.8827721527)</f>
        <v>45579.882772152698</v>
      </c>
      <c r="B658" s="1" t="str">
        <f ca="1">IFERROR(__xludf.DUMMYFUNCTION("""COMPUTED_VALUE"""),"料件上線時間")</f>
        <v>料件上線時間</v>
      </c>
      <c r="C658" s="1" t="str">
        <f ca="1">IFERROR(__xludf.DUMMYFUNCTION("""COMPUTED_VALUE"""),"A00900000618")</f>
        <v>A00900000618</v>
      </c>
      <c r="D658" s="1" t="str">
        <f ca="1">IFERROR(__xludf.DUMMYFUNCTION("""COMPUTED_VALUE"""),"All/共用")</f>
        <v>All/共用</v>
      </c>
      <c r="E658" s="1" t="str">
        <f ca="1">IFERROR(__xludf.DUMMYFUNCTION("""COMPUTED_VALUE"""),"p1/庫存")</f>
        <v>p1/庫存</v>
      </c>
      <c r="F658" s="1">
        <f ca="1">IFERROR(__xludf.DUMMYFUNCTION("""COMPUTED_VALUE"""),1)</f>
        <v>1</v>
      </c>
      <c r="G658" s="1"/>
      <c r="H658" s="1" t="str">
        <f ca="1">IFERROR(__xludf.DUMMYFUNCTION("""COMPUTED_VALUE"""),"P2_4001")</f>
        <v>P2_4001</v>
      </c>
      <c r="I658" s="1" t="str">
        <f ca="1">IFERROR(__xludf.DUMMYFUNCTION("""COMPUTED_VALUE"""),"Simon")</f>
        <v>Simon</v>
      </c>
    </row>
    <row r="659" spans="1:9" ht="12.7" x14ac:dyDescent="0.4">
      <c r="A659" s="2">
        <f ca="1">IFERROR(__xludf.DUMMYFUNCTION("""COMPUTED_VALUE"""),45580.6511796759)</f>
        <v>45580.6511796759</v>
      </c>
      <c r="B659" s="1" t="str">
        <f ca="1">IFERROR(__xludf.DUMMYFUNCTION("""COMPUTED_VALUE"""),"返修")</f>
        <v>返修</v>
      </c>
      <c r="C659" s="1" t="str">
        <f ca="1">IFERROR(__xludf.DUMMYFUNCTION("""COMPUTED_VALUE"""),"ME0030000076")</f>
        <v>ME0030000076</v>
      </c>
      <c r="D659" s="1" t="str">
        <f ca="1">IFERROR(__xludf.DUMMYFUNCTION("""COMPUTED_VALUE"""),"All/共用")</f>
        <v>All/共用</v>
      </c>
      <c r="E659" s="1" t="str">
        <f ca="1">IFERROR(__xludf.DUMMYFUNCTION("""COMPUTED_VALUE"""),"p1/庫存")</f>
        <v>p1/庫存</v>
      </c>
      <c r="F659" s="1">
        <f ca="1">IFERROR(__xludf.DUMMYFUNCTION("""COMPUTED_VALUE"""),1)</f>
        <v>1</v>
      </c>
      <c r="G659" s="1"/>
      <c r="H659" s="1" t="str">
        <f ca="1">IFERROR(__xludf.DUMMYFUNCTION("""COMPUTED_VALUE"""),"P1_3001")</f>
        <v>P1_3001</v>
      </c>
      <c r="I659" s="1" t="str">
        <f ca="1">IFERROR(__xludf.DUMMYFUNCTION("""COMPUTED_VALUE"""),"Chiao Yu")</f>
        <v>Chiao Yu</v>
      </c>
    </row>
    <row r="660" spans="1:9" ht="12.7" x14ac:dyDescent="0.4">
      <c r="A660" s="2">
        <f ca="1">IFERROR(__xludf.DUMMYFUNCTION("""COMPUTED_VALUE"""),45580.6531123726)</f>
        <v>45580.653112372602</v>
      </c>
      <c r="B660" s="1" t="str">
        <f ca="1">IFERROR(__xludf.DUMMYFUNCTION("""COMPUTED_VALUE"""),"庫存調整")</f>
        <v>庫存調整</v>
      </c>
      <c r="C660" s="1" t="str">
        <f ca="1">IFERROR(__xludf.DUMMYFUNCTION("""COMPUTED_VALUE"""),"ME0030000076")</f>
        <v>ME0030000076</v>
      </c>
      <c r="D660" s="1" t="str">
        <f ca="1">IFERROR(__xludf.DUMMYFUNCTION("""COMPUTED_VALUE"""),"All/共用")</f>
        <v>All/共用</v>
      </c>
      <c r="E660" s="1" t="str">
        <f ca="1">IFERROR(__xludf.DUMMYFUNCTION("""COMPUTED_VALUE"""),"p1/庫存")</f>
        <v>p1/庫存</v>
      </c>
      <c r="F660" s="1">
        <f ca="1">IFERROR(__xludf.DUMMYFUNCTION("""COMPUTED_VALUE"""),1)</f>
        <v>1</v>
      </c>
      <c r="G660" s="1"/>
      <c r="H660" s="1" t="str">
        <f ca="1">IFERROR(__xludf.DUMMYFUNCTION("""COMPUTED_VALUE"""),"P1_3001")</f>
        <v>P1_3001</v>
      </c>
      <c r="I660" s="1" t="str">
        <f ca="1">IFERROR(__xludf.DUMMYFUNCTION("""COMPUTED_VALUE"""),"Chiao Yu")</f>
        <v>Chiao Yu</v>
      </c>
    </row>
    <row r="661" spans="1:9" ht="12.7" x14ac:dyDescent="0.4">
      <c r="A661" s="2">
        <f ca="1">IFERROR(__xludf.DUMMYFUNCTION("""COMPUTED_VALUE"""),45580.6551471412)</f>
        <v>45580.655147141202</v>
      </c>
      <c r="B661" s="1" t="str">
        <f ca="1">IFERROR(__xludf.DUMMYFUNCTION("""COMPUTED_VALUE"""),"返修")</f>
        <v>返修</v>
      </c>
      <c r="C661" s="1" t="str">
        <f ca="1">IFERROR(__xludf.DUMMYFUNCTION("""COMPUTED_VALUE"""),"ME0160000073")</f>
        <v>ME0160000073</v>
      </c>
      <c r="D661" s="1" t="str">
        <f ca="1">IFERROR(__xludf.DUMMYFUNCTION("""COMPUTED_VALUE"""),"All/BA")</f>
        <v>All/BA</v>
      </c>
      <c r="E661" s="1" t="str">
        <f ca="1">IFERROR(__xludf.DUMMYFUNCTION("""COMPUTED_VALUE"""),"p1/庫存")</f>
        <v>p1/庫存</v>
      </c>
      <c r="F661" s="1">
        <f ca="1">IFERROR(__xludf.DUMMYFUNCTION("""COMPUTED_VALUE"""),1)</f>
        <v>1</v>
      </c>
      <c r="G661" s="1" t="str">
        <f ca="1">IFERROR(__xludf.DUMMYFUNCTION("""COMPUTED_VALUE"""),"B1409079")</f>
        <v>B1409079</v>
      </c>
      <c r="H661" s="1" t="str">
        <f ca="1">IFERROR(__xludf.DUMMYFUNCTION("""COMPUTED_VALUE"""),"P2_034")</f>
        <v>P2_034</v>
      </c>
      <c r="I661" s="1" t="str">
        <f ca="1">IFERROR(__xludf.DUMMYFUNCTION("""COMPUTED_VALUE"""),"Chiao Yu")</f>
        <v>Chiao Yu</v>
      </c>
    </row>
    <row r="662" spans="1:9" ht="12.7" x14ac:dyDescent="0.4">
      <c r="A662" s="2">
        <f ca="1">IFERROR(__xludf.DUMMYFUNCTION("""COMPUTED_VALUE"""),45580.6563855787)</f>
        <v>45580.656385578703</v>
      </c>
      <c r="B662" s="1" t="str">
        <f ca="1">IFERROR(__xludf.DUMMYFUNCTION("""COMPUTED_VALUE"""),"庫存調整")</f>
        <v>庫存調整</v>
      </c>
      <c r="C662" s="1" t="str">
        <f ca="1">IFERROR(__xludf.DUMMYFUNCTION("""COMPUTED_VALUE"""),"ME0160000073")</f>
        <v>ME0160000073</v>
      </c>
      <c r="D662" s="1" t="str">
        <f ca="1">IFERROR(__xludf.DUMMYFUNCTION("""COMPUTED_VALUE"""),"All/BA")</f>
        <v>All/BA</v>
      </c>
      <c r="E662" s="1" t="str">
        <f ca="1">IFERROR(__xludf.DUMMYFUNCTION("""COMPUTED_VALUE"""),"p1/庫存")</f>
        <v>p1/庫存</v>
      </c>
      <c r="F662" s="1">
        <f ca="1">IFERROR(__xludf.DUMMYFUNCTION("""COMPUTED_VALUE"""),-2)</f>
        <v>-2</v>
      </c>
      <c r="G662" s="1"/>
      <c r="H662" s="1" t="str">
        <f ca="1">IFERROR(__xludf.DUMMYFUNCTION("""COMPUTED_VALUE"""),"P1")</f>
        <v>P1</v>
      </c>
      <c r="I662" s="1" t="str">
        <f ca="1">IFERROR(__xludf.DUMMYFUNCTION("""COMPUTED_VALUE"""),"Chiao Yu")</f>
        <v>Chiao Yu</v>
      </c>
    </row>
    <row r="663" spans="1:9" ht="12.7" x14ac:dyDescent="0.4">
      <c r="A663" s="2">
        <f ca="1">IFERROR(__xludf.DUMMYFUNCTION("""COMPUTED_VALUE"""),45580.6568077662)</f>
        <v>45580.656807766201</v>
      </c>
      <c r="B663" s="1" t="str">
        <f ca="1">IFERROR(__xludf.DUMMYFUNCTION("""COMPUTED_VALUE"""),"庫存調整")</f>
        <v>庫存調整</v>
      </c>
      <c r="C663" s="1" t="str">
        <f ca="1">IFERROR(__xludf.DUMMYFUNCTION("""COMPUTED_VALUE"""),"ME0160000073")</f>
        <v>ME0160000073</v>
      </c>
      <c r="D663" s="1" t="str">
        <f ca="1">IFERROR(__xludf.DUMMYFUNCTION("""COMPUTED_VALUE"""),"All/BA")</f>
        <v>All/BA</v>
      </c>
      <c r="E663" s="1" t="str">
        <f ca="1">IFERROR(__xludf.DUMMYFUNCTION("""COMPUTED_VALUE"""),"p2/庫存")</f>
        <v>p2/庫存</v>
      </c>
      <c r="F663" s="1">
        <f ca="1">IFERROR(__xludf.DUMMYFUNCTION("""COMPUTED_VALUE"""),2)</f>
        <v>2</v>
      </c>
      <c r="G663" s="1"/>
      <c r="H663" s="1" t="str">
        <f ca="1">IFERROR(__xludf.DUMMYFUNCTION("""COMPUTED_VALUE"""),"P2")</f>
        <v>P2</v>
      </c>
      <c r="I663" s="1" t="str">
        <f ca="1">IFERROR(__xludf.DUMMYFUNCTION("""COMPUTED_VALUE"""),"Chiao Yu")</f>
        <v>Chiao Yu</v>
      </c>
    </row>
    <row r="664" spans="1:9" ht="12.7" x14ac:dyDescent="0.4">
      <c r="A664" s="2">
        <f ca="1">IFERROR(__xludf.DUMMYFUNCTION("""COMPUTED_VALUE"""),45583.5081034027)</f>
        <v>45583.508103402703</v>
      </c>
      <c r="B664" s="1" t="str">
        <f ca="1">IFERROR(__xludf.DUMMYFUNCTION("""COMPUTED_VALUE"""),"送修")</f>
        <v>送修</v>
      </c>
      <c r="C664" s="1" t="str">
        <f ca="1">IFERROR(__xludf.DUMMYFUNCTION("""COMPUTED_VALUE"""),"ME0020000525")</f>
        <v>ME0020000525</v>
      </c>
      <c r="D664" s="1" t="str">
        <f ca="1">IFERROR(__xludf.DUMMYFUNCTION("""COMPUTED_VALUE"""),"All/共用")</f>
        <v>All/共用</v>
      </c>
      <c r="E664" s="1" t="str">
        <f ca="1">IFERROR(__xludf.DUMMYFUNCTION("""COMPUTED_VALUE"""),"p2/庫存")</f>
        <v>p2/庫存</v>
      </c>
      <c r="F664" s="1">
        <f ca="1">IFERROR(__xludf.DUMMYFUNCTION("""COMPUTED_VALUE"""),1)</f>
        <v>1</v>
      </c>
      <c r="G664" s="1" t="str">
        <f ca="1">IFERROR(__xludf.DUMMYFUNCTION("""COMPUTED_VALUE"""),"2148E5EA667E")</f>
        <v>2148E5EA667E</v>
      </c>
      <c r="H664" s="1" t="str">
        <f ca="1">IFERROR(__xludf.DUMMYFUNCTION("""COMPUTED_VALUE"""),"P2_049")</f>
        <v>P2_049</v>
      </c>
      <c r="I664" s="1" t="str">
        <f ca="1">IFERROR(__xludf.DUMMYFUNCTION("""COMPUTED_VALUE"""),"Chiao Yu")</f>
        <v>Chiao Yu</v>
      </c>
    </row>
    <row r="665" spans="1:9" ht="12.7" x14ac:dyDescent="0.4">
      <c r="A665" s="2">
        <f ca="1">IFERROR(__xludf.DUMMYFUNCTION("""COMPUTED_VALUE"""),45583.5090346064)</f>
        <v>45583.509034606403</v>
      </c>
      <c r="B665" s="1" t="str">
        <f ca="1">IFERROR(__xludf.DUMMYFUNCTION("""COMPUTED_VALUE"""),"料件上線時間")</f>
        <v>料件上線時間</v>
      </c>
      <c r="C665" s="1" t="str">
        <f ca="1">IFERROR(__xludf.DUMMYFUNCTION("""COMPUTED_VALUE"""),"ME0020000525")</f>
        <v>ME0020000525</v>
      </c>
      <c r="D665" s="1" t="str">
        <f ca="1">IFERROR(__xludf.DUMMYFUNCTION("""COMPUTED_VALUE"""),"All/共用")</f>
        <v>All/共用</v>
      </c>
      <c r="E665" s="1" t="str">
        <f ca="1">IFERROR(__xludf.DUMMYFUNCTION("""COMPUTED_VALUE"""),"p2/庫存")</f>
        <v>p2/庫存</v>
      </c>
      <c r="F665" s="1">
        <f ca="1">IFERROR(__xludf.DUMMYFUNCTION("""COMPUTED_VALUE"""),1)</f>
        <v>1</v>
      </c>
      <c r="G665" s="1" t="str">
        <f ca="1">IFERROR(__xludf.DUMMYFUNCTION("""COMPUTED_VALUE"""),"2413E8A287AF")</f>
        <v>2413E8A287AF</v>
      </c>
      <c r="H665" s="1" t="str">
        <f ca="1">IFERROR(__xludf.DUMMYFUNCTION("""COMPUTED_VALUE"""),"P2_049")</f>
        <v>P2_049</v>
      </c>
      <c r="I665" s="1" t="str">
        <f ca="1">IFERROR(__xludf.DUMMYFUNCTION("""COMPUTED_VALUE"""),"Chiao Yu")</f>
        <v>Chiao Yu</v>
      </c>
    </row>
    <row r="666" spans="1:9" ht="12.7" x14ac:dyDescent="0.4">
      <c r="A666" s="2">
        <f ca="1">IFERROR(__xludf.DUMMYFUNCTION("""COMPUTED_VALUE"""),45583.5713544676)</f>
        <v>45583.571354467596</v>
      </c>
      <c r="B666" s="1" t="str">
        <f ca="1">IFERROR(__xludf.DUMMYFUNCTION("""COMPUTED_VALUE"""),"進貨")</f>
        <v>進貨</v>
      </c>
      <c r="C666" s="1" t="str">
        <f ca="1">IFERROR(__xludf.DUMMYFUNCTION("""COMPUTED_VALUE"""),"ME0050000182")</f>
        <v>ME0050000182</v>
      </c>
      <c r="D666" s="1" t="str">
        <f ca="1">IFERROR(__xludf.DUMMYFUNCTION("""COMPUTED_VALUE"""),"All/COLOR")</f>
        <v>All/COLOR</v>
      </c>
      <c r="E666" s="1" t="str">
        <f ca="1">IFERROR(__xludf.DUMMYFUNCTION("""COMPUTED_VALUE"""),"p1/庫存")</f>
        <v>p1/庫存</v>
      </c>
      <c r="F666" s="1">
        <f ca="1">IFERROR(__xludf.DUMMYFUNCTION("""COMPUTED_VALUE"""),1)</f>
        <v>1</v>
      </c>
      <c r="G666" s="1"/>
      <c r="H666" s="1" t="str">
        <f ca="1">IFERROR(__xludf.DUMMYFUNCTION("""COMPUTED_VALUE"""),"P1")</f>
        <v>P1</v>
      </c>
      <c r="I666" s="1" t="str">
        <f ca="1">IFERROR(__xludf.DUMMYFUNCTION("""COMPUTED_VALUE"""),"Chiao Yu")</f>
        <v>Chiao Yu</v>
      </c>
    </row>
    <row r="667" spans="1:9" ht="12.7" x14ac:dyDescent="0.4">
      <c r="A667" s="2">
        <f ca="1">IFERROR(__xludf.DUMMYFUNCTION("""COMPUTED_VALUE"""),45583.7126486805)</f>
        <v>45583.712648680499</v>
      </c>
      <c r="B667" s="1" t="str">
        <f ca="1">IFERROR(__xludf.DUMMYFUNCTION("""COMPUTED_VALUE"""),"庫存調整")</f>
        <v>庫存調整</v>
      </c>
      <c r="C667" s="1" t="str">
        <f ca="1">IFERROR(__xludf.DUMMYFUNCTION("""COMPUTED_VALUE"""),"ME0020000563")</f>
        <v>ME0020000563</v>
      </c>
      <c r="D667" s="1" t="str">
        <f ca="1">IFERROR(__xludf.DUMMYFUNCTION("""COMPUTED_VALUE"""),"All/共用")</f>
        <v>All/共用</v>
      </c>
      <c r="E667" s="1" t="str">
        <f ca="1">IFERROR(__xludf.DUMMYFUNCTION("""COMPUTED_VALUE"""),"p1/庫存")</f>
        <v>p1/庫存</v>
      </c>
      <c r="F667" s="1">
        <f ca="1">IFERROR(__xludf.DUMMYFUNCTION("""COMPUTED_VALUE"""),1)</f>
        <v>1</v>
      </c>
      <c r="G667" s="1"/>
      <c r="H667" s="1" t="str">
        <f ca="1">IFERROR(__xludf.DUMMYFUNCTION("""COMPUTED_VALUE"""),"P1")</f>
        <v>P1</v>
      </c>
      <c r="I667" s="1" t="str">
        <f ca="1">IFERROR(__xludf.DUMMYFUNCTION("""COMPUTED_VALUE"""),"Chiao Yu")</f>
        <v>Chiao Yu</v>
      </c>
    </row>
    <row r="668" spans="1:9" ht="12.7" x14ac:dyDescent="0.4">
      <c r="A668" s="2">
        <f ca="1">IFERROR(__xludf.DUMMYFUNCTION("""COMPUTED_VALUE"""),45583.7131061921)</f>
        <v>45583.713106192103</v>
      </c>
      <c r="B668" s="1" t="str">
        <f ca="1">IFERROR(__xludf.DUMMYFUNCTION("""COMPUTED_VALUE"""),"進貨")</f>
        <v>進貨</v>
      </c>
      <c r="C668" s="1" t="str">
        <f ca="1">IFERROR(__xludf.DUMMYFUNCTION("""COMPUTED_VALUE"""),"ME0020000563")</f>
        <v>ME0020000563</v>
      </c>
      <c r="D668" s="1" t="str">
        <f ca="1">IFERROR(__xludf.DUMMYFUNCTION("""COMPUTED_VALUE"""),"All/共用")</f>
        <v>All/共用</v>
      </c>
      <c r="E668" s="1" t="str">
        <f ca="1">IFERROR(__xludf.DUMMYFUNCTION("""COMPUTED_VALUE"""),"p2/庫存")</f>
        <v>p2/庫存</v>
      </c>
      <c r="F668" s="1">
        <f ca="1">IFERROR(__xludf.DUMMYFUNCTION("""COMPUTED_VALUE"""),1)</f>
        <v>1</v>
      </c>
      <c r="G668" s="1"/>
      <c r="H668" s="1" t="str">
        <f ca="1">IFERROR(__xludf.DUMMYFUNCTION("""COMPUTED_VALUE"""),"P2")</f>
        <v>P2</v>
      </c>
      <c r="I668" s="1" t="str">
        <f ca="1">IFERROR(__xludf.DUMMYFUNCTION("""COMPUTED_VALUE"""),"Chiao Yu")</f>
        <v>Chiao Yu</v>
      </c>
    </row>
    <row r="669" spans="1:9" ht="12.7" x14ac:dyDescent="0.4">
      <c r="A669" s="2">
        <f ca="1">IFERROR(__xludf.DUMMYFUNCTION("""COMPUTED_VALUE"""),45586.2649511574)</f>
        <v>45586.264951157398</v>
      </c>
      <c r="B669" s="1" t="str">
        <f ca="1">IFERROR(__xludf.DUMMYFUNCTION("""COMPUTED_VALUE"""),"領料")</f>
        <v>領料</v>
      </c>
      <c r="C669" s="1" t="str">
        <f ca="1">IFERROR(__xludf.DUMMYFUNCTION("""COMPUTED_VALUE"""),"ME0030000076")</f>
        <v>ME0030000076</v>
      </c>
      <c r="D669" s="1" t="str">
        <f ca="1">IFERROR(__xludf.DUMMYFUNCTION("""COMPUTED_VALUE"""),"All/共用")</f>
        <v>All/共用</v>
      </c>
      <c r="E669" s="1" t="str">
        <f ca="1">IFERROR(__xludf.DUMMYFUNCTION("""COMPUTED_VALUE"""),"p1/庫存")</f>
        <v>p1/庫存</v>
      </c>
      <c r="F669" s="1">
        <f ca="1">IFERROR(__xludf.DUMMYFUNCTION("""COMPUTED_VALUE"""),1)</f>
        <v>1</v>
      </c>
      <c r="G669" s="1"/>
      <c r="H669" s="1" t="str">
        <f ca="1">IFERROR(__xludf.DUMMYFUNCTION("""COMPUTED_VALUE"""),"P1_4006")</f>
        <v>P1_4006</v>
      </c>
      <c r="I669" s="1" t="str">
        <f ca="1">IFERROR(__xludf.DUMMYFUNCTION("""COMPUTED_VALUE"""),"Jason")</f>
        <v>Jason</v>
      </c>
    </row>
    <row r="670" spans="1:9" ht="12.7" x14ac:dyDescent="0.4">
      <c r="A670" s="2">
        <f ca="1">IFERROR(__xludf.DUMMYFUNCTION("""COMPUTED_VALUE"""),45586.6369257523)</f>
        <v>45586.636925752297</v>
      </c>
      <c r="B670" s="1" t="str">
        <f ca="1">IFERROR(__xludf.DUMMYFUNCTION("""COMPUTED_VALUE"""),"送修")</f>
        <v>送修</v>
      </c>
      <c r="C670" s="1" t="str">
        <f ca="1">IFERROR(__xludf.DUMMYFUNCTION("""COMPUTED_VALUE"""),"ME0020000592")</f>
        <v>ME0020000592</v>
      </c>
      <c r="D670" s="1" t="str">
        <f ca="1">IFERROR(__xludf.DUMMYFUNCTION("""COMPUTED_VALUE"""),"All/共用")</f>
        <v>All/共用</v>
      </c>
      <c r="E670" s="1" t="str">
        <f ca="1">IFERROR(__xludf.DUMMYFUNCTION("""COMPUTED_VALUE"""),"p1/庫存")</f>
        <v>p1/庫存</v>
      </c>
      <c r="F670" s="1">
        <f ca="1">IFERROR(__xludf.DUMMYFUNCTION("""COMPUTED_VALUE"""),1)</f>
        <v>1</v>
      </c>
      <c r="G670" s="1" t="str">
        <f ca="1">IFERROR(__xludf.DUMMYFUNCTION("""COMPUTED_VALUE"""),"R9PTC0SZP0E")</f>
        <v>R9PTC0SZP0E</v>
      </c>
      <c r="H670" s="1" t="str">
        <f ca="1">IFERROR(__xludf.DUMMYFUNCTION("""COMPUTED_VALUE"""),"P2_046")</f>
        <v>P2_046</v>
      </c>
      <c r="I670" s="1" t="str">
        <f ca="1">IFERROR(__xludf.DUMMYFUNCTION("""COMPUTED_VALUE"""),"Simon")</f>
        <v>Simon</v>
      </c>
    </row>
    <row r="671" spans="1:9" ht="12.7" x14ac:dyDescent="0.4">
      <c r="A671" s="2">
        <f ca="1">IFERROR(__xludf.DUMMYFUNCTION("""COMPUTED_VALUE"""),45586.6438190509)</f>
        <v>45586.6438190509</v>
      </c>
      <c r="B671" s="1" t="str">
        <f ca="1">IFERROR(__xludf.DUMMYFUNCTION("""COMPUTED_VALUE"""),"料件上線時間")</f>
        <v>料件上線時間</v>
      </c>
      <c r="C671" s="1" t="str">
        <f ca="1">IFERROR(__xludf.DUMMYFUNCTION("""COMPUTED_VALUE"""),"ME0020000592")</f>
        <v>ME0020000592</v>
      </c>
      <c r="D671" s="1" t="str">
        <f ca="1">IFERROR(__xludf.DUMMYFUNCTION("""COMPUTED_VALUE"""),"All/共用")</f>
        <v>All/共用</v>
      </c>
      <c r="E671" s="1" t="str">
        <f ca="1">IFERROR(__xludf.DUMMYFUNCTION("""COMPUTED_VALUE"""),"p1/庫存")</f>
        <v>p1/庫存</v>
      </c>
      <c r="F671" s="1">
        <f ca="1">IFERROR(__xludf.DUMMYFUNCTION("""COMPUTED_VALUE"""),1)</f>
        <v>1</v>
      </c>
      <c r="G671" s="1" t="str">
        <f ca="1">IFERROR(__xludf.DUMMYFUNCTION("""COMPUTED_VALUE"""),"R9PTA0K0FBH")</f>
        <v>R9PTA0K0FBH</v>
      </c>
      <c r="H671" s="1" t="str">
        <f ca="1">IFERROR(__xludf.DUMMYFUNCTION("""COMPUTED_VALUE"""),"P2_046")</f>
        <v>P2_046</v>
      </c>
      <c r="I671" s="1" t="str">
        <f ca="1">IFERROR(__xludf.DUMMYFUNCTION("""COMPUTED_VALUE"""),"Simon")</f>
        <v>Simon</v>
      </c>
    </row>
    <row r="672" spans="1:9" ht="12.7" x14ac:dyDescent="0.4">
      <c r="A672" s="2">
        <f ca="1">IFERROR(__xludf.DUMMYFUNCTION("""COMPUTED_VALUE"""),45587.2208016319)</f>
        <v>45587.220801631898</v>
      </c>
      <c r="B672" s="1" t="str">
        <f ca="1">IFERROR(__xludf.DUMMYFUNCTION("""COMPUTED_VALUE"""),"領料")</f>
        <v>領料</v>
      </c>
      <c r="C672" s="1" t="str">
        <f ca="1">IFERROR(__xludf.DUMMYFUNCTION("""COMPUTED_VALUE"""),"MM0260000249")</f>
        <v>MM0260000249</v>
      </c>
      <c r="D672" s="1" t="str">
        <f ca="1">IFERROR(__xludf.DUMMYFUNCTION("""COMPUTED_VALUE"""),"All/RL")</f>
        <v>All/RL</v>
      </c>
      <c r="E672" s="1" t="str">
        <f ca="1">IFERROR(__xludf.DUMMYFUNCTION("""COMPUTED_VALUE"""),"p2/庫存")</f>
        <v>p2/庫存</v>
      </c>
      <c r="F672" s="1">
        <f ca="1">IFERROR(__xludf.DUMMYFUNCTION("""COMPUTED_VALUE"""),1)</f>
        <v>1</v>
      </c>
      <c r="G672" s="1"/>
      <c r="H672" s="1" t="str">
        <f ca="1">IFERROR(__xludf.DUMMYFUNCTION("""COMPUTED_VALUE"""),"P2_1003")</f>
        <v>P2_1003</v>
      </c>
      <c r="I672" s="1" t="str">
        <f ca="1">IFERROR(__xludf.DUMMYFUNCTION("""COMPUTED_VALUE"""),"Barry")</f>
        <v>Barry</v>
      </c>
    </row>
    <row r="673" spans="1:9" ht="12.7" x14ac:dyDescent="0.4">
      <c r="A673" s="2">
        <f ca="1">IFERROR(__xludf.DUMMYFUNCTION("""COMPUTED_VALUE"""),45587.2230228125)</f>
        <v>45587.223022812497</v>
      </c>
      <c r="B673" s="1" t="str">
        <f ca="1">IFERROR(__xludf.DUMMYFUNCTION("""COMPUTED_VALUE"""),"領料")</f>
        <v>領料</v>
      </c>
      <c r="C673" s="1" t="str">
        <f ca="1">IFERROR(__xludf.DUMMYFUNCTION("""COMPUTED_VALUE"""),"MM0260000200")</f>
        <v>MM0260000200</v>
      </c>
      <c r="D673" s="1" t="str">
        <f ca="1">IFERROR(__xludf.DUMMYFUNCTION("""COMPUTED_VALUE"""),"All/RL")</f>
        <v>All/RL</v>
      </c>
      <c r="E673" s="1" t="str">
        <f ca="1">IFERROR(__xludf.DUMMYFUNCTION("""COMPUTED_VALUE"""),"p2/庫存")</f>
        <v>p2/庫存</v>
      </c>
      <c r="F673" s="1">
        <f ca="1">IFERROR(__xludf.DUMMYFUNCTION("""COMPUTED_VALUE"""),1)</f>
        <v>1</v>
      </c>
      <c r="G673" s="1"/>
      <c r="H673" s="1" t="str">
        <f ca="1">IFERROR(__xludf.DUMMYFUNCTION("""COMPUTED_VALUE"""),"P2_1003")</f>
        <v>P2_1003</v>
      </c>
      <c r="I673" s="1" t="str">
        <f ca="1">IFERROR(__xludf.DUMMYFUNCTION("""COMPUTED_VALUE"""),"Barry")</f>
        <v>Barry</v>
      </c>
    </row>
    <row r="674" spans="1:9" ht="12.7" x14ac:dyDescent="0.4">
      <c r="A674" s="2">
        <f ca="1">IFERROR(__xludf.DUMMYFUNCTION("""COMPUTED_VALUE"""),45587.224042118)</f>
        <v>45587.224042118003</v>
      </c>
      <c r="B674" s="1" t="str">
        <f ca="1">IFERROR(__xludf.DUMMYFUNCTION("""COMPUTED_VALUE"""),"領料")</f>
        <v>領料</v>
      </c>
      <c r="C674" s="1" t="str">
        <f ca="1">IFERROR(__xludf.DUMMYFUNCTION("""COMPUTED_VALUE"""),"MM0260000199")</f>
        <v>MM0260000199</v>
      </c>
      <c r="D674" s="1" t="str">
        <f ca="1">IFERROR(__xludf.DUMMYFUNCTION("""COMPUTED_VALUE"""),"All/RL")</f>
        <v>All/RL</v>
      </c>
      <c r="E674" s="1" t="str">
        <f ca="1">IFERROR(__xludf.DUMMYFUNCTION("""COMPUTED_VALUE"""),"p2/庫存")</f>
        <v>p2/庫存</v>
      </c>
      <c r="F674" s="1">
        <f ca="1">IFERROR(__xludf.DUMMYFUNCTION("""COMPUTED_VALUE"""),1)</f>
        <v>1</v>
      </c>
      <c r="G674" s="1"/>
      <c r="H674" s="1" t="str">
        <f ca="1">IFERROR(__xludf.DUMMYFUNCTION("""COMPUTED_VALUE"""),"P2_1003")</f>
        <v>P2_1003</v>
      </c>
      <c r="I674" s="1" t="str">
        <f ca="1">IFERROR(__xludf.DUMMYFUNCTION("""COMPUTED_VALUE"""),"Barry")</f>
        <v>Barry</v>
      </c>
    </row>
    <row r="675" spans="1:9" ht="12.7" x14ac:dyDescent="0.4">
      <c r="A675" s="2">
        <f ca="1">IFERROR(__xludf.DUMMYFUNCTION("""COMPUTED_VALUE"""),45588.2740693865)</f>
        <v>45588.274069386498</v>
      </c>
      <c r="B675" s="1" t="str">
        <f ca="1">IFERROR(__xludf.DUMMYFUNCTION("""COMPUTED_VALUE"""),"送修")</f>
        <v>送修</v>
      </c>
      <c r="C675" s="1" t="str">
        <f ca="1">IFERROR(__xludf.DUMMYFUNCTION("""COMPUTED_VALUE"""),"A00100000731")</f>
        <v>A00100000731</v>
      </c>
      <c r="D675" s="1" t="str">
        <f ca="1">IFERROR(__xludf.DUMMYFUNCTION("""COMPUTED_VALUE"""),"All/BA")</f>
        <v>All/BA</v>
      </c>
      <c r="E675" s="1" t="str">
        <f ca="1">IFERROR(__xludf.DUMMYFUNCTION("""COMPUTED_VALUE"""),"p1/庫存")</f>
        <v>p1/庫存</v>
      </c>
      <c r="F675" s="1">
        <f ca="1">IFERROR(__xludf.DUMMYFUNCTION("""COMPUTED_VALUE"""),1)</f>
        <v>1</v>
      </c>
      <c r="G675" s="1" t="str">
        <f ca="1">IFERROR(__xludf.DUMMYFUNCTION("""COMPUTED_VALUE"""),"05F138")</f>
        <v>05F138</v>
      </c>
      <c r="H675" s="1" t="str">
        <f ca="1">IFERROR(__xludf.DUMMYFUNCTION("""COMPUTED_VALUE"""),"P1_025")</f>
        <v>P1_025</v>
      </c>
      <c r="I675" s="1" t="str">
        <f ca="1">IFERROR(__xludf.DUMMYFUNCTION("""COMPUTED_VALUE"""),"Barry")</f>
        <v>Barry</v>
      </c>
    </row>
    <row r="676" spans="1:9" ht="12.7" x14ac:dyDescent="0.4">
      <c r="A676" s="2">
        <f ca="1">IFERROR(__xludf.DUMMYFUNCTION("""COMPUTED_VALUE"""),45588.2764055208)</f>
        <v>45588.276405520803</v>
      </c>
      <c r="B676" s="1" t="str">
        <f ca="1">IFERROR(__xludf.DUMMYFUNCTION("""COMPUTED_VALUE"""),"送修")</f>
        <v>送修</v>
      </c>
      <c r="C676" s="1" t="str">
        <f ca="1">IFERROR(__xludf.DUMMYFUNCTION("""COMPUTED_VALUE"""),"A00100000731")</f>
        <v>A00100000731</v>
      </c>
      <c r="D676" s="1" t="str">
        <f ca="1">IFERROR(__xludf.DUMMYFUNCTION("""COMPUTED_VALUE"""),"All/BA")</f>
        <v>All/BA</v>
      </c>
      <c r="E676" s="1" t="str">
        <f ca="1">IFERROR(__xludf.DUMMYFUNCTION("""COMPUTED_VALUE"""),"p1/庫存")</f>
        <v>p1/庫存</v>
      </c>
      <c r="F676" s="1">
        <f ca="1">IFERROR(__xludf.DUMMYFUNCTION("""COMPUTED_VALUE"""),1)</f>
        <v>1</v>
      </c>
      <c r="G676" s="1" t="str">
        <f ca="1">IFERROR(__xludf.DUMMYFUNCTION("""COMPUTED_VALUE"""),"10F584")</f>
        <v>10F584</v>
      </c>
      <c r="H676" s="1" t="str">
        <f ca="1">IFERROR(__xludf.DUMMYFUNCTION("""COMPUTED_VALUE"""),"P1_025")</f>
        <v>P1_025</v>
      </c>
      <c r="I676" s="1" t="str">
        <f ca="1">IFERROR(__xludf.DUMMYFUNCTION("""COMPUTED_VALUE"""),"Barry")</f>
        <v>Barry</v>
      </c>
    </row>
    <row r="677" spans="1:9" ht="12.7" x14ac:dyDescent="0.4">
      <c r="A677" s="2">
        <f ca="1">IFERROR(__xludf.DUMMYFUNCTION("""COMPUTED_VALUE"""),45589.2746734374)</f>
        <v>45589.274673437401</v>
      </c>
      <c r="B677" s="1" t="str">
        <f ca="1">IFERROR(__xludf.DUMMYFUNCTION("""COMPUTED_VALUE"""),"領料")</f>
        <v>領料</v>
      </c>
      <c r="C677" s="1" t="str">
        <f ca="1">IFERROR(__xludf.DUMMYFUNCTION("""COMPUTED_VALUE"""),"AGT000000005")</f>
        <v>AGT000000005</v>
      </c>
      <c r="D677" s="1" t="str">
        <f ca="1">IFERROR(__xludf.DUMMYFUNCTION("""COMPUTED_VALUE"""),"All/BA")</f>
        <v>All/BA</v>
      </c>
      <c r="E677" s="1" t="str">
        <f ca="1">IFERROR(__xludf.DUMMYFUNCTION("""COMPUTED_VALUE"""),"p1/庫存")</f>
        <v>p1/庫存</v>
      </c>
      <c r="F677" s="1">
        <f ca="1">IFERROR(__xludf.DUMMYFUNCTION("""COMPUTED_VALUE"""),3)</f>
        <v>3</v>
      </c>
      <c r="G677" s="1"/>
      <c r="H677" s="1" t="str">
        <f ca="1">IFERROR(__xludf.DUMMYFUNCTION("""COMPUTED_VALUE"""),"P1")</f>
        <v>P1</v>
      </c>
      <c r="I677" s="1" t="str">
        <f ca="1">IFERROR(__xludf.DUMMYFUNCTION("""COMPUTED_VALUE"""),"Jason")</f>
        <v>Jason</v>
      </c>
    </row>
    <row r="678" spans="1:9" ht="12.7" x14ac:dyDescent="0.4">
      <c r="A678" s="2">
        <f ca="1">IFERROR(__xludf.DUMMYFUNCTION("""COMPUTED_VALUE"""),45589.3433142129)</f>
        <v>45589.3433142129</v>
      </c>
      <c r="B678" s="1" t="str">
        <f ca="1">IFERROR(__xludf.DUMMYFUNCTION("""COMPUTED_VALUE"""),"領料")</f>
        <v>領料</v>
      </c>
      <c r="C678" s="1" t="str">
        <f ca="1">IFERROR(__xludf.DUMMYFUNCTION("""COMPUTED_VALUE"""),"AGT000000004")</f>
        <v>AGT000000004</v>
      </c>
      <c r="D678" s="1" t="str">
        <f ca="1">IFERROR(__xludf.DUMMYFUNCTION("""COMPUTED_VALUE"""),"All/共用")</f>
        <v>All/共用</v>
      </c>
      <c r="E678" s="1" t="str">
        <f ca="1">IFERROR(__xludf.DUMMYFUNCTION("""COMPUTED_VALUE"""),"p2/庫存")</f>
        <v>p2/庫存</v>
      </c>
      <c r="F678" s="1">
        <f ca="1">IFERROR(__xludf.DUMMYFUNCTION("""COMPUTED_VALUE"""),1)</f>
        <v>1</v>
      </c>
      <c r="G678" s="1"/>
      <c r="H678" s="1" t="str">
        <f ca="1">IFERROR(__xludf.DUMMYFUNCTION("""COMPUTED_VALUE"""),"P2")</f>
        <v>P2</v>
      </c>
      <c r="I678" s="1" t="str">
        <f ca="1">IFERROR(__xludf.DUMMYFUNCTION("""COMPUTED_VALUE"""),"Barry")</f>
        <v>Barry</v>
      </c>
    </row>
    <row r="679" spans="1:9" ht="12.7" x14ac:dyDescent="0.4">
      <c r="A679" s="2">
        <f ca="1">IFERROR(__xludf.DUMMYFUNCTION("""COMPUTED_VALUE"""),45589.7005930324)</f>
        <v>45589.700593032401</v>
      </c>
      <c r="B679" s="1" t="str">
        <f ca="1">IFERROR(__xludf.DUMMYFUNCTION("""COMPUTED_VALUE"""),"進貨")</f>
        <v>進貨</v>
      </c>
      <c r="C679" s="1" t="str">
        <f ca="1">IFERROR(__xludf.DUMMYFUNCTION("""COMPUTED_VALUE"""),"MM0010000125")</f>
        <v>MM0010000125</v>
      </c>
      <c r="D679" s="1" t="str">
        <f ca="1">IFERROR(__xludf.DUMMYFUNCTION("""COMPUTED_VALUE"""),"All/RL")</f>
        <v>All/RL</v>
      </c>
      <c r="E679" s="1" t="str">
        <f ca="1">IFERROR(__xludf.DUMMYFUNCTION("""COMPUTED_VALUE"""),"p2/庫存")</f>
        <v>p2/庫存</v>
      </c>
      <c r="F679" s="1">
        <f ca="1">IFERROR(__xludf.DUMMYFUNCTION("""COMPUTED_VALUE"""),2)</f>
        <v>2</v>
      </c>
      <c r="G679" s="1"/>
      <c r="H679" s="1" t="str">
        <f ca="1">IFERROR(__xludf.DUMMYFUNCTION("""COMPUTED_VALUE"""),"P2")</f>
        <v>P2</v>
      </c>
      <c r="I679" s="1" t="str">
        <f ca="1">IFERROR(__xludf.DUMMYFUNCTION("""COMPUTED_VALUE"""),"Chiao Yu")</f>
        <v>Chiao Yu</v>
      </c>
    </row>
    <row r="680" spans="1:9" ht="12.7" x14ac:dyDescent="0.4">
      <c r="A680" s="2">
        <f ca="1">IFERROR(__xludf.DUMMYFUNCTION("""COMPUTED_VALUE"""),45589.7012709722)</f>
        <v>45589.701270972197</v>
      </c>
      <c r="B680" s="1" t="str">
        <f ca="1">IFERROR(__xludf.DUMMYFUNCTION("""COMPUTED_VALUE"""),"進貨")</f>
        <v>進貨</v>
      </c>
      <c r="C680" s="1" t="str">
        <f ca="1">IFERROR(__xludf.DUMMYFUNCTION("""COMPUTED_VALUE"""),"MM0260000199")</f>
        <v>MM0260000199</v>
      </c>
      <c r="D680" s="1" t="str">
        <f ca="1">IFERROR(__xludf.DUMMYFUNCTION("""COMPUTED_VALUE"""),"All/RL")</f>
        <v>All/RL</v>
      </c>
      <c r="E680" s="1" t="str">
        <f ca="1">IFERROR(__xludf.DUMMYFUNCTION("""COMPUTED_VALUE"""),"p2/庫存")</f>
        <v>p2/庫存</v>
      </c>
      <c r="F680" s="1">
        <f ca="1">IFERROR(__xludf.DUMMYFUNCTION("""COMPUTED_VALUE"""),6)</f>
        <v>6</v>
      </c>
      <c r="G680" s="1"/>
      <c r="H680" s="1" t="str">
        <f ca="1">IFERROR(__xludf.DUMMYFUNCTION("""COMPUTED_VALUE"""),"P2")</f>
        <v>P2</v>
      </c>
      <c r="I680" s="1" t="str">
        <f ca="1">IFERROR(__xludf.DUMMYFUNCTION("""COMPUTED_VALUE"""),"Chiao Yu")</f>
        <v>Chiao Yu</v>
      </c>
    </row>
    <row r="681" spans="1:9" ht="12.7" x14ac:dyDescent="0.4">
      <c r="A681" s="2">
        <f ca="1">IFERROR(__xludf.DUMMYFUNCTION("""COMPUTED_VALUE"""),45589.7016178703)</f>
        <v>45589.701617870298</v>
      </c>
      <c r="B681" s="1" t="str">
        <f ca="1">IFERROR(__xludf.DUMMYFUNCTION("""COMPUTED_VALUE"""),"進貨")</f>
        <v>進貨</v>
      </c>
      <c r="C681" s="1" t="str">
        <f ca="1">IFERROR(__xludf.DUMMYFUNCTION("""COMPUTED_VALUE"""),"MM0260000200")</f>
        <v>MM0260000200</v>
      </c>
      <c r="D681" s="1" t="str">
        <f ca="1">IFERROR(__xludf.DUMMYFUNCTION("""COMPUTED_VALUE"""),"All/RL")</f>
        <v>All/RL</v>
      </c>
      <c r="E681" s="1" t="str">
        <f ca="1">IFERROR(__xludf.DUMMYFUNCTION("""COMPUTED_VALUE"""),"p2/庫存")</f>
        <v>p2/庫存</v>
      </c>
      <c r="F681" s="1">
        <f ca="1">IFERROR(__xludf.DUMMYFUNCTION("""COMPUTED_VALUE"""),6)</f>
        <v>6</v>
      </c>
      <c r="G681" s="1"/>
      <c r="H681" s="1" t="str">
        <f ca="1">IFERROR(__xludf.DUMMYFUNCTION("""COMPUTED_VALUE"""),"P2")</f>
        <v>P2</v>
      </c>
      <c r="I681" s="1" t="str">
        <f ca="1">IFERROR(__xludf.DUMMYFUNCTION("""COMPUTED_VALUE"""),"Chiao Yu")</f>
        <v>Chiao Yu</v>
      </c>
    </row>
    <row r="682" spans="1:9" ht="12.7" x14ac:dyDescent="0.4">
      <c r="A682" s="2">
        <f ca="1">IFERROR(__xludf.DUMMYFUNCTION("""COMPUTED_VALUE"""),45589.7029542939)</f>
        <v>45589.702954293898</v>
      </c>
      <c r="B682" s="1" t="str">
        <f ca="1">IFERROR(__xludf.DUMMYFUNCTION("""COMPUTED_VALUE"""),"進貨")</f>
        <v>進貨</v>
      </c>
      <c r="C682" s="1" t="str">
        <f ca="1">IFERROR(__xludf.DUMMYFUNCTION("""COMPUTED_VALUE"""),"ME0270001045")</f>
        <v>ME0270001045</v>
      </c>
      <c r="D682" s="1" t="str">
        <f ca="1">IFERROR(__xludf.DUMMYFUNCTION("""COMPUTED_VALUE"""),"All/共用")</f>
        <v>All/共用</v>
      </c>
      <c r="E682" s="1" t="str">
        <f ca="1">IFERROR(__xludf.DUMMYFUNCTION("""COMPUTED_VALUE"""),"p1/庫存")</f>
        <v>p1/庫存</v>
      </c>
      <c r="F682" s="1">
        <f ca="1">IFERROR(__xludf.DUMMYFUNCTION("""COMPUTED_VALUE"""),1)</f>
        <v>1</v>
      </c>
      <c r="G682" s="1"/>
      <c r="H682" s="1" t="str">
        <f ca="1">IFERROR(__xludf.DUMMYFUNCTION("""COMPUTED_VALUE"""),"P1")</f>
        <v>P1</v>
      </c>
      <c r="I682" s="1" t="str">
        <f ca="1">IFERROR(__xludf.DUMMYFUNCTION("""COMPUTED_VALUE"""),"Chiao Yu")</f>
        <v>Chiao Yu</v>
      </c>
    </row>
    <row r="683" spans="1:9" ht="12.7" x14ac:dyDescent="0.4">
      <c r="A683" s="2">
        <f ca="1">IFERROR(__xludf.DUMMYFUNCTION("""COMPUTED_VALUE"""),45589.703355243)</f>
        <v>45589.703355243</v>
      </c>
      <c r="B683" s="1" t="str">
        <f ca="1">IFERROR(__xludf.DUMMYFUNCTION("""COMPUTED_VALUE"""),"進貨")</f>
        <v>進貨</v>
      </c>
      <c r="C683" s="1" t="str">
        <f ca="1">IFERROR(__xludf.DUMMYFUNCTION("""COMPUTED_VALUE"""),"ME0270001045")</f>
        <v>ME0270001045</v>
      </c>
      <c r="D683" s="1" t="str">
        <f ca="1">IFERROR(__xludf.DUMMYFUNCTION("""COMPUTED_VALUE"""),"All/共用")</f>
        <v>All/共用</v>
      </c>
      <c r="E683" s="1" t="str">
        <f ca="1">IFERROR(__xludf.DUMMYFUNCTION("""COMPUTED_VALUE"""),"p2/庫存")</f>
        <v>p2/庫存</v>
      </c>
      <c r="F683" s="1">
        <f ca="1">IFERROR(__xludf.DUMMYFUNCTION("""COMPUTED_VALUE"""),2)</f>
        <v>2</v>
      </c>
      <c r="G683" s="1"/>
      <c r="H683" s="1" t="str">
        <f ca="1">IFERROR(__xludf.DUMMYFUNCTION("""COMPUTED_VALUE"""),"P2")</f>
        <v>P2</v>
      </c>
      <c r="I683" s="1" t="str">
        <f ca="1">IFERROR(__xludf.DUMMYFUNCTION("""COMPUTED_VALUE"""),"Chiao Yu")</f>
        <v>Chiao Yu</v>
      </c>
    </row>
    <row r="684" spans="1:9" ht="12.7" x14ac:dyDescent="0.4">
      <c r="A684" s="2">
        <f ca="1">IFERROR(__xludf.DUMMYFUNCTION("""COMPUTED_VALUE"""),45589.7043216898)</f>
        <v>45589.704321689802</v>
      </c>
      <c r="B684" s="1" t="str">
        <f ca="1">IFERROR(__xludf.DUMMYFUNCTION("""COMPUTED_VALUE"""),"進貨")</f>
        <v>進貨</v>
      </c>
      <c r="C684" s="1" t="str">
        <f ca="1">IFERROR(__xludf.DUMMYFUNCTION("""COMPUTED_VALUE"""),"ME0120000134")</f>
        <v>ME0120000134</v>
      </c>
      <c r="D684" s="1" t="str">
        <f ca="1">IFERROR(__xludf.DUMMYFUNCTION("""COMPUTED_VALUE"""),"All/RL")</f>
        <v>All/RL</v>
      </c>
      <c r="E684" s="1" t="str">
        <f ca="1">IFERROR(__xludf.DUMMYFUNCTION("""COMPUTED_VALUE"""),"p2/庫存")</f>
        <v>p2/庫存</v>
      </c>
      <c r="F684" s="1">
        <f ca="1">IFERROR(__xludf.DUMMYFUNCTION("""COMPUTED_VALUE"""),2)</f>
        <v>2</v>
      </c>
      <c r="G684" s="1"/>
      <c r="H684" s="1" t="str">
        <f ca="1">IFERROR(__xludf.DUMMYFUNCTION("""COMPUTED_VALUE"""),"P2")</f>
        <v>P2</v>
      </c>
      <c r="I684" s="1" t="str">
        <f ca="1">IFERROR(__xludf.DUMMYFUNCTION("""COMPUTED_VALUE"""),"Chiao Yu")</f>
        <v>Chiao Yu</v>
      </c>
    </row>
    <row r="685" spans="1:9" ht="12.7" x14ac:dyDescent="0.4">
      <c r="A685" s="2">
        <f ca="1">IFERROR(__xludf.DUMMYFUNCTION("""COMPUTED_VALUE"""),45589.7049002314)</f>
        <v>45589.704900231402</v>
      </c>
      <c r="B685" s="1" t="str">
        <f ca="1">IFERROR(__xludf.DUMMYFUNCTION("""COMPUTED_VALUE"""),"進貨")</f>
        <v>進貨</v>
      </c>
      <c r="C685" s="1" t="str">
        <f ca="1">IFERROR(__xludf.DUMMYFUNCTION("""COMPUTED_VALUE"""),"ME0120000142")</f>
        <v>ME0120000142</v>
      </c>
      <c r="D685" s="1" t="str">
        <f ca="1">IFERROR(__xludf.DUMMYFUNCTION("""COMPUTED_VALUE"""),"All/BA")</f>
        <v>All/BA</v>
      </c>
      <c r="E685" s="1" t="str">
        <f ca="1">IFERROR(__xludf.DUMMYFUNCTION("""COMPUTED_VALUE"""),"p1/庫存")</f>
        <v>p1/庫存</v>
      </c>
      <c r="F685" s="1">
        <f ca="1">IFERROR(__xludf.DUMMYFUNCTION("""COMPUTED_VALUE"""),1)</f>
        <v>1</v>
      </c>
      <c r="G685" s="1"/>
      <c r="H685" s="1" t="str">
        <f ca="1">IFERROR(__xludf.DUMMYFUNCTION("""COMPUTED_VALUE"""),"P1")</f>
        <v>P1</v>
      </c>
      <c r="I685" s="1" t="str">
        <f ca="1">IFERROR(__xludf.DUMMYFUNCTION("""COMPUTED_VALUE"""),"Chiao Yu")</f>
        <v>Chiao Yu</v>
      </c>
    </row>
    <row r="686" spans="1:9" ht="12.7" x14ac:dyDescent="0.4">
      <c r="A686" s="2">
        <f ca="1">IFERROR(__xludf.DUMMYFUNCTION("""COMPUTED_VALUE"""),45589.705282662)</f>
        <v>45589.705282661998</v>
      </c>
      <c r="B686" s="1" t="str">
        <f ca="1">IFERROR(__xludf.DUMMYFUNCTION("""COMPUTED_VALUE"""),"進貨")</f>
        <v>進貨</v>
      </c>
      <c r="C686" s="1" t="str">
        <f ca="1">IFERROR(__xludf.DUMMYFUNCTION("""COMPUTED_VALUE"""),"ME0120000142")</f>
        <v>ME0120000142</v>
      </c>
      <c r="D686" s="1" t="str">
        <f ca="1">IFERROR(__xludf.DUMMYFUNCTION("""COMPUTED_VALUE"""),"All/BA")</f>
        <v>All/BA</v>
      </c>
      <c r="E686" s="1" t="str">
        <f ca="1">IFERROR(__xludf.DUMMYFUNCTION("""COMPUTED_VALUE"""),"p2/庫存")</f>
        <v>p2/庫存</v>
      </c>
      <c r="F686" s="1">
        <f ca="1">IFERROR(__xludf.DUMMYFUNCTION("""COMPUTED_VALUE"""),1)</f>
        <v>1</v>
      </c>
      <c r="G686" s="1"/>
      <c r="H686" s="1" t="str">
        <f ca="1">IFERROR(__xludf.DUMMYFUNCTION("""COMPUTED_VALUE"""),"P2")</f>
        <v>P2</v>
      </c>
      <c r="I686" s="1" t="str">
        <f ca="1">IFERROR(__xludf.DUMMYFUNCTION("""COMPUTED_VALUE"""),"Chiao Yu")</f>
        <v>Chiao Yu</v>
      </c>
    </row>
    <row r="687" spans="1:9" ht="12.7" x14ac:dyDescent="0.4">
      <c r="A687" s="2">
        <f ca="1">IFERROR(__xludf.DUMMYFUNCTION("""COMPUTED_VALUE"""),45589.7057845833)</f>
        <v>45589.705784583297</v>
      </c>
      <c r="B687" s="1" t="str">
        <f ca="1">IFERROR(__xludf.DUMMYFUNCTION("""COMPUTED_VALUE"""),"進貨")</f>
        <v>進貨</v>
      </c>
      <c r="C687" s="1" t="str">
        <f ca="1">IFERROR(__xludf.DUMMYFUNCTION("""COMPUTED_VALUE"""),"ME0070000140")</f>
        <v>ME0070000140</v>
      </c>
      <c r="D687" s="1" t="str">
        <f ca="1">IFERROR(__xludf.DUMMYFUNCTION("""COMPUTED_VALUE"""),"All/BA")</f>
        <v>All/BA</v>
      </c>
      <c r="E687" s="1" t="str">
        <f ca="1">IFERROR(__xludf.DUMMYFUNCTION("""COMPUTED_VALUE"""),"p1/庫存")</f>
        <v>p1/庫存</v>
      </c>
      <c r="F687" s="1">
        <f ca="1">IFERROR(__xludf.DUMMYFUNCTION("""COMPUTED_VALUE"""),3)</f>
        <v>3</v>
      </c>
      <c r="G687" s="1"/>
      <c r="H687" s="1" t="str">
        <f ca="1">IFERROR(__xludf.DUMMYFUNCTION("""COMPUTED_VALUE"""),"P1")</f>
        <v>P1</v>
      </c>
      <c r="I687" s="1" t="str">
        <f ca="1">IFERROR(__xludf.DUMMYFUNCTION("""COMPUTED_VALUE"""),"Chiao Yu")</f>
        <v>Chiao Yu</v>
      </c>
    </row>
    <row r="688" spans="1:9" ht="12.7" x14ac:dyDescent="0.4">
      <c r="A688" s="2">
        <f ca="1">IFERROR(__xludf.DUMMYFUNCTION("""COMPUTED_VALUE"""),45589.7062102893)</f>
        <v>45589.706210289303</v>
      </c>
      <c r="B688" s="1" t="str">
        <f ca="1">IFERROR(__xludf.DUMMYFUNCTION("""COMPUTED_VALUE"""),"進貨")</f>
        <v>進貨</v>
      </c>
      <c r="C688" s="1" t="str">
        <f ca="1">IFERROR(__xludf.DUMMYFUNCTION("""COMPUTED_VALUE"""),"ME0070000140")</f>
        <v>ME0070000140</v>
      </c>
      <c r="D688" s="1" t="str">
        <f ca="1">IFERROR(__xludf.DUMMYFUNCTION("""COMPUTED_VALUE"""),"All/BA")</f>
        <v>All/BA</v>
      </c>
      <c r="E688" s="1" t="str">
        <f ca="1">IFERROR(__xludf.DUMMYFUNCTION("""COMPUTED_VALUE"""),"p2/庫存")</f>
        <v>p2/庫存</v>
      </c>
      <c r="F688" s="1">
        <f ca="1">IFERROR(__xludf.DUMMYFUNCTION("""COMPUTED_VALUE"""),2)</f>
        <v>2</v>
      </c>
      <c r="G688" s="1"/>
      <c r="H688" s="1" t="str">
        <f ca="1">IFERROR(__xludf.DUMMYFUNCTION("""COMPUTED_VALUE"""),"P2")</f>
        <v>P2</v>
      </c>
      <c r="I688" s="1" t="str">
        <f ca="1">IFERROR(__xludf.DUMMYFUNCTION("""COMPUTED_VALUE"""),"Chiao Yu")</f>
        <v>Chiao Yu</v>
      </c>
    </row>
    <row r="689" spans="1:9" ht="12.7" x14ac:dyDescent="0.4">
      <c r="A689" s="2">
        <f ca="1">IFERROR(__xludf.DUMMYFUNCTION("""COMPUTED_VALUE"""),45589.7082650925)</f>
        <v>45589.7082650925</v>
      </c>
      <c r="B689" s="1" t="str">
        <f ca="1">IFERROR(__xludf.DUMMYFUNCTION("""COMPUTED_VALUE"""),"進貨")</f>
        <v>進貨</v>
      </c>
      <c r="C689" s="1" t="str">
        <f ca="1">IFERROR(__xludf.DUMMYFUNCTION("""COMPUTED_VALUE"""),"ME0120000230")</f>
        <v>ME0120000230</v>
      </c>
      <c r="D689" s="1" t="str">
        <f ca="1">IFERROR(__xludf.DUMMYFUNCTION("""COMPUTED_VALUE"""),"All/共用")</f>
        <v>All/共用</v>
      </c>
      <c r="E689" s="1" t="str">
        <f ca="1">IFERROR(__xludf.DUMMYFUNCTION("""COMPUTED_VALUE"""),"p1/庫存")</f>
        <v>p1/庫存</v>
      </c>
      <c r="F689" s="1">
        <f ca="1">IFERROR(__xludf.DUMMYFUNCTION("""COMPUTED_VALUE"""),2)</f>
        <v>2</v>
      </c>
      <c r="G689" s="1"/>
      <c r="H689" s="1" t="str">
        <f ca="1">IFERROR(__xludf.DUMMYFUNCTION("""COMPUTED_VALUE"""),"P1")</f>
        <v>P1</v>
      </c>
      <c r="I689" s="1" t="str">
        <f ca="1">IFERROR(__xludf.DUMMYFUNCTION("""COMPUTED_VALUE"""),"Chiao Yu")</f>
        <v>Chiao Yu</v>
      </c>
    </row>
    <row r="690" spans="1:9" ht="12.7" x14ac:dyDescent="0.4">
      <c r="A690" s="2">
        <f ca="1">IFERROR(__xludf.DUMMYFUNCTION("""COMPUTED_VALUE"""),45589.7117135648)</f>
        <v>45589.7117135648</v>
      </c>
      <c r="B690" s="1" t="str">
        <f ca="1">IFERROR(__xludf.DUMMYFUNCTION("""COMPUTED_VALUE"""),"庫存調整")</f>
        <v>庫存調整</v>
      </c>
      <c r="C690" s="1" t="str">
        <f ca="1">IFERROR(__xludf.DUMMYFUNCTION("""COMPUTED_VALUE"""),"ME0120000230")</f>
        <v>ME0120000230</v>
      </c>
      <c r="D690" s="1" t="str">
        <f ca="1">IFERROR(__xludf.DUMMYFUNCTION("""COMPUTED_VALUE"""),"All/共用")</f>
        <v>All/共用</v>
      </c>
      <c r="E690" s="1" t="str">
        <f ca="1">IFERROR(__xludf.DUMMYFUNCTION("""COMPUTED_VALUE"""),"p1/庫存")</f>
        <v>p1/庫存</v>
      </c>
      <c r="F690" s="1">
        <f ca="1">IFERROR(__xludf.DUMMYFUNCTION("""COMPUTED_VALUE"""),8)</f>
        <v>8</v>
      </c>
      <c r="G690" s="1"/>
      <c r="H690" s="1" t="str">
        <f ca="1">IFERROR(__xludf.DUMMYFUNCTION("""COMPUTED_VALUE"""),"P1")</f>
        <v>P1</v>
      </c>
      <c r="I690" s="1" t="str">
        <f ca="1">IFERROR(__xludf.DUMMYFUNCTION("""COMPUTED_VALUE"""),"Chiao Yu")</f>
        <v>Chiao Yu</v>
      </c>
    </row>
    <row r="691" spans="1:9" ht="12.7" x14ac:dyDescent="0.4">
      <c r="A691" s="2">
        <f ca="1">IFERROR(__xludf.DUMMYFUNCTION("""COMPUTED_VALUE"""),45589.7132835995)</f>
        <v>45589.7132835995</v>
      </c>
      <c r="B691" s="1" t="str">
        <f ca="1">IFERROR(__xludf.DUMMYFUNCTION("""COMPUTED_VALUE"""),"庫存調整")</f>
        <v>庫存調整</v>
      </c>
      <c r="C691" s="1" t="str">
        <f ca="1">IFERROR(__xludf.DUMMYFUNCTION("""COMPUTED_VALUE"""),"ME0120000230")</f>
        <v>ME0120000230</v>
      </c>
      <c r="D691" s="1" t="str">
        <f ca="1">IFERROR(__xludf.DUMMYFUNCTION("""COMPUTED_VALUE"""),"All/共用")</f>
        <v>All/共用</v>
      </c>
      <c r="E691" s="1" t="str">
        <f ca="1">IFERROR(__xludf.DUMMYFUNCTION("""COMPUTED_VALUE"""),"p1/庫存")</f>
        <v>p1/庫存</v>
      </c>
      <c r="F691" s="1">
        <f ca="1">IFERROR(__xludf.DUMMYFUNCTION("""COMPUTED_VALUE"""),-9)</f>
        <v>-9</v>
      </c>
      <c r="G691" s="1"/>
      <c r="H691" s="1" t="str">
        <f ca="1">IFERROR(__xludf.DUMMYFUNCTION("""COMPUTED_VALUE"""),"P1")</f>
        <v>P1</v>
      </c>
      <c r="I691" s="1" t="str">
        <f ca="1">IFERROR(__xludf.DUMMYFUNCTION("""COMPUTED_VALUE"""),"Chiao Yu")</f>
        <v>Chiao Yu</v>
      </c>
    </row>
    <row r="692" spans="1:9" ht="12.7" x14ac:dyDescent="0.4">
      <c r="A692" s="2">
        <f ca="1">IFERROR(__xludf.DUMMYFUNCTION("""COMPUTED_VALUE"""),45589.7137762847)</f>
        <v>45589.713776284698</v>
      </c>
      <c r="B692" s="1" t="str">
        <f ca="1">IFERROR(__xludf.DUMMYFUNCTION("""COMPUTED_VALUE"""),"庫存調整")</f>
        <v>庫存調整</v>
      </c>
      <c r="C692" s="1" t="str">
        <f ca="1">IFERROR(__xludf.DUMMYFUNCTION("""COMPUTED_VALUE"""),"ME0120000230")</f>
        <v>ME0120000230</v>
      </c>
      <c r="D692" s="1" t="str">
        <f ca="1">IFERROR(__xludf.DUMMYFUNCTION("""COMPUTED_VALUE"""),"All/共用")</f>
        <v>All/共用</v>
      </c>
      <c r="E692" s="1" t="str">
        <f ca="1">IFERROR(__xludf.DUMMYFUNCTION("""COMPUTED_VALUE"""),"p2/庫存")</f>
        <v>p2/庫存</v>
      </c>
      <c r="F692" s="1">
        <f ca="1">IFERROR(__xludf.DUMMYFUNCTION("""COMPUTED_VALUE"""),6)</f>
        <v>6</v>
      </c>
      <c r="G692" s="1"/>
      <c r="H692" s="1" t="str">
        <f ca="1">IFERROR(__xludf.DUMMYFUNCTION("""COMPUTED_VALUE"""),"P2")</f>
        <v>P2</v>
      </c>
      <c r="I692" s="1" t="str">
        <f ca="1">IFERROR(__xludf.DUMMYFUNCTION("""COMPUTED_VALUE"""),"Chiao Yu")</f>
        <v>Chiao Yu</v>
      </c>
    </row>
    <row r="693" spans="1:9" ht="12.7" x14ac:dyDescent="0.4">
      <c r="A693" s="2">
        <f ca="1">IFERROR(__xludf.DUMMYFUNCTION("""COMPUTED_VALUE"""),45589.7140553587)</f>
        <v>45589.714055358701</v>
      </c>
      <c r="B693" s="1" t="str">
        <f ca="1">IFERROR(__xludf.DUMMYFUNCTION("""COMPUTED_VALUE"""),"進貨")</f>
        <v>進貨</v>
      </c>
      <c r="C693" s="1" t="str">
        <f ca="1">IFERROR(__xludf.DUMMYFUNCTION("""COMPUTED_VALUE"""),"ME0120000230")</f>
        <v>ME0120000230</v>
      </c>
      <c r="D693" s="1" t="str">
        <f ca="1">IFERROR(__xludf.DUMMYFUNCTION("""COMPUTED_VALUE"""),"All/共用")</f>
        <v>All/共用</v>
      </c>
      <c r="E693" s="1" t="str">
        <f ca="1">IFERROR(__xludf.DUMMYFUNCTION("""COMPUTED_VALUE"""),"p2/庫存")</f>
        <v>p2/庫存</v>
      </c>
      <c r="F693" s="1">
        <f ca="1">IFERROR(__xludf.DUMMYFUNCTION("""COMPUTED_VALUE"""),1)</f>
        <v>1</v>
      </c>
      <c r="G693" s="1"/>
      <c r="H693" s="1" t="str">
        <f ca="1">IFERROR(__xludf.DUMMYFUNCTION("""COMPUTED_VALUE"""),"P2")</f>
        <v>P2</v>
      </c>
      <c r="I693" s="1" t="str">
        <f ca="1">IFERROR(__xludf.DUMMYFUNCTION("""COMPUTED_VALUE"""),"Chiao Yu")</f>
        <v>Chiao Yu</v>
      </c>
    </row>
    <row r="694" spans="1:9" ht="12.7" x14ac:dyDescent="0.4">
      <c r="A694" s="2">
        <f ca="1">IFERROR(__xludf.DUMMYFUNCTION("""COMPUTED_VALUE"""),45590.4447531134)</f>
        <v>45590.444753113399</v>
      </c>
      <c r="B694" s="1" t="str">
        <f ca="1">IFERROR(__xludf.DUMMYFUNCTION("""COMPUTED_VALUE"""),"進貨")</f>
        <v>進貨</v>
      </c>
      <c r="C694" s="1" t="str">
        <f ca="1">IFERROR(__xludf.DUMMYFUNCTION("""COMPUTED_VALUE"""),"MM0260000077")</f>
        <v>MM0260000077</v>
      </c>
      <c r="D694" s="1" t="str">
        <f ca="1">IFERROR(__xludf.DUMMYFUNCTION("""COMPUTED_VALUE"""),"All/BA")</f>
        <v>All/BA</v>
      </c>
      <c r="E694" s="1" t="str">
        <f ca="1">IFERROR(__xludf.DUMMYFUNCTION("""COMPUTED_VALUE"""),"p2/庫存")</f>
        <v>p2/庫存</v>
      </c>
      <c r="F694" s="1">
        <f ca="1">IFERROR(__xludf.DUMMYFUNCTION("""COMPUTED_VALUE"""),58)</f>
        <v>58</v>
      </c>
      <c r="G694" s="1"/>
      <c r="H694" s="1" t="str">
        <f ca="1">IFERROR(__xludf.DUMMYFUNCTION("""COMPUTED_VALUE"""),"P2")</f>
        <v>P2</v>
      </c>
      <c r="I694" s="1" t="str">
        <f ca="1">IFERROR(__xludf.DUMMYFUNCTION("""COMPUTED_VALUE"""),"Chiao Yu")</f>
        <v>Chiao Yu</v>
      </c>
    </row>
    <row r="695" spans="1:9" ht="12.7" x14ac:dyDescent="0.4">
      <c r="A695" s="2">
        <f ca="1">IFERROR(__xludf.DUMMYFUNCTION("""COMPUTED_VALUE"""),45592.5594263657)</f>
        <v>45592.559426365697</v>
      </c>
      <c r="B695" s="1" t="str">
        <f ca="1">IFERROR(__xludf.DUMMYFUNCTION("""COMPUTED_VALUE"""),"送修")</f>
        <v>送修</v>
      </c>
      <c r="C695" s="1" t="str">
        <f ca="1">IFERROR(__xludf.DUMMYFUNCTION("""COMPUTED_VALUE"""),"ME0020000525")</f>
        <v>ME0020000525</v>
      </c>
      <c r="D695" s="1" t="str">
        <f ca="1">IFERROR(__xludf.DUMMYFUNCTION("""COMPUTED_VALUE"""),"All/共用")</f>
        <v>All/共用</v>
      </c>
      <c r="E695" s="1" t="str">
        <f ca="1">IFERROR(__xludf.DUMMYFUNCTION("""COMPUTED_VALUE"""),"p2/庫存")</f>
        <v>p2/庫存</v>
      </c>
      <c r="F695" s="1">
        <f ca="1">IFERROR(__xludf.DUMMYFUNCTION("""COMPUTED_VALUE"""),1)</f>
        <v>1</v>
      </c>
      <c r="G695" s="1" t="str">
        <f ca="1">IFERROR(__xludf.DUMMYFUNCTION("""COMPUTED_VALUE"""),"2213E62112E6")</f>
        <v>2213E62112E6</v>
      </c>
      <c r="H695" s="1" t="str">
        <f ca="1">IFERROR(__xludf.DUMMYFUNCTION("""COMPUTED_VALUE"""),"P2_055")</f>
        <v>P2_055</v>
      </c>
      <c r="I695" s="1" t="str">
        <f ca="1">IFERROR(__xludf.DUMMYFUNCTION("""COMPUTED_VALUE"""),"Simon")</f>
        <v>Simon</v>
      </c>
    </row>
    <row r="696" spans="1:9" ht="12.7" x14ac:dyDescent="0.4">
      <c r="A696" s="2">
        <f ca="1">IFERROR(__xludf.DUMMYFUNCTION("""COMPUTED_VALUE"""),45592.560541412)</f>
        <v>45592.560541412</v>
      </c>
      <c r="B696" s="1" t="str">
        <f ca="1">IFERROR(__xludf.DUMMYFUNCTION("""COMPUTED_VALUE"""),"料件上線時間")</f>
        <v>料件上線時間</v>
      </c>
      <c r="C696" s="1" t="str">
        <f ca="1">IFERROR(__xludf.DUMMYFUNCTION("""COMPUTED_VALUE"""),"ME0020000525")</f>
        <v>ME0020000525</v>
      </c>
      <c r="D696" s="1" t="str">
        <f ca="1">IFERROR(__xludf.DUMMYFUNCTION("""COMPUTED_VALUE"""),"All/共用")</f>
        <v>All/共用</v>
      </c>
      <c r="E696" s="1" t="str">
        <f ca="1">IFERROR(__xludf.DUMMYFUNCTION("""COMPUTED_VALUE"""),"p2/庫存")</f>
        <v>p2/庫存</v>
      </c>
      <c r="F696" s="1">
        <f ca="1">IFERROR(__xludf.DUMMYFUNCTION("""COMPUTED_VALUE"""),1)</f>
        <v>1</v>
      </c>
      <c r="G696" s="1" t="str">
        <f ca="1">IFERROR(__xludf.DUMMYFUNCTION("""COMPUTED_VALUE"""),"2413E8A1C74F")</f>
        <v>2413E8A1C74F</v>
      </c>
      <c r="H696" s="1" t="str">
        <f ca="1">IFERROR(__xludf.DUMMYFUNCTION("""COMPUTED_VALUE"""),"P2_055")</f>
        <v>P2_055</v>
      </c>
      <c r="I696" s="1" t="str">
        <f ca="1">IFERROR(__xludf.DUMMYFUNCTION("""COMPUTED_VALUE"""),"Simon")</f>
        <v>Simon</v>
      </c>
    </row>
    <row r="697" spans="1:9" ht="12.7" x14ac:dyDescent="0.4">
      <c r="A697" s="2">
        <f ca="1">IFERROR(__xludf.DUMMYFUNCTION("""COMPUTED_VALUE"""),45592.6104825347)</f>
        <v>45592.610482534699</v>
      </c>
      <c r="B697" s="1" t="str">
        <f ca="1">IFERROR(__xludf.DUMMYFUNCTION("""COMPUTED_VALUE"""),"庫存調整")</f>
        <v>庫存調整</v>
      </c>
      <c r="C697" s="1" t="str">
        <f ca="1">IFERROR(__xludf.DUMMYFUNCTION("""COMPUTED_VALUE"""),"ME0020000525")</f>
        <v>ME0020000525</v>
      </c>
      <c r="D697" s="1" t="str">
        <f ca="1">IFERROR(__xludf.DUMMYFUNCTION("""COMPUTED_VALUE"""),"All/共用")</f>
        <v>All/共用</v>
      </c>
      <c r="E697" s="1" t="str">
        <f ca="1">IFERROR(__xludf.DUMMYFUNCTION("""COMPUTED_VALUE"""),"p1/庫存")</f>
        <v>p1/庫存</v>
      </c>
      <c r="F697" s="1">
        <f ca="1">IFERROR(__xludf.DUMMYFUNCTION("""COMPUTED_VALUE"""),-2)</f>
        <v>-2</v>
      </c>
      <c r="G697" s="1"/>
      <c r="H697" s="1" t="str">
        <f ca="1">IFERROR(__xludf.DUMMYFUNCTION("""COMPUTED_VALUE"""),"P1")</f>
        <v>P1</v>
      </c>
      <c r="I697" s="1" t="str">
        <f ca="1">IFERROR(__xludf.DUMMYFUNCTION("""COMPUTED_VALUE"""),"Simon")</f>
        <v>Simon</v>
      </c>
    </row>
    <row r="698" spans="1:9" ht="12.7" x14ac:dyDescent="0.4">
      <c r="A698" s="2">
        <f ca="1">IFERROR(__xludf.DUMMYFUNCTION("""COMPUTED_VALUE"""),45592.6111943402)</f>
        <v>45592.611194340199</v>
      </c>
      <c r="B698" s="1" t="str">
        <f ca="1">IFERROR(__xludf.DUMMYFUNCTION("""COMPUTED_VALUE"""),"庫存調整")</f>
        <v>庫存調整</v>
      </c>
      <c r="C698" s="1" t="str">
        <f ca="1">IFERROR(__xludf.DUMMYFUNCTION("""COMPUTED_VALUE"""),"ME0020000525")</f>
        <v>ME0020000525</v>
      </c>
      <c r="D698" s="1" t="str">
        <f ca="1">IFERROR(__xludf.DUMMYFUNCTION("""COMPUTED_VALUE"""),"All/共用")</f>
        <v>All/共用</v>
      </c>
      <c r="E698" s="1" t="str">
        <f ca="1">IFERROR(__xludf.DUMMYFUNCTION("""COMPUTED_VALUE"""),"p2/庫存")</f>
        <v>p2/庫存</v>
      </c>
      <c r="F698" s="1">
        <f ca="1">IFERROR(__xludf.DUMMYFUNCTION("""COMPUTED_VALUE"""),2)</f>
        <v>2</v>
      </c>
      <c r="G698" s="1"/>
      <c r="H698" s="1" t="str">
        <f ca="1">IFERROR(__xludf.DUMMYFUNCTION("""COMPUTED_VALUE"""),"P2")</f>
        <v>P2</v>
      </c>
      <c r="I698" s="1" t="str">
        <f ca="1">IFERROR(__xludf.DUMMYFUNCTION("""COMPUTED_VALUE"""),"Simon")</f>
        <v>Simon</v>
      </c>
    </row>
    <row r="699" spans="1:9" ht="12.7" x14ac:dyDescent="0.4">
      <c r="A699" s="2">
        <f ca="1">IFERROR(__xludf.DUMMYFUNCTION("""COMPUTED_VALUE"""),45592.6125762268)</f>
        <v>45592.612576226798</v>
      </c>
      <c r="B699" s="1" t="str">
        <f ca="1">IFERROR(__xludf.DUMMYFUNCTION("""COMPUTED_VALUE"""),"送修")</f>
        <v>送修</v>
      </c>
      <c r="C699" s="1" t="str">
        <f ca="1">IFERROR(__xludf.DUMMYFUNCTION("""COMPUTED_VALUE"""),"ME0020000525")</f>
        <v>ME0020000525</v>
      </c>
      <c r="D699" s="1" t="str">
        <f ca="1">IFERROR(__xludf.DUMMYFUNCTION("""COMPUTED_VALUE"""),"All/共用")</f>
        <v>All/共用</v>
      </c>
      <c r="E699" s="1" t="str">
        <f ca="1">IFERROR(__xludf.DUMMYFUNCTION("""COMPUTED_VALUE"""),"p2/庫存")</f>
        <v>p2/庫存</v>
      </c>
      <c r="F699" s="1">
        <f ca="1">IFERROR(__xludf.DUMMYFUNCTION("""COMPUTED_VALUE"""),1)</f>
        <v>1</v>
      </c>
      <c r="G699" s="1" t="str">
        <f ca="1">IFERROR(__xludf.DUMMYFUNCTION("""COMPUTED_VALUE"""),"2306E6AA1D5B")</f>
        <v>2306E6AA1D5B</v>
      </c>
      <c r="H699" s="1" t="str">
        <f ca="1">IFERROR(__xludf.DUMMYFUNCTION("""COMPUTED_VALUE"""),"P2")</f>
        <v>P2</v>
      </c>
      <c r="I699" s="1" t="str">
        <f ca="1">IFERROR(__xludf.DUMMYFUNCTION("""COMPUTED_VALUE"""),"Simon")</f>
        <v>Simon</v>
      </c>
    </row>
    <row r="700" spans="1:9" ht="12.7" x14ac:dyDescent="0.4">
      <c r="A700" s="2">
        <f ca="1">IFERROR(__xludf.DUMMYFUNCTION("""COMPUTED_VALUE"""),45593.401418449)</f>
        <v>45593.401418449001</v>
      </c>
      <c r="B700" s="1" t="str">
        <f ca="1">IFERROR(__xludf.DUMMYFUNCTION("""COMPUTED_VALUE"""),"領料")</f>
        <v>領料</v>
      </c>
      <c r="C700" s="1" t="str">
        <f ca="1">IFERROR(__xludf.DUMMYFUNCTION("""COMPUTED_VALUE"""),"MM0260000199")</f>
        <v>MM0260000199</v>
      </c>
      <c r="D700" s="1" t="str">
        <f ca="1">IFERROR(__xludf.DUMMYFUNCTION("""COMPUTED_VALUE"""),"All/RL")</f>
        <v>All/RL</v>
      </c>
      <c r="E700" s="1" t="str">
        <f ca="1">IFERROR(__xludf.DUMMYFUNCTION("""COMPUTED_VALUE"""),"p2/庫存")</f>
        <v>p2/庫存</v>
      </c>
      <c r="F700" s="1">
        <f ca="1">IFERROR(__xludf.DUMMYFUNCTION("""COMPUTED_VALUE"""),1)</f>
        <v>1</v>
      </c>
      <c r="G700" s="1"/>
      <c r="H700" s="1" t="str">
        <f ca="1">IFERROR(__xludf.DUMMYFUNCTION("""COMPUTED_VALUE"""),"P2_1006")</f>
        <v>P2_1006</v>
      </c>
      <c r="I700" s="1" t="str">
        <f ca="1">IFERROR(__xludf.DUMMYFUNCTION("""COMPUTED_VALUE"""),"Barry")</f>
        <v>Barry</v>
      </c>
    </row>
    <row r="701" spans="1:9" ht="12.7" x14ac:dyDescent="0.4">
      <c r="A701" s="2">
        <f ca="1">IFERROR(__xludf.DUMMYFUNCTION("""COMPUTED_VALUE"""),45593.4023160995)</f>
        <v>45593.402316099498</v>
      </c>
      <c r="B701" s="1" t="str">
        <f ca="1">IFERROR(__xludf.DUMMYFUNCTION("""COMPUTED_VALUE"""),"領料")</f>
        <v>領料</v>
      </c>
      <c r="C701" s="1" t="str">
        <f ca="1">IFERROR(__xludf.DUMMYFUNCTION("""COMPUTED_VALUE"""),"MM0260000200")</f>
        <v>MM0260000200</v>
      </c>
      <c r="D701" s="1" t="str">
        <f ca="1">IFERROR(__xludf.DUMMYFUNCTION("""COMPUTED_VALUE"""),"All/RL")</f>
        <v>All/RL</v>
      </c>
      <c r="E701" s="1" t="str">
        <f ca="1">IFERROR(__xludf.DUMMYFUNCTION("""COMPUTED_VALUE"""),"p2/庫存")</f>
        <v>p2/庫存</v>
      </c>
      <c r="F701" s="1">
        <f ca="1">IFERROR(__xludf.DUMMYFUNCTION("""COMPUTED_VALUE"""),1)</f>
        <v>1</v>
      </c>
      <c r="G701" s="1"/>
      <c r="H701" s="1" t="str">
        <f ca="1">IFERROR(__xludf.DUMMYFUNCTION("""COMPUTED_VALUE"""),"P2_1006")</f>
        <v>P2_1006</v>
      </c>
      <c r="I701" s="1" t="str">
        <f ca="1">IFERROR(__xludf.DUMMYFUNCTION("""COMPUTED_VALUE"""),"Barry")</f>
        <v>Barry</v>
      </c>
    </row>
    <row r="702" spans="1:9" ht="12.7" x14ac:dyDescent="0.4">
      <c r="A702" s="2">
        <f ca="1">IFERROR(__xludf.DUMMYFUNCTION("""COMPUTED_VALUE"""),45593.4031234606)</f>
        <v>45593.403123460601</v>
      </c>
      <c r="B702" s="1" t="str">
        <f ca="1">IFERROR(__xludf.DUMMYFUNCTION("""COMPUTED_VALUE"""),"領料")</f>
        <v>領料</v>
      </c>
      <c r="C702" s="1" t="str">
        <f ca="1">IFERROR(__xludf.DUMMYFUNCTION("""COMPUTED_VALUE"""),"MM0260000249")</f>
        <v>MM0260000249</v>
      </c>
      <c r="D702" s="1" t="str">
        <f ca="1">IFERROR(__xludf.DUMMYFUNCTION("""COMPUTED_VALUE"""),"All/RL")</f>
        <v>All/RL</v>
      </c>
      <c r="E702" s="1" t="str">
        <f ca="1">IFERROR(__xludf.DUMMYFUNCTION("""COMPUTED_VALUE"""),"p2/庫存")</f>
        <v>p2/庫存</v>
      </c>
      <c r="F702" s="1">
        <f ca="1">IFERROR(__xludf.DUMMYFUNCTION("""COMPUTED_VALUE"""),1)</f>
        <v>1</v>
      </c>
      <c r="G702" s="1"/>
      <c r="H702" s="1" t="str">
        <f ca="1">IFERROR(__xludf.DUMMYFUNCTION("""COMPUTED_VALUE"""),"P2_1006")</f>
        <v>P2_1006</v>
      </c>
      <c r="I702" s="1" t="str">
        <f ca="1">IFERROR(__xludf.DUMMYFUNCTION("""COMPUTED_VALUE"""),"Barry")</f>
        <v>Barry</v>
      </c>
    </row>
    <row r="703" spans="1:9" ht="12.7" x14ac:dyDescent="0.4">
      <c r="A703" s="2">
        <f ca="1">IFERROR(__xludf.DUMMYFUNCTION("""COMPUTED_VALUE"""),45593.6841808912)</f>
        <v>45593.6841808912</v>
      </c>
      <c r="B703" s="1" t="str">
        <f ca="1">IFERROR(__xludf.DUMMYFUNCTION("""COMPUTED_VALUE"""),"返修")</f>
        <v>返修</v>
      </c>
      <c r="C703" s="1" t="str">
        <f ca="1">IFERROR(__xludf.DUMMYFUNCTION("""COMPUTED_VALUE"""),"ME0100000056")</f>
        <v>ME0100000056</v>
      </c>
      <c r="D703" s="1" t="str">
        <f ca="1">IFERROR(__xludf.DUMMYFUNCTION("""COMPUTED_VALUE"""),"All/BA")</f>
        <v>All/BA</v>
      </c>
      <c r="E703" s="1" t="str">
        <f ca="1">IFERROR(__xludf.DUMMYFUNCTION("""COMPUTED_VALUE"""),"p1/庫存")</f>
        <v>p1/庫存</v>
      </c>
      <c r="F703" s="1">
        <f ca="1">IFERROR(__xludf.DUMMYFUNCTION("""COMPUTED_VALUE"""),1)</f>
        <v>1</v>
      </c>
      <c r="G703" s="1" t="str">
        <f ca="1">IFERROR(__xludf.DUMMYFUNCTION("""COMPUTED_VALUE"""),"step motor P10-001")</f>
        <v>step motor P10-001</v>
      </c>
      <c r="H703" s="1" t="str">
        <f ca="1">IFERROR(__xludf.DUMMYFUNCTION("""COMPUTED_VALUE"""),"P1_007")</f>
        <v>P1_007</v>
      </c>
      <c r="I703" s="1" t="str">
        <f ca="1">IFERROR(__xludf.DUMMYFUNCTION("""COMPUTED_VALUE"""),"Simon")</f>
        <v>Simon</v>
      </c>
    </row>
    <row r="704" spans="1:9" ht="12.7" x14ac:dyDescent="0.4">
      <c r="A704" s="2">
        <f ca="1">IFERROR(__xludf.DUMMYFUNCTION("""COMPUTED_VALUE"""),45593.697219537)</f>
        <v>45593.697219537004</v>
      </c>
      <c r="B704" s="1" t="str">
        <f ca="1">IFERROR(__xludf.DUMMYFUNCTION("""COMPUTED_VALUE"""),"進貨")</f>
        <v>進貨</v>
      </c>
      <c r="C704" s="1" t="str">
        <f ca="1">IFERROR(__xludf.DUMMYFUNCTION("""COMPUTED_VALUE"""),"A00700000848")</f>
        <v>A00700000848</v>
      </c>
      <c r="D704" s="1" t="str">
        <f ca="1">IFERROR(__xludf.DUMMYFUNCTION("""COMPUTED_VALUE"""),"All/SB")</f>
        <v>All/SB</v>
      </c>
      <c r="E704" s="1" t="str">
        <f ca="1">IFERROR(__xludf.DUMMYFUNCTION("""COMPUTED_VALUE"""),"p1/庫存")</f>
        <v>p1/庫存</v>
      </c>
      <c r="F704" s="1">
        <f ca="1">IFERROR(__xludf.DUMMYFUNCTION("""COMPUTED_VALUE"""),1)</f>
        <v>1</v>
      </c>
      <c r="G704" s="1"/>
      <c r="H704" s="1" t="str">
        <f ca="1">IFERROR(__xludf.DUMMYFUNCTION("""COMPUTED_VALUE"""),"P1")</f>
        <v>P1</v>
      </c>
      <c r="I704" s="1" t="str">
        <f ca="1">IFERROR(__xludf.DUMMYFUNCTION("""COMPUTED_VALUE"""),"Simon")</f>
        <v>Simon</v>
      </c>
    </row>
    <row r="705" spans="1:9" ht="12.7" x14ac:dyDescent="0.4">
      <c r="A705" s="2">
        <f ca="1">IFERROR(__xludf.DUMMYFUNCTION("""COMPUTED_VALUE"""),45595.4571090624)</f>
        <v>45595.457109062401</v>
      </c>
      <c r="B705" s="1" t="str">
        <f ca="1">IFERROR(__xludf.DUMMYFUNCTION("""COMPUTED_VALUE"""),"送修")</f>
        <v>送修</v>
      </c>
      <c r="C705" s="1" t="str">
        <f ca="1">IFERROR(__xludf.DUMMYFUNCTION("""COMPUTED_VALUE"""),"ME0070000140")</f>
        <v>ME0070000140</v>
      </c>
      <c r="D705" s="1" t="str">
        <f ca="1">IFERROR(__xludf.DUMMYFUNCTION("""COMPUTED_VALUE"""),"All/BA")</f>
        <v>All/BA</v>
      </c>
      <c r="E705" s="1" t="str">
        <f ca="1">IFERROR(__xludf.DUMMYFUNCTION("""COMPUTED_VALUE"""),"p2/庫存")</f>
        <v>p2/庫存</v>
      </c>
      <c r="F705" s="1">
        <f ca="1">IFERROR(__xludf.DUMMYFUNCTION("""COMPUTED_VALUE"""),1)</f>
        <v>1</v>
      </c>
      <c r="G705" s="1" t="str">
        <f ca="1">IFERROR(__xludf.DUMMYFUNCTION("""COMPUTED_VALUE"""),"100A-2522C0104-2208")</f>
        <v>100A-2522C0104-2208</v>
      </c>
      <c r="H705" s="1" t="str">
        <f ca="1">IFERROR(__xludf.DUMMYFUNCTION("""COMPUTED_VALUE"""),"P2_031")</f>
        <v>P2_031</v>
      </c>
      <c r="I705" s="1" t="str">
        <f ca="1">IFERROR(__xludf.DUMMYFUNCTION("""COMPUTED_VALUE"""),"Chiao Yu")</f>
        <v>Chiao Yu</v>
      </c>
    </row>
    <row r="706" spans="1:9" ht="12.7" x14ac:dyDescent="0.4">
      <c r="A706" s="2">
        <f ca="1">IFERROR(__xludf.DUMMYFUNCTION("""COMPUTED_VALUE"""),45595.4576841782)</f>
        <v>45595.457684178204</v>
      </c>
      <c r="B706" s="1" t="str">
        <f ca="1">IFERROR(__xludf.DUMMYFUNCTION("""COMPUTED_VALUE"""),"送修")</f>
        <v>送修</v>
      </c>
      <c r="C706" s="1" t="str">
        <f ca="1">IFERROR(__xludf.DUMMYFUNCTION("""COMPUTED_VALUE"""),"ME0070000140")</f>
        <v>ME0070000140</v>
      </c>
      <c r="D706" s="1" t="str">
        <f ca="1">IFERROR(__xludf.DUMMYFUNCTION("""COMPUTED_VALUE"""),"All/BA")</f>
        <v>All/BA</v>
      </c>
      <c r="E706" s="1" t="str">
        <f ca="1">IFERROR(__xludf.DUMMYFUNCTION("""COMPUTED_VALUE"""),"p2/庫存")</f>
        <v>p2/庫存</v>
      </c>
      <c r="F706" s="1">
        <f ca="1">IFERROR(__xludf.DUMMYFUNCTION("""COMPUTED_VALUE"""),1)</f>
        <v>1</v>
      </c>
      <c r="G706" s="1" t="str">
        <f ca="1">IFERROR(__xludf.DUMMYFUNCTION("""COMPUTED_VALUE"""),"100A-2522C0025-2207")</f>
        <v>100A-2522C0025-2207</v>
      </c>
      <c r="H706" s="1" t="str">
        <f ca="1">IFERROR(__xludf.DUMMYFUNCTION("""COMPUTED_VALUE"""),"P2_031")</f>
        <v>P2_031</v>
      </c>
      <c r="I706" s="1" t="str">
        <f ca="1">IFERROR(__xludf.DUMMYFUNCTION("""COMPUTED_VALUE"""),"Chiao Yu")</f>
        <v>Chiao Yu</v>
      </c>
    </row>
    <row r="707" spans="1:9" ht="12.7" x14ac:dyDescent="0.4">
      <c r="A707" s="2">
        <f ca="1">IFERROR(__xludf.DUMMYFUNCTION("""COMPUTED_VALUE"""),45595.4589791666)</f>
        <v>45595.4589791666</v>
      </c>
      <c r="B707" s="1" t="str">
        <f ca="1">IFERROR(__xludf.DUMMYFUNCTION("""COMPUTED_VALUE"""),"料件上線時間")</f>
        <v>料件上線時間</v>
      </c>
      <c r="C707" s="1" t="str">
        <f ca="1">IFERROR(__xludf.DUMMYFUNCTION("""COMPUTED_VALUE"""),"ME0070000140")</f>
        <v>ME0070000140</v>
      </c>
      <c r="D707" s="1" t="str">
        <f ca="1">IFERROR(__xludf.DUMMYFUNCTION("""COMPUTED_VALUE"""),"All/BA")</f>
        <v>All/BA</v>
      </c>
      <c r="E707" s="1" t="str">
        <f ca="1">IFERROR(__xludf.DUMMYFUNCTION("""COMPUTED_VALUE"""),"p2/庫存")</f>
        <v>p2/庫存</v>
      </c>
      <c r="F707" s="1">
        <f ca="1">IFERROR(__xludf.DUMMYFUNCTION("""COMPUTED_VALUE"""),1)</f>
        <v>1</v>
      </c>
      <c r="G707" s="1" t="str">
        <f ca="1">IFERROR(__xludf.DUMMYFUNCTION("""COMPUTED_VALUE"""),"100A-2523K0013-2405")</f>
        <v>100A-2523K0013-2405</v>
      </c>
      <c r="H707" s="1" t="str">
        <f ca="1">IFERROR(__xludf.DUMMYFUNCTION("""COMPUTED_VALUE"""),"P1_031")</f>
        <v>P1_031</v>
      </c>
      <c r="I707" s="1" t="str">
        <f ca="1">IFERROR(__xludf.DUMMYFUNCTION("""COMPUTED_VALUE"""),"Chiao Yu")</f>
        <v>Chiao Yu</v>
      </c>
    </row>
    <row r="708" spans="1:9" ht="12.7" x14ac:dyDescent="0.4">
      <c r="A708" s="2">
        <f ca="1">IFERROR(__xludf.DUMMYFUNCTION("""COMPUTED_VALUE"""),45595.4599139699)</f>
        <v>45595.459913969898</v>
      </c>
      <c r="B708" s="1" t="str">
        <f ca="1">IFERROR(__xludf.DUMMYFUNCTION("""COMPUTED_VALUE"""),"料件上線時間")</f>
        <v>料件上線時間</v>
      </c>
      <c r="C708" s="1" t="str">
        <f ca="1">IFERROR(__xludf.DUMMYFUNCTION("""COMPUTED_VALUE"""),"ME0070000140")</f>
        <v>ME0070000140</v>
      </c>
      <c r="D708" s="1" t="str">
        <f ca="1">IFERROR(__xludf.DUMMYFUNCTION("""COMPUTED_VALUE"""),"All/BA")</f>
        <v>All/BA</v>
      </c>
      <c r="E708" s="1" t="str">
        <f ca="1">IFERROR(__xludf.DUMMYFUNCTION("""COMPUTED_VALUE"""),"p2/庫存")</f>
        <v>p2/庫存</v>
      </c>
      <c r="F708" s="1">
        <f ca="1">IFERROR(__xludf.DUMMYFUNCTION("""COMPUTED_VALUE"""),1)</f>
        <v>1</v>
      </c>
      <c r="G708" s="1" t="str">
        <f ca="1">IFERROR(__xludf.DUMMYFUNCTION("""COMPUTED_VALUE"""),"100A-2523K0038-2409")</f>
        <v>100A-2523K0038-2409</v>
      </c>
      <c r="H708" s="1" t="str">
        <f ca="1">IFERROR(__xludf.DUMMYFUNCTION("""COMPUTED_VALUE"""),"P1_031")</f>
        <v>P1_031</v>
      </c>
      <c r="I708" s="1" t="str">
        <f ca="1">IFERROR(__xludf.DUMMYFUNCTION("""COMPUTED_VALUE"""),"Chiao Yu")</f>
        <v>Chiao Yu</v>
      </c>
    </row>
    <row r="709" spans="1:9" ht="12.7" x14ac:dyDescent="0.4">
      <c r="A709" s="2">
        <f ca="1">IFERROR(__xludf.DUMMYFUNCTION("""COMPUTED_VALUE"""),45596.2575643171)</f>
        <v>45596.2575643171</v>
      </c>
      <c r="B709" s="1" t="str">
        <f ca="1">IFERROR(__xludf.DUMMYFUNCTION("""COMPUTED_VALUE"""),"領料")</f>
        <v>領料</v>
      </c>
      <c r="C709" s="1" t="str">
        <f ca="1">IFERROR(__xludf.DUMMYFUNCTION("""COMPUTED_VALUE"""),"MM0260000249")</f>
        <v>MM0260000249</v>
      </c>
      <c r="D709" s="1" t="str">
        <f ca="1">IFERROR(__xludf.DUMMYFUNCTION("""COMPUTED_VALUE"""),"All/RL")</f>
        <v>All/RL</v>
      </c>
      <c r="E709" s="1" t="str">
        <f ca="1">IFERROR(__xludf.DUMMYFUNCTION("""COMPUTED_VALUE"""),"p2/庫存")</f>
        <v>p2/庫存</v>
      </c>
      <c r="F709" s="1">
        <f ca="1">IFERROR(__xludf.DUMMYFUNCTION("""COMPUTED_VALUE"""),1)</f>
        <v>1</v>
      </c>
      <c r="G709" s="1"/>
      <c r="H709" s="1" t="str">
        <f ca="1">IFERROR(__xludf.DUMMYFUNCTION("""COMPUTED_VALUE"""),"P2_1004")</f>
        <v>P2_1004</v>
      </c>
      <c r="I709" s="1" t="str">
        <f ca="1">IFERROR(__xludf.DUMMYFUNCTION("""COMPUTED_VALUE"""),"Jason")</f>
        <v>Jason</v>
      </c>
    </row>
    <row r="710" spans="1:9" ht="12.7" x14ac:dyDescent="0.4">
      <c r="A710" s="2">
        <f ca="1">IFERROR(__xludf.DUMMYFUNCTION("""COMPUTED_VALUE"""),45596.258719074)</f>
        <v>45596.258719074001</v>
      </c>
      <c r="B710" s="1" t="str">
        <f ca="1">IFERROR(__xludf.DUMMYFUNCTION("""COMPUTED_VALUE"""),"領料")</f>
        <v>領料</v>
      </c>
      <c r="C710" s="1" t="str">
        <f ca="1">IFERROR(__xludf.DUMMYFUNCTION("""COMPUTED_VALUE"""),"MM0260000199")</f>
        <v>MM0260000199</v>
      </c>
      <c r="D710" s="1" t="str">
        <f ca="1">IFERROR(__xludf.DUMMYFUNCTION("""COMPUTED_VALUE"""),"All/RL")</f>
        <v>All/RL</v>
      </c>
      <c r="E710" s="1" t="str">
        <f ca="1">IFERROR(__xludf.DUMMYFUNCTION("""COMPUTED_VALUE"""),"p2/庫存")</f>
        <v>p2/庫存</v>
      </c>
      <c r="F710" s="1">
        <f ca="1">IFERROR(__xludf.DUMMYFUNCTION("""COMPUTED_VALUE"""),1)</f>
        <v>1</v>
      </c>
      <c r="G710" s="1"/>
      <c r="H710" s="1" t="str">
        <f ca="1">IFERROR(__xludf.DUMMYFUNCTION("""COMPUTED_VALUE"""),"P2_1004")</f>
        <v>P2_1004</v>
      </c>
      <c r="I710" s="1" t="str">
        <f ca="1">IFERROR(__xludf.DUMMYFUNCTION("""COMPUTED_VALUE"""),"Jason")</f>
        <v>Jason</v>
      </c>
    </row>
    <row r="711" spans="1:9" ht="12.7" x14ac:dyDescent="0.4">
      <c r="A711" s="2">
        <f ca="1">IFERROR(__xludf.DUMMYFUNCTION("""COMPUTED_VALUE"""),45596.2598194212)</f>
        <v>45596.259819421197</v>
      </c>
      <c r="B711" s="1" t="str">
        <f ca="1">IFERROR(__xludf.DUMMYFUNCTION("""COMPUTED_VALUE"""),"領料")</f>
        <v>領料</v>
      </c>
      <c r="C711" s="1" t="str">
        <f ca="1">IFERROR(__xludf.DUMMYFUNCTION("""COMPUTED_VALUE"""),"MM0260000200")</f>
        <v>MM0260000200</v>
      </c>
      <c r="D711" s="1" t="str">
        <f ca="1">IFERROR(__xludf.DUMMYFUNCTION("""COMPUTED_VALUE"""),"All/RL")</f>
        <v>All/RL</v>
      </c>
      <c r="E711" s="1" t="str">
        <f ca="1">IFERROR(__xludf.DUMMYFUNCTION("""COMPUTED_VALUE"""),"p2/庫存")</f>
        <v>p2/庫存</v>
      </c>
      <c r="F711" s="1">
        <f ca="1">IFERROR(__xludf.DUMMYFUNCTION("""COMPUTED_VALUE"""),1)</f>
        <v>1</v>
      </c>
      <c r="G711" s="1"/>
      <c r="H711" s="1" t="str">
        <f ca="1">IFERROR(__xludf.DUMMYFUNCTION("""COMPUTED_VALUE"""),"P2_1004")</f>
        <v>P2_1004</v>
      </c>
      <c r="I711" s="1" t="str">
        <f ca="1">IFERROR(__xludf.DUMMYFUNCTION("""COMPUTED_VALUE"""),"Jason")</f>
        <v>Jason</v>
      </c>
    </row>
    <row r="712" spans="1:9" ht="12.7" x14ac:dyDescent="0.4">
      <c r="A712" s="2">
        <f ca="1">IFERROR(__xludf.DUMMYFUNCTION("""COMPUTED_VALUE"""),45597.5062223379)</f>
        <v>45597.506222337899</v>
      </c>
      <c r="B712" s="1" t="str">
        <f ca="1">IFERROR(__xludf.DUMMYFUNCTION("""COMPUTED_VALUE"""),"進貨")</f>
        <v>進貨</v>
      </c>
      <c r="C712" s="1" t="str">
        <f ca="1">IFERROR(__xludf.DUMMYFUNCTION("""COMPUTED_VALUE"""),"ME0020000632")</f>
        <v>ME0020000632</v>
      </c>
      <c r="D712" s="1" t="str">
        <f ca="1">IFERROR(__xludf.DUMMYFUNCTION("""COMPUTED_VALUE"""),"All/共用")</f>
        <v>All/共用</v>
      </c>
      <c r="E712" s="1" t="str">
        <f ca="1">IFERROR(__xludf.DUMMYFUNCTION("""COMPUTED_VALUE"""),"p1/庫存")</f>
        <v>p1/庫存</v>
      </c>
      <c r="F712" s="1">
        <f ca="1">IFERROR(__xludf.DUMMYFUNCTION("""COMPUTED_VALUE"""),1)</f>
        <v>1</v>
      </c>
      <c r="G712" s="1"/>
      <c r="H712" s="1" t="str">
        <f ca="1">IFERROR(__xludf.DUMMYFUNCTION("""COMPUTED_VALUE"""),"P1")</f>
        <v>P1</v>
      </c>
      <c r="I712" s="1" t="str">
        <f ca="1">IFERROR(__xludf.DUMMYFUNCTION("""COMPUTED_VALUE"""),"Chiao Yu")</f>
        <v>Chiao Yu</v>
      </c>
    </row>
    <row r="713" spans="1:9" ht="12.7" x14ac:dyDescent="0.4">
      <c r="A713" s="2">
        <f ca="1">IFERROR(__xludf.DUMMYFUNCTION("""COMPUTED_VALUE"""),45597.5065986921)</f>
        <v>45597.506598692104</v>
      </c>
      <c r="B713" s="1" t="str">
        <f ca="1">IFERROR(__xludf.DUMMYFUNCTION("""COMPUTED_VALUE"""),"進貨")</f>
        <v>進貨</v>
      </c>
      <c r="C713" s="1" t="str">
        <f ca="1">IFERROR(__xludf.DUMMYFUNCTION("""COMPUTED_VALUE"""),"ME0020000632")</f>
        <v>ME0020000632</v>
      </c>
      <c r="D713" s="1" t="str">
        <f ca="1">IFERROR(__xludf.DUMMYFUNCTION("""COMPUTED_VALUE"""),"All/共用")</f>
        <v>All/共用</v>
      </c>
      <c r="E713" s="1" t="str">
        <f ca="1">IFERROR(__xludf.DUMMYFUNCTION("""COMPUTED_VALUE"""),"p2/庫存")</f>
        <v>p2/庫存</v>
      </c>
      <c r="F713" s="1">
        <f ca="1">IFERROR(__xludf.DUMMYFUNCTION("""COMPUTED_VALUE"""),1)</f>
        <v>1</v>
      </c>
      <c r="G713" s="1"/>
      <c r="H713" s="1" t="str">
        <f ca="1">IFERROR(__xludf.DUMMYFUNCTION("""COMPUTED_VALUE"""),"P2")</f>
        <v>P2</v>
      </c>
      <c r="I713" s="1" t="str">
        <f ca="1">IFERROR(__xludf.DUMMYFUNCTION("""COMPUTED_VALUE"""),"Chiao Yu")</f>
        <v>Chiao Yu</v>
      </c>
    </row>
    <row r="714" spans="1:9" ht="12.7" x14ac:dyDescent="0.4">
      <c r="A714" s="2">
        <f ca="1">IFERROR(__xludf.DUMMYFUNCTION("""COMPUTED_VALUE"""),45598.2774718634)</f>
        <v>45598.277471863403</v>
      </c>
      <c r="B714" s="1" t="str">
        <f ca="1">IFERROR(__xludf.DUMMYFUNCTION("""COMPUTED_VALUE"""),"領料")</f>
        <v>領料</v>
      </c>
      <c r="C714" s="1" t="str">
        <f ca="1">IFERROR(__xludf.DUMMYFUNCTION("""COMPUTED_VALUE"""),"網路線")</f>
        <v>網路線</v>
      </c>
      <c r="D714" s="1" t="str">
        <f ca="1">IFERROR(__xludf.DUMMYFUNCTION("""COMPUTED_VALUE"""),"All/共用")</f>
        <v>All/共用</v>
      </c>
      <c r="E714" s="1" t="str">
        <f ca="1">IFERROR(__xludf.DUMMYFUNCTION("""COMPUTED_VALUE"""),"p1/庫存")</f>
        <v>p1/庫存</v>
      </c>
      <c r="F714" s="1">
        <f ca="1">IFERROR(__xludf.DUMMYFUNCTION("""COMPUTED_VALUE"""),1)</f>
        <v>1</v>
      </c>
      <c r="G714" s="1"/>
      <c r="H714" s="1" t="str">
        <f ca="1">IFERROR(__xludf.DUMMYFUNCTION("""COMPUTED_VALUE"""),"P1 機櫃 MEDIA 1")</f>
        <v>P1 機櫃 MEDIA 1</v>
      </c>
      <c r="I714" s="1" t="str">
        <f ca="1">IFERROR(__xludf.DUMMYFUNCTION("""COMPUTED_VALUE"""),"Jason")</f>
        <v>Jason</v>
      </c>
    </row>
    <row r="715" spans="1:9" ht="12.7" x14ac:dyDescent="0.4">
      <c r="A715" s="2">
        <f ca="1">IFERROR(__xludf.DUMMYFUNCTION("""COMPUTED_VALUE"""),45600.2845069328)</f>
        <v>45600.284506932803</v>
      </c>
      <c r="B715" s="1" t="str">
        <f ca="1">IFERROR(__xludf.DUMMYFUNCTION("""COMPUTED_VALUE"""),"領料")</f>
        <v>領料</v>
      </c>
      <c r="C715" s="1" t="str">
        <f ca="1">IFERROR(__xludf.DUMMYFUNCTION("""COMPUTED_VALUE"""),"MM0260000249")</f>
        <v>MM0260000249</v>
      </c>
      <c r="D715" s="1" t="str">
        <f ca="1">IFERROR(__xludf.DUMMYFUNCTION("""COMPUTED_VALUE"""),"All/RL")</f>
        <v>All/RL</v>
      </c>
      <c r="E715" s="1" t="str">
        <f ca="1">IFERROR(__xludf.DUMMYFUNCTION("""COMPUTED_VALUE"""),"p2/庫存")</f>
        <v>p2/庫存</v>
      </c>
      <c r="F715" s="1">
        <f ca="1">IFERROR(__xludf.DUMMYFUNCTION("""COMPUTED_VALUE"""),1)</f>
        <v>1</v>
      </c>
      <c r="G715" s="1"/>
      <c r="H715" s="1" t="str">
        <f ca="1">IFERROR(__xludf.DUMMYFUNCTION("""COMPUTED_VALUE"""),"P2_1001")</f>
        <v>P2_1001</v>
      </c>
      <c r="I715" s="1" t="str">
        <f ca="1">IFERROR(__xludf.DUMMYFUNCTION("""COMPUTED_VALUE"""),"Barry")</f>
        <v>Barry</v>
      </c>
    </row>
    <row r="716" spans="1:9" ht="12.7" x14ac:dyDescent="0.4">
      <c r="A716" s="2">
        <f ca="1">IFERROR(__xludf.DUMMYFUNCTION("""COMPUTED_VALUE"""),45600.2852486458)</f>
        <v>45600.2852486458</v>
      </c>
      <c r="B716" s="1" t="str">
        <f ca="1">IFERROR(__xludf.DUMMYFUNCTION("""COMPUTED_VALUE"""),"領料")</f>
        <v>領料</v>
      </c>
      <c r="C716" s="1" t="str">
        <f ca="1">IFERROR(__xludf.DUMMYFUNCTION("""COMPUTED_VALUE"""),"MM0260000199")</f>
        <v>MM0260000199</v>
      </c>
      <c r="D716" s="1" t="str">
        <f ca="1">IFERROR(__xludf.DUMMYFUNCTION("""COMPUTED_VALUE"""),"All/RL")</f>
        <v>All/RL</v>
      </c>
      <c r="E716" s="1" t="str">
        <f ca="1">IFERROR(__xludf.DUMMYFUNCTION("""COMPUTED_VALUE"""),"p2/庫存")</f>
        <v>p2/庫存</v>
      </c>
      <c r="F716" s="1">
        <f ca="1">IFERROR(__xludf.DUMMYFUNCTION("""COMPUTED_VALUE"""),1)</f>
        <v>1</v>
      </c>
      <c r="G716" s="1"/>
      <c r="H716" s="1" t="str">
        <f ca="1">IFERROR(__xludf.DUMMYFUNCTION("""COMPUTED_VALUE"""),"P2_1001")</f>
        <v>P2_1001</v>
      </c>
      <c r="I716" s="1" t="str">
        <f ca="1">IFERROR(__xludf.DUMMYFUNCTION("""COMPUTED_VALUE"""),"Barry")</f>
        <v>Barry</v>
      </c>
    </row>
    <row r="717" spans="1:9" ht="12.7" x14ac:dyDescent="0.4">
      <c r="A717" s="2">
        <f ca="1">IFERROR(__xludf.DUMMYFUNCTION("""COMPUTED_VALUE"""),45600.2858018981)</f>
        <v>45600.285801898099</v>
      </c>
      <c r="B717" s="1" t="str">
        <f ca="1">IFERROR(__xludf.DUMMYFUNCTION("""COMPUTED_VALUE"""),"領料")</f>
        <v>領料</v>
      </c>
      <c r="C717" s="1" t="str">
        <f ca="1">IFERROR(__xludf.DUMMYFUNCTION("""COMPUTED_VALUE"""),"MM0260000200")</f>
        <v>MM0260000200</v>
      </c>
      <c r="D717" s="1" t="str">
        <f ca="1">IFERROR(__xludf.DUMMYFUNCTION("""COMPUTED_VALUE"""),"All/RL")</f>
        <v>All/RL</v>
      </c>
      <c r="E717" s="1" t="str">
        <f ca="1">IFERROR(__xludf.DUMMYFUNCTION("""COMPUTED_VALUE"""),"p2/庫存")</f>
        <v>p2/庫存</v>
      </c>
      <c r="F717" s="1">
        <f ca="1">IFERROR(__xludf.DUMMYFUNCTION("""COMPUTED_VALUE"""),1)</f>
        <v>1</v>
      </c>
      <c r="G717" s="1"/>
      <c r="H717" s="1" t="str">
        <f ca="1">IFERROR(__xludf.DUMMYFUNCTION("""COMPUTED_VALUE"""),"P2_1001")</f>
        <v>P2_1001</v>
      </c>
      <c r="I717" s="1" t="str">
        <f ca="1">IFERROR(__xludf.DUMMYFUNCTION("""COMPUTED_VALUE"""),"Barry")</f>
        <v>Barry</v>
      </c>
    </row>
    <row r="718" spans="1:9" ht="12.7" x14ac:dyDescent="0.4">
      <c r="A718" s="2">
        <f ca="1">IFERROR(__xludf.DUMMYFUNCTION("""COMPUTED_VALUE"""),45600.2864214583)</f>
        <v>45600.286421458302</v>
      </c>
      <c r="B718" s="1" t="str">
        <f ca="1">IFERROR(__xludf.DUMMYFUNCTION("""COMPUTED_VALUE"""),"領料")</f>
        <v>領料</v>
      </c>
      <c r="C718" s="1" t="str">
        <f ca="1">IFERROR(__xludf.DUMMYFUNCTION("""COMPUTED_VALUE"""),"MM0260000249")</f>
        <v>MM0260000249</v>
      </c>
      <c r="D718" s="1" t="str">
        <f ca="1">IFERROR(__xludf.DUMMYFUNCTION("""COMPUTED_VALUE"""),"All/RL")</f>
        <v>All/RL</v>
      </c>
      <c r="E718" s="1" t="str">
        <f ca="1">IFERROR(__xludf.DUMMYFUNCTION("""COMPUTED_VALUE"""),"p2/庫存")</f>
        <v>p2/庫存</v>
      </c>
      <c r="F718" s="1">
        <f ca="1">IFERROR(__xludf.DUMMYFUNCTION("""COMPUTED_VALUE"""),1)</f>
        <v>1</v>
      </c>
      <c r="G718" s="1"/>
      <c r="H718" s="1" t="str">
        <f ca="1">IFERROR(__xludf.DUMMYFUNCTION("""COMPUTED_VALUE"""),"P2_1002")</f>
        <v>P2_1002</v>
      </c>
      <c r="I718" s="1" t="str">
        <f ca="1">IFERROR(__xludf.DUMMYFUNCTION("""COMPUTED_VALUE"""),"Barry")</f>
        <v>Barry</v>
      </c>
    </row>
    <row r="719" spans="1:9" ht="12.7" x14ac:dyDescent="0.4">
      <c r="A719" s="2">
        <f ca="1">IFERROR(__xludf.DUMMYFUNCTION("""COMPUTED_VALUE"""),45600.2870275347)</f>
        <v>45600.287027534701</v>
      </c>
      <c r="B719" s="1" t="str">
        <f ca="1">IFERROR(__xludf.DUMMYFUNCTION("""COMPUTED_VALUE"""),"領料")</f>
        <v>領料</v>
      </c>
      <c r="C719" s="1" t="str">
        <f ca="1">IFERROR(__xludf.DUMMYFUNCTION("""COMPUTED_VALUE"""),"MM0260000199")</f>
        <v>MM0260000199</v>
      </c>
      <c r="D719" s="1" t="str">
        <f ca="1">IFERROR(__xludf.DUMMYFUNCTION("""COMPUTED_VALUE"""),"All/RL")</f>
        <v>All/RL</v>
      </c>
      <c r="E719" s="1" t="str">
        <f ca="1">IFERROR(__xludf.DUMMYFUNCTION("""COMPUTED_VALUE"""),"p2/庫存")</f>
        <v>p2/庫存</v>
      </c>
      <c r="F719" s="1">
        <f ca="1">IFERROR(__xludf.DUMMYFUNCTION("""COMPUTED_VALUE"""),1)</f>
        <v>1</v>
      </c>
      <c r="G719" s="1"/>
      <c r="H719" s="1" t="str">
        <f ca="1">IFERROR(__xludf.DUMMYFUNCTION("""COMPUTED_VALUE"""),"P2_1002")</f>
        <v>P2_1002</v>
      </c>
      <c r="I719" s="1" t="str">
        <f ca="1">IFERROR(__xludf.DUMMYFUNCTION("""COMPUTED_VALUE"""),"Barry")</f>
        <v>Barry</v>
      </c>
    </row>
    <row r="720" spans="1:9" ht="12.7" x14ac:dyDescent="0.4">
      <c r="A720" s="2">
        <f ca="1">IFERROR(__xludf.DUMMYFUNCTION("""COMPUTED_VALUE"""),45600.2874418287)</f>
        <v>45600.287441828703</v>
      </c>
      <c r="B720" s="1" t="str">
        <f ca="1">IFERROR(__xludf.DUMMYFUNCTION("""COMPUTED_VALUE"""),"領料")</f>
        <v>領料</v>
      </c>
      <c r="C720" s="1" t="str">
        <f ca="1">IFERROR(__xludf.DUMMYFUNCTION("""COMPUTED_VALUE"""),"MM0260000200")</f>
        <v>MM0260000200</v>
      </c>
      <c r="D720" s="1" t="str">
        <f ca="1">IFERROR(__xludf.DUMMYFUNCTION("""COMPUTED_VALUE"""),"All/RL")</f>
        <v>All/RL</v>
      </c>
      <c r="E720" s="1" t="str">
        <f ca="1">IFERROR(__xludf.DUMMYFUNCTION("""COMPUTED_VALUE"""),"p2/庫存")</f>
        <v>p2/庫存</v>
      </c>
      <c r="F720" s="1">
        <f ca="1">IFERROR(__xludf.DUMMYFUNCTION("""COMPUTED_VALUE"""),1)</f>
        <v>1</v>
      </c>
      <c r="G720" s="1"/>
      <c r="H720" s="1" t="str">
        <f ca="1">IFERROR(__xludf.DUMMYFUNCTION("""COMPUTED_VALUE"""),"P2_1002")</f>
        <v>P2_1002</v>
      </c>
      <c r="I720" s="1" t="str">
        <f ca="1">IFERROR(__xludf.DUMMYFUNCTION("""COMPUTED_VALUE"""),"Barry")</f>
        <v>Barry</v>
      </c>
    </row>
    <row r="721" spans="1:9" ht="12.7" x14ac:dyDescent="0.4">
      <c r="A721" s="2">
        <f ca="1">IFERROR(__xludf.DUMMYFUNCTION("""COMPUTED_VALUE"""),45600.7694301157)</f>
        <v>45600.769430115703</v>
      </c>
      <c r="B721" s="1" t="str">
        <f ca="1">IFERROR(__xludf.DUMMYFUNCTION("""COMPUTED_VALUE"""),"返修")</f>
        <v>返修</v>
      </c>
      <c r="C721" s="1" t="str">
        <f ca="1">IFERROR(__xludf.DUMMYFUNCTION("""COMPUTED_VALUE"""),"ME0020000544")</f>
        <v>ME0020000544</v>
      </c>
      <c r="D721" s="1" t="str">
        <f ca="1">IFERROR(__xludf.DUMMYFUNCTION("""COMPUTED_VALUE"""),"All/共用")</f>
        <v>All/共用</v>
      </c>
      <c r="E721" s="1" t="str">
        <f ca="1">IFERROR(__xludf.DUMMYFUNCTION("""COMPUTED_VALUE"""),"p1/庫存")</f>
        <v>p1/庫存</v>
      </c>
      <c r="F721" s="1">
        <f ca="1">IFERROR(__xludf.DUMMYFUNCTION("""COMPUTED_VALUE"""),1)</f>
        <v>1</v>
      </c>
      <c r="G721" s="1" t="str">
        <f ca="1">IFERROR(__xludf.DUMMYFUNCTION("""COMPUTED_VALUE"""),"E2266Q5001030046")</f>
        <v>E2266Q5001030046</v>
      </c>
      <c r="H721" s="1" t="str">
        <f ca="1">IFERROR(__xludf.DUMMYFUNCTION("""COMPUTED_VALUE"""),"P1_013")</f>
        <v>P1_013</v>
      </c>
      <c r="I721" s="1" t="str">
        <f ca="1">IFERROR(__xludf.DUMMYFUNCTION("""COMPUTED_VALUE"""),"Simon")</f>
        <v>Simon</v>
      </c>
    </row>
    <row r="722" spans="1:9" ht="12.7" x14ac:dyDescent="0.4">
      <c r="A722" s="2">
        <f ca="1">IFERROR(__xludf.DUMMYFUNCTION("""COMPUTED_VALUE"""),45600.7726074999)</f>
        <v>45600.772607499901</v>
      </c>
      <c r="B722" s="1" t="str">
        <f ca="1">IFERROR(__xludf.DUMMYFUNCTION("""COMPUTED_VALUE"""),"返修")</f>
        <v>返修</v>
      </c>
      <c r="C722" s="1" t="str">
        <f ca="1">IFERROR(__xludf.DUMMYFUNCTION("""COMPUTED_VALUE"""),"ME0020000525")</f>
        <v>ME0020000525</v>
      </c>
      <c r="D722" s="1" t="str">
        <f ca="1">IFERROR(__xludf.DUMMYFUNCTION("""COMPUTED_VALUE"""),"All/共用")</f>
        <v>All/共用</v>
      </c>
      <c r="E722" s="1" t="str">
        <f ca="1">IFERROR(__xludf.DUMMYFUNCTION("""COMPUTED_VALUE"""),"p2/庫存")</f>
        <v>p2/庫存</v>
      </c>
      <c r="F722" s="1">
        <f ca="1">IFERROR(__xludf.DUMMYFUNCTION("""COMPUTED_VALUE"""),1)</f>
        <v>1</v>
      </c>
      <c r="G722" s="1" t="str">
        <f ca="1">IFERROR(__xludf.DUMMYFUNCTION("""COMPUTED_VALUE"""),"2418E8ACDCAB")</f>
        <v>2418E8ACDCAB</v>
      </c>
      <c r="H722" s="1" t="str">
        <f ca="1">IFERROR(__xludf.DUMMYFUNCTION("""COMPUTED_VALUE"""),"P2")</f>
        <v>P2</v>
      </c>
      <c r="I722" s="1" t="str">
        <f ca="1">IFERROR(__xludf.DUMMYFUNCTION("""COMPUTED_VALUE"""),"Simon")</f>
        <v>Simon</v>
      </c>
    </row>
    <row r="723" spans="1:9" ht="12.7" x14ac:dyDescent="0.4">
      <c r="A723" s="2">
        <f ca="1">IFERROR(__xludf.DUMMYFUNCTION("""COMPUTED_VALUE"""),45600.8081191319)</f>
        <v>45600.8081191319</v>
      </c>
      <c r="B723" s="1" t="str">
        <f ca="1">IFERROR(__xludf.DUMMYFUNCTION("""COMPUTED_VALUE"""),"送修")</f>
        <v>送修</v>
      </c>
      <c r="C723" s="1" t="str">
        <f ca="1">IFERROR(__xludf.DUMMYFUNCTION("""COMPUTED_VALUE"""),"A00100000731")</f>
        <v>A00100000731</v>
      </c>
      <c r="D723" s="1" t="str">
        <f ca="1">IFERROR(__xludf.DUMMYFUNCTION("""COMPUTED_VALUE"""),"All/BA")</f>
        <v>All/BA</v>
      </c>
      <c r="E723" s="1" t="str">
        <f ca="1">IFERROR(__xludf.DUMMYFUNCTION("""COMPUTED_VALUE"""),"p2/庫存")</f>
        <v>p2/庫存</v>
      </c>
      <c r="F723" s="1">
        <f ca="1">IFERROR(__xludf.DUMMYFUNCTION("""COMPUTED_VALUE"""),1)</f>
        <v>1</v>
      </c>
      <c r="G723" s="1" t="str">
        <f ca="1">IFERROR(__xludf.DUMMYFUNCTION("""COMPUTED_VALUE"""),"04F389")</f>
        <v>04F389</v>
      </c>
      <c r="H723" s="1" t="str">
        <f ca="1">IFERROR(__xludf.DUMMYFUNCTION("""COMPUTED_VALUE"""),"P2_041")</f>
        <v>P2_041</v>
      </c>
      <c r="I723" s="1" t="str">
        <f ca="1">IFERROR(__xludf.DUMMYFUNCTION("""COMPUTED_VALUE"""),"Simon")</f>
        <v>Simon</v>
      </c>
    </row>
    <row r="724" spans="1:9" ht="12.7" x14ac:dyDescent="0.4">
      <c r="A724" s="2">
        <f ca="1">IFERROR(__xludf.DUMMYFUNCTION("""COMPUTED_VALUE"""),45600.809062662)</f>
        <v>45600.809062662003</v>
      </c>
      <c r="B724" s="1" t="str">
        <f ca="1">IFERROR(__xludf.DUMMYFUNCTION("""COMPUTED_VALUE"""),"料件上線時間")</f>
        <v>料件上線時間</v>
      </c>
      <c r="C724" s="1" t="str">
        <f ca="1">IFERROR(__xludf.DUMMYFUNCTION("""COMPUTED_VALUE"""),"A00100000731")</f>
        <v>A00100000731</v>
      </c>
      <c r="D724" s="1" t="str">
        <f ca="1">IFERROR(__xludf.DUMMYFUNCTION("""COMPUTED_VALUE"""),"All/BA")</f>
        <v>All/BA</v>
      </c>
      <c r="E724" s="1" t="str">
        <f ca="1">IFERROR(__xludf.DUMMYFUNCTION("""COMPUTED_VALUE"""),"p2/庫存")</f>
        <v>p2/庫存</v>
      </c>
      <c r="F724" s="1">
        <f ca="1">IFERROR(__xludf.DUMMYFUNCTION("""COMPUTED_VALUE"""),1)</f>
        <v>1</v>
      </c>
      <c r="G724" s="1" t="str">
        <f ca="1">IFERROR(__xludf.DUMMYFUNCTION("""COMPUTED_VALUE"""),"10F270")</f>
        <v>10F270</v>
      </c>
      <c r="H724" s="1" t="str">
        <f ca="1">IFERROR(__xludf.DUMMYFUNCTION("""COMPUTED_VALUE"""),"P2_041")</f>
        <v>P2_041</v>
      </c>
      <c r="I724" s="1" t="str">
        <f ca="1">IFERROR(__xludf.DUMMYFUNCTION("""COMPUTED_VALUE"""),"Simon")</f>
        <v>Simon</v>
      </c>
    </row>
    <row r="725" spans="1:9" ht="12.7" x14ac:dyDescent="0.4">
      <c r="A725" s="2">
        <f ca="1">IFERROR(__xludf.DUMMYFUNCTION("""COMPUTED_VALUE"""),45601.3477111226)</f>
        <v>45601.347711122602</v>
      </c>
      <c r="B725" s="1" t="str">
        <f ca="1">IFERROR(__xludf.DUMMYFUNCTION("""COMPUTED_VALUE"""),"領料")</f>
        <v>領料</v>
      </c>
      <c r="C725" s="1" t="str">
        <f ca="1">IFERROR(__xludf.DUMMYFUNCTION("""COMPUTED_VALUE"""),"MM0260000249")</f>
        <v>MM0260000249</v>
      </c>
      <c r="D725" s="1" t="str">
        <f ca="1">IFERROR(__xludf.DUMMYFUNCTION("""COMPUTED_VALUE"""),"All/RL")</f>
        <v>All/RL</v>
      </c>
      <c r="E725" s="1" t="str">
        <f ca="1">IFERROR(__xludf.DUMMYFUNCTION("""COMPUTED_VALUE"""),"p2/庫存")</f>
        <v>p2/庫存</v>
      </c>
      <c r="F725" s="1">
        <f ca="1">IFERROR(__xludf.DUMMYFUNCTION("""COMPUTED_VALUE"""),1)</f>
        <v>1</v>
      </c>
      <c r="G725" s="1"/>
      <c r="H725" s="1" t="str">
        <f ca="1">IFERROR(__xludf.DUMMYFUNCTION("""COMPUTED_VALUE"""),"P2_1005")</f>
        <v>P2_1005</v>
      </c>
      <c r="I725" s="1" t="str">
        <f ca="1">IFERROR(__xludf.DUMMYFUNCTION("""COMPUTED_VALUE"""),"Barry")</f>
        <v>Barry</v>
      </c>
    </row>
    <row r="726" spans="1:9" ht="12.7" x14ac:dyDescent="0.4">
      <c r="A726" s="2">
        <f ca="1">IFERROR(__xludf.DUMMYFUNCTION("""COMPUTED_VALUE"""),45601.3494848148)</f>
        <v>45601.349484814797</v>
      </c>
      <c r="B726" s="1" t="str">
        <f ca="1">IFERROR(__xludf.DUMMYFUNCTION("""COMPUTED_VALUE"""),"領料")</f>
        <v>領料</v>
      </c>
      <c r="C726" s="1" t="str">
        <f ca="1">IFERROR(__xludf.DUMMYFUNCTION("""COMPUTED_VALUE"""),"MM0260000199")</f>
        <v>MM0260000199</v>
      </c>
      <c r="D726" s="1" t="str">
        <f ca="1">IFERROR(__xludf.DUMMYFUNCTION("""COMPUTED_VALUE"""),"All/RL")</f>
        <v>All/RL</v>
      </c>
      <c r="E726" s="1" t="str">
        <f ca="1">IFERROR(__xludf.DUMMYFUNCTION("""COMPUTED_VALUE"""),"p2/庫存")</f>
        <v>p2/庫存</v>
      </c>
      <c r="F726" s="1">
        <f ca="1">IFERROR(__xludf.DUMMYFUNCTION("""COMPUTED_VALUE"""),1)</f>
        <v>1</v>
      </c>
      <c r="G726" s="1"/>
      <c r="H726" s="1" t="str">
        <f ca="1">IFERROR(__xludf.DUMMYFUNCTION("""COMPUTED_VALUE"""),"P2_1005")</f>
        <v>P2_1005</v>
      </c>
      <c r="I726" s="1" t="str">
        <f ca="1">IFERROR(__xludf.DUMMYFUNCTION("""COMPUTED_VALUE"""),"Barry")</f>
        <v>Barry</v>
      </c>
    </row>
    <row r="727" spans="1:9" ht="12.7" x14ac:dyDescent="0.4">
      <c r="A727" s="2">
        <f ca="1">IFERROR(__xludf.DUMMYFUNCTION("""COMPUTED_VALUE"""),45601.3507184837)</f>
        <v>45601.3507184837</v>
      </c>
      <c r="B727" s="1" t="str">
        <f ca="1">IFERROR(__xludf.DUMMYFUNCTION("""COMPUTED_VALUE"""),"領料")</f>
        <v>領料</v>
      </c>
      <c r="C727" s="1" t="str">
        <f ca="1">IFERROR(__xludf.DUMMYFUNCTION("""COMPUTED_VALUE"""),"MM0260000200")</f>
        <v>MM0260000200</v>
      </c>
      <c r="D727" s="1" t="str">
        <f ca="1">IFERROR(__xludf.DUMMYFUNCTION("""COMPUTED_VALUE"""),"All/RL")</f>
        <v>All/RL</v>
      </c>
      <c r="E727" s="1" t="str">
        <f ca="1">IFERROR(__xludf.DUMMYFUNCTION("""COMPUTED_VALUE"""),"p2/庫存")</f>
        <v>p2/庫存</v>
      </c>
      <c r="F727" s="1">
        <f ca="1">IFERROR(__xludf.DUMMYFUNCTION("""COMPUTED_VALUE"""),1)</f>
        <v>1</v>
      </c>
      <c r="G727" s="1"/>
      <c r="H727" s="1" t="str">
        <f ca="1">IFERROR(__xludf.DUMMYFUNCTION("""COMPUTED_VALUE"""),"P1_1005")</f>
        <v>P1_1005</v>
      </c>
      <c r="I727" s="1" t="str">
        <f ca="1">IFERROR(__xludf.DUMMYFUNCTION("""COMPUTED_VALUE"""),"Barry")</f>
        <v>Barry</v>
      </c>
    </row>
    <row r="728" spans="1:9" ht="12.7" x14ac:dyDescent="0.4">
      <c r="A728" s="2">
        <f ca="1">IFERROR(__xludf.DUMMYFUNCTION("""COMPUTED_VALUE"""),45601.4259150463)</f>
        <v>45601.425915046297</v>
      </c>
      <c r="B728" s="1" t="str">
        <f ca="1">IFERROR(__xludf.DUMMYFUNCTION("""COMPUTED_VALUE"""),"進貨")</f>
        <v>進貨</v>
      </c>
      <c r="C728" s="1" t="str">
        <f ca="1">IFERROR(__xludf.DUMMYFUNCTION("""COMPUTED_VALUE"""),"ME0120000142")</f>
        <v>ME0120000142</v>
      </c>
      <c r="D728" s="1" t="str">
        <f ca="1">IFERROR(__xludf.DUMMYFUNCTION("""COMPUTED_VALUE"""),"All/BA")</f>
        <v>All/BA</v>
      </c>
      <c r="E728" s="1" t="str">
        <f ca="1">IFERROR(__xludf.DUMMYFUNCTION("""COMPUTED_VALUE"""),"p1/庫存")</f>
        <v>p1/庫存</v>
      </c>
      <c r="F728" s="1">
        <f ca="1">IFERROR(__xludf.DUMMYFUNCTION("""COMPUTED_VALUE"""),1)</f>
        <v>1</v>
      </c>
      <c r="G728" s="1"/>
      <c r="H728" s="1" t="str">
        <f ca="1">IFERROR(__xludf.DUMMYFUNCTION("""COMPUTED_VALUE"""),"P1")</f>
        <v>P1</v>
      </c>
      <c r="I728" s="1" t="str">
        <f ca="1">IFERROR(__xludf.DUMMYFUNCTION("""COMPUTED_VALUE"""),"Chiao Yu")</f>
        <v>Chiao Yu</v>
      </c>
    </row>
    <row r="729" spans="1:9" ht="12.7" x14ac:dyDescent="0.4">
      <c r="A729" s="2">
        <f ca="1">IFERROR(__xludf.DUMMYFUNCTION("""COMPUTED_VALUE"""),45601.4265547222)</f>
        <v>45601.426554722202</v>
      </c>
      <c r="B729" s="1" t="str">
        <f ca="1">IFERROR(__xludf.DUMMYFUNCTION("""COMPUTED_VALUE"""),"進貨")</f>
        <v>進貨</v>
      </c>
      <c r="C729" s="1" t="str">
        <f ca="1">IFERROR(__xludf.DUMMYFUNCTION("""COMPUTED_VALUE"""),"ME0120000142")</f>
        <v>ME0120000142</v>
      </c>
      <c r="D729" s="1" t="str">
        <f ca="1">IFERROR(__xludf.DUMMYFUNCTION("""COMPUTED_VALUE"""),"All/BA")</f>
        <v>All/BA</v>
      </c>
      <c r="E729" s="1" t="str">
        <f ca="1">IFERROR(__xludf.DUMMYFUNCTION("""COMPUTED_VALUE"""),"p2/庫存")</f>
        <v>p2/庫存</v>
      </c>
      <c r="F729" s="1">
        <f ca="1">IFERROR(__xludf.DUMMYFUNCTION("""COMPUTED_VALUE"""),1)</f>
        <v>1</v>
      </c>
      <c r="G729" s="1"/>
      <c r="H729" s="1" t="str">
        <f ca="1">IFERROR(__xludf.DUMMYFUNCTION("""COMPUTED_VALUE"""),"P2")</f>
        <v>P2</v>
      </c>
      <c r="I729" s="1" t="str">
        <f ca="1">IFERROR(__xludf.DUMMYFUNCTION("""COMPUTED_VALUE"""),"Chiao Yu")</f>
        <v>Chiao Yu</v>
      </c>
    </row>
    <row r="730" spans="1:9" ht="12.7" x14ac:dyDescent="0.4">
      <c r="A730" s="2">
        <f ca="1">IFERROR(__xludf.DUMMYFUNCTION("""COMPUTED_VALUE"""),45601.4292144212)</f>
        <v>45601.429214421201</v>
      </c>
      <c r="B730" s="1" t="str">
        <f ca="1">IFERROR(__xludf.DUMMYFUNCTION("""COMPUTED_VALUE"""),"進貨")</f>
        <v>進貨</v>
      </c>
      <c r="C730" s="1" t="str">
        <f ca="1">IFERROR(__xludf.DUMMYFUNCTION("""COMPUTED_VALUE"""),"ME0270001131")</f>
        <v>ME0270001131</v>
      </c>
      <c r="D730" s="1" t="str">
        <f ca="1">IFERROR(__xludf.DUMMYFUNCTION("""COMPUTED_VALUE"""),"All/共用")</f>
        <v>All/共用</v>
      </c>
      <c r="E730" s="1" t="str">
        <f ca="1">IFERROR(__xludf.DUMMYFUNCTION("""COMPUTED_VALUE"""),"p2/庫存")</f>
        <v>p2/庫存</v>
      </c>
      <c r="F730" s="1">
        <f ca="1">IFERROR(__xludf.DUMMYFUNCTION("""COMPUTED_VALUE"""),2)</f>
        <v>2</v>
      </c>
      <c r="G730" s="1"/>
      <c r="H730" s="1" t="str">
        <f ca="1">IFERROR(__xludf.DUMMYFUNCTION("""COMPUTED_VALUE"""),"P2")</f>
        <v>P2</v>
      </c>
      <c r="I730" s="1" t="str">
        <f ca="1">IFERROR(__xludf.DUMMYFUNCTION("""COMPUTED_VALUE"""),"Chiao Yu")</f>
        <v>Chiao Yu</v>
      </c>
    </row>
    <row r="731" spans="1:9" ht="12.7" x14ac:dyDescent="0.4">
      <c r="A731" s="2">
        <f ca="1">IFERROR(__xludf.DUMMYFUNCTION("""COMPUTED_VALUE"""),45601.4298259143)</f>
        <v>45601.429825914303</v>
      </c>
      <c r="B731" s="1" t="str">
        <f ca="1">IFERROR(__xludf.DUMMYFUNCTION("""COMPUTED_VALUE"""),"進貨")</f>
        <v>進貨</v>
      </c>
      <c r="C731" s="1" t="str">
        <f ca="1">IFERROR(__xludf.DUMMYFUNCTION("""COMPUTED_VALUE"""),"ME0270001131")</f>
        <v>ME0270001131</v>
      </c>
      <c r="D731" s="1" t="str">
        <f ca="1">IFERROR(__xludf.DUMMYFUNCTION("""COMPUTED_VALUE"""),"All/共用")</f>
        <v>All/共用</v>
      </c>
      <c r="E731" s="1" t="str">
        <f ca="1">IFERROR(__xludf.DUMMYFUNCTION("""COMPUTED_VALUE"""),"p1/庫存")</f>
        <v>p1/庫存</v>
      </c>
      <c r="F731" s="1">
        <f ca="1">IFERROR(__xludf.DUMMYFUNCTION("""COMPUTED_VALUE"""),1)</f>
        <v>1</v>
      </c>
      <c r="G731" s="1"/>
      <c r="H731" s="1" t="str">
        <f ca="1">IFERROR(__xludf.DUMMYFUNCTION("""COMPUTED_VALUE"""),"P1")</f>
        <v>P1</v>
      </c>
      <c r="I731" s="1" t="str">
        <f ca="1">IFERROR(__xludf.DUMMYFUNCTION("""COMPUTED_VALUE"""),"Chiao Yu")</f>
        <v>Chiao Yu</v>
      </c>
    </row>
    <row r="732" spans="1:9" ht="12.7" x14ac:dyDescent="0.4">
      <c r="A732" s="2">
        <f ca="1">IFERROR(__xludf.DUMMYFUNCTION("""COMPUTED_VALUE"""),45601.4305038541)</f>
        <v>45601.430503854099</v>
      </c>
      <c r="B732" s="1" t="str">
        <f ca="1">IFERROR(__xludf.DUMMYFUNCTION("""COMPUTED_VALUE"""),"領料")</f>
        <v>領料</v>
      </c>
      <c r="C732" s="1" t="str">
        <f ca="1">IFERROR(__xludf.DUMMYFUNCTION("""COMPUTED_VALUE"""),"ME0270001131")</f>
        <v>ME0270001131</v>
      </c>
      <c r="D732" s="1" t="str">
        <f ca="1">IFERROR(__xludf.DUMMYFUNCTION("""COMPUTED_VALUE"""),"All/共用")</f>
        <v>All/共用</v>
      </c>
      <c r="E732" s="1" t="str">
        <f ca="1">IFERROR(__xludf.DUMMYFUNCTION("""COMPUTED_VALUE"""),"p1/庫存")</f>
        <v>p1/庫存</v>
      </c>
      <c r="F732" s="1">
        <f ca="1">IFERROR(__xludf.DUMMYFUNCTION("""COMPUTED_VALUE"""),1)</f>
        <v>1</v>
      </c>
      <c r="G732" s="1"/>
      <c r="H732" s="1" t="str">
        <f ca="1">IFERROR(__xludf.DUMMYFUNCTION("""COMPUTED_VALUE"""),"P1_3001")</f>
        <v>P1_3001</v>
      </c>
      <c r="I732" s="1" t="str">
        <f ca="1">IFERROR(__xludf.DUMMYFUNCTION("""COMPUTED_VALUE"""),"Chiao Yu")</f>
        <v>Chiao Yu</v>
      </c>
    </row>
    <row r="733" spans="1:9" ht="12.7" x14ac:dyDescent="0.4">
      <c r="A733" s="2">
        <f ca="1">IFERROR(__xludf.DUMMYFUNCTION("""COMPUTED_VALUE"""),45601.4311527662)</f>
        <v>45601.431152766199</v>
      </c>
      <c r="B733" s="1" t="str">
        <f ca="1">IFERROR(__xludf.DUMMYFUNCTION("""COMPUTED_VALUE"""),"領料")</f>
        <v>領料</v>
      </c>
      <c r="C733" s="1" t="str">
        <f ca="1">IFERROR(__xludf.DUMMYFUNCTION("""COMPUTED_VALUE"""),"ME0270001131")</f>
        <v>ME0270001131</v>
      </c>
      <c r="D733" s="1" t="str">
        <f ca="1">IFERROR(__xludf.DUMMYFUNCTION("""COMPUTED_VALUE"""),"All/共用")</f>
        <v>All/共用</v>
      </c>
      <c r="E733" s="1" t="str">
        <f ca="1">IFERROR(__xludf.DUMMYFUNCTION("""COMPUTED_VALUE"""),"p2/庫存")</f>
        <v>p2/庫存</v>
      </c>
      <c r="F733" s="1">
        <f ca="1">IFERROR(__xludf.DUMMYFUNCTION("""COMPUTED_VALUE"""),2)</f>
        <v>2</v>
      </c>
      <c r="G733" s="1"/>
      <c r="H733" s="1" t="str">
        <f ca="1">IFERROR(__xludf.DUMMYFUNCTION("""COMPUTED_VALUE"""),"P2")</f>
        <v>P2</v>
      </c>
      <c r="I733" s="1" t="str">
        <f ca="1">IFERROR(__xludf.DUMMYFUNCTION("""COMPUTED_VALUE"""),"Chiao Yu")</f>
        <v>Chiao Yu</v>
      </c>
    </row>
    <row r="734" spans="1:9" ht="12.7" x14ac:dyDescent="0.4">
      <c r="A734" s="2">
        <f ca="1">IFERROR(__xludf.DUMMYFUNCTION("""COMPUTED_VALUE"""),45602.3894158912)</f>
        <v>45602.389415891201</v>
      </c>
      <c r="B734" s="1" t="str">
        <f ca="1">IFERROR(__xludf.DUMMYFUNCTION("""COMPUTED_VALUE"""),"領料")</f>
        <v>領料</v>
      </c>
      <c r="C734" s="1" t="str">
        <f ca="1">IFERROR(__xludf.DUMMYFUNCTION("""COMPUTED_VALUE"""),"AGT000000005")</f>
        <v>AGT000000005</v>
      </c>
      <c r="D734" s="1" t="str">
        <f ca="1">IFERROR(__xludf.DUMMYFUNCTION("""COMPUTED_VALUE"""),"All/共用")</f>
        <v>All/共用</v>
      </c>
      <c r="E734" s="1" t="str">
        <f ca="1">IFERROR(__xludf.DUMMYFUNCTION("""COMPUTED_VALUE"""),"p1/庫存")</f>
        <v>p1/庫存</v>
      </c>
      <c r="F734" s="1">
        <f ca="1">IFERROR(__xludf.DUMMYFUNCTION("""COMPUTED_VALUE"""),1)</f>
        <v>1</v>
      </c>
      <c r="G734" s="1"/>
      <c r="H734" s="1" t="str">
        <f ca="1">IFERROR(__xludf.DUMMYFUNCTION("""COMPUTED_VALUE"""),"P1_019")</f>
        <v>P1_019</v>
      </c>
      <c r="I734" s="1" t="str">
        <f ca="1">IFERROR(__xludf.DUMMYFUNCTION("""COMPUTED_VALUE"""),"Chiao Yu")</f>
        <v>Chiao Yu</v>
      </c>
    </row>
    <row r="735" spans="1:9" ht="12.7" x14ac:dyDescent="0.4">
      <c r="A735" s="2">
        <f ca="1">IFERROR(__xludf.DUMMYFUNCTION("""COMPUTED_VALUE"""),45602.3903072453)</f>
        <v>45602.390307245303</v>
      </c>
      <c r="B735" s="1" t="str">
        <f ca="1">IFERROR(__xludf.DUMMYFUNCTION("""COMPUTED_VALUE"""),"送修")</f>
        <v>送修</v>
      </c>
      <c r="C735" s="1" t="str">
        <f ca="1">IFERROR(__xludf.DUMMYFUNCTION("""COMPUTED_VALUE"""),"ME0020000592")</f>
        <v>ME0020000592</v>
      </c>
      <c r="D735" s="1" t="str">
        <f ca="1">IFERROR(__xludf.DUMMYFUNCTION("""COMPUTED_VALUE"""),"All/共用")</f>
        <v>All/共用</v>
      </c>
      <c r="E735" s="1" t="str">
        <f ca="1">IFERROR(__xludf.DUMMYFUNCTION("""COMPUTED_VALUE"""),"p1/庫存")</f>
        <v>p1/庫存</v>
      </c>
      <c r="F735" s="1">
        <f ca="1">IFERROR(__xludf.DUMMYFUNCTION("""COMPUTED_VALUE"""),1)</f>
        <v>1</v>
      </c>
      <c r="G735" s="1" t="str">
        <f ca="1">IFERROR(__xludf.DUMMYFUNCTION("""COMPUTED_VALUE"""),"R9PT80RC4SK")</f>
        <v>R9PT80RC4SK</v>
      </c>
      <c r="H735" s="1" t="str">
        <f ca="1">IFERROR(__xludf.DUMMYFUNCTION("""COMPUTED_VALUE"""),"P1_002")</f>
        <v>P1_002</v>
      </c>
      <c r="I735" s="1" t="str">
        <f ca="1">IFERROR(__xludf.DUMMYFUNCTION("""COMPUTED_VALUE"""),"Chiao Yu")</f>
        <v>Chiao Yu</v>
      </c>
    </row>
    <row r="736" spans="1:9" ht="12.7" x14ac:dyDescent="0.4">
      <c r="A736" s="2">
        <f ca="1">IFERROR(__xludf.DUMMYFUNCTION("""COMPUTED_VALUE"""),45602.3910760995)</f>
        <v>45602.391076099499</v>
      </c>
      <c r="B736" s="1" t="str">
        <f ca="1">IFERROR(__xludf.DUMMYFUNCTION("""COMPUTED_VALUE"""),"送修")</f>
        <v>送修</v>
      </c>
      <c r="C736" s="1" t="str">
        <f ca="1">IFERROR(__xludf.DUMMYFUNCTION("""COMPUTED_VALUE"""),"ME0070000140")</f>
        <v>ME0070000140</v>
      </c>
      <c r="D736" s="1" t="str">
        <f ca="1">IFERROR(__xludf.DUMMYFUNCTION("""COMPUTED_VALUE"""),"All/BA")</f>
        <v>All/BA</v>
      </c>
      <c r="E736" s="1" t="str">
        <f ca="1">IFERROR(__xludf.DUMMYFUNCTION("""COMPUTED_VALUE"""),"p1/庫存")</f>
        <v>p1/庫存</v>
      </c>
      <c r="F736" s="1">
        <f ca="1">IFERROR(__xludf.DUMMYFUNCTION("""COMPUTED_VALUE"""),1)</f>
        <v>1</v>
      </c>
      <c r="G736" s="1" t="str">
        <f ca="1">IFERROR(__xludf.DUMMYFUNCTION("""COMPUTED_VALUE"""),"100A-2522C0015-2204")</f>
        <v>100A-2522C0015-2204</v>
      </c>
      <c r="H736" s="1" t="str">
        <f ca="1">IFERROR(__xludf.DUMMYFUNCTION("""COMPUTED_VALUE"""),"P1_022")</f>
        <v>P1_022</v>
      </c>
      <c r="I736" s="1" t="str">
        <f ca="1">IFERROR(__xludf.DUMMYFUNCTION("""COMPUTED_VALUE"""),"Uri")</f>
        <v>Uri</v>
      </c>
    </row>
    <row r="737" spans="1:9" ht="12.7" x14ac:dyDescent="0.4">
      <c r="A737" s="2">
        <f ca="1">IFERROR(__xludf.DUMMYFUNCTION("""COMPUTED_VALUE"""),45602.3919779282)</f>
        <v>45602.391977928201</v>
      </c>
      <c r="B737" s="1" t="str">
        <f ca="1">IFERROR(__xludf.DUMMYFUNCTION("""COMPUTED_VALUE"""),"料件上線時間")</f>
        <v>料件上線時間</v>
      </c>
      <c r="C737" s="1" t="str">
        <f ca="1">IFERROR(__xludf.DUMMYFUNCTION("""COMPUTED_VALUE"""),"ME0070000140")</f>
        <v>ME0070000140</v>
      </c>
      <c r="D737" s="1" t="str">
        <f ca="1">IFERROR(__xludf.DUMMYFUNCTION("""COMPUTED_VALUE"""),"All/BA")</f>
        <v>All/BA</v>
      </c>
      <c r="E737" s="1" t="str">
        <f ca="1">IFERROR(__xludf.DUMMYFUNCTION("""COMPUTED_VALUE"""),"p1/庫存")</f>
        <v>p1/庫存</v>
      </c>
      <c r="F737" s="1">
        <f ca="1">IFERROR(__xludf.DUMMYFUNCTION("""COMPUTED_VALUE"""),1)</f>
        <v>1</v>
      </c>
      <c r="G737" s="1" t="str">
        <f ca="1">IFERROR(__xludf.DUMMYFUNCTION("""COMPUTED_VALUE"""),"100A-2523K0039-2409")</f>
        <v>100A-2523K0039-2409</v>
      </c>
      <c r="H737" s="1" t="str">
        <f ca="1">IFERROR(__xludf.DUMMYFUNCTION("""COMPUTED_VALUE"""),"P1_019")</f>
        <v>P1_019</v>
      </c>
      <c r="I737" s="1" t="str">
        <f ca="1">IFERROR(__xludf.DUMMYFUNCTION("""COMPUTED_VALUE"""),"Chiao Yu")</f>
        <v>Chiao Yu</v>
      </c>
    </row>
    <row r="738" spans="1:9" ht="12.7" x14ac:dyDescent="0.4">
      <c r="A738" s="2">
        <f ca="1">IFERROR(__xludf.DUMMYFUNCTION("""COMPUTED_VALUE"""),45602.3924644675)</f>
        <v>45602.392464467499</v>
      </c>
      <c r="B738" s="1" t="str">
        <f ca="1">IFERROR(__xludf.DUMMYFUNCTION("""COMPUTED_VALUE"""),"送修")</f>
        <v>送修</v>
      </c>
      <c r="C738" s="1" t="str">
        <f ca="1">IFERROR(__xludf.DUMMYFUNCTION("""COMPUTED_VALUE"""),"ME0020000562")</f>
        <v>ME0020000562</v>
      </c>
      <c r="D738" s="1" t="str">
        <f ca="1">IFERROR(__xludf.DUMMYFUNCTION("""COMPUTED_VALUE"""),"All/共用")</f>
        <v>All/共用</v>
      </c>
      <c r="E738" s="1" t="str">
        <f ca="1">IFERROR(__xludf.DUMMYFUNCTION("""COMPUTED_VALUE"""),"p1/庫存")</f>
        <v>p1/庫存</v>
      </c>
      <c r="F738" s="1">
        <f ca="1">IFERROR(__xludf.DUMMYFUNCTION("""COMPUTED_VALUE"""),1)</f>
        <v>1</v>
      </c>
      <c r="G738" s="1"/>
      <c r="H738" s="1" t="str">
        <f ca="1">IFERROR(__xludf.DUMMYFUNCTION("""COMPUTED_VALUE"""),"P1")</f>
        <v>P1</v>
      </c>
      <c r="I738" s="1" t="str">
        <f ca="1">IFERROR(__xludf.DUMMYFUNCTION("""COMPUTED_VALUE"""),"Uri")</f>
        <v>Uri</v>
      </c>
    </row>
    <row r="739" spans="1:9" ht="12.7" x14ac:dyDescent="0.4">
      <c r="A739" s="2">
        <f ca="1">IFERROR(__xludf.DUMMYFUNCTION("""COMPUTED_VALUE"""),45603.3999557291)</f>
        <v>45603.399955729103</v>
      </c>
      <c r="B739" s="1" t="str">
        <f ca="1">IFERROR(__xludf.DUMMYFUNCTION("""COMPUTED_VALUE"""),"送修")</f>
        <v>送修</v>
      </c>
      <c r="C739" s="1" t="str">
        <f ca="1">IFERROR(__xludf.DUMMYFUNCTION("""COMPUTED_VALUE"""),"ME0030000076")</f>
        <v>ME0030000076</v>
      </c>
      <c r="D739" s="1" t="str">
        <f ca="1">IFERROR(__xludf.DUMMYFUNCTION("""COMPUTED_VALUE"""),"All/共用")</f>
        <v>All/共用</v>
      </c>
      <c r="E739" s="1" t="str">
        <f ca="1">IFERROR(__xludf.DUMMYFUNCTION("""COMPUTED_VALUE"""),"p1/庫存")</f>
        <v>p1/庫存</v>
      </c>
      <c r="F739" s="1">
        <f ca="1">IFERROR(__xludf.DUMMYFUNCTION("""COMPUTED_VALUE"""),1)</f>
        <v>1</v>
      </c>
      <c r="G739" s="1" t="str">
        <f ca="1">IFERROR(__xludf.DUMMYFUNCTION("""COMPUTED_VALUE"""),"223A2T1008465")</f>
        <v>223A2T1008465</v>
      </c>
      <c r="H739" s="1" t="str">
        <f ca="1">IFERROR(__xludf.DUMMYFUNCTION("""COMPUTED_VALUE"""),"P1_020")</f>
        <v>P1_020</v>
      </c>
      <c r="I739" s="1" t="str">
        <f ca="1">IFERROR(__xludf.DUMMYFUNCTION("""COMPUTED_VALUE"""),"Chiao Yu")</f>
        <v>Chiao Yu</v>
      </c>
    </row>
    <row r="740" spans="1:9" ht="12.7" x14ac:dyDescent="0.4">
      <c r="A740" s="2">
        <f ca="1">IFERROR(__xludf.DUMMYFUNCTION("""COMPUTED_VALUE"""),45603.4034915046)</f>
        <v>45603.4034915046</v>
      </c>
      <c r="B740" s="1" t="str">
        <f ca="1">IFERROR(__xludf.DUMMYFUNCTION("""COMPUTED_VALUE"""),"料件上線時間")</f>
        <v>料件上線時間</v>
      </c>
      <c r="C740" s="1" t="str">
        <f ca="1">IFERROR(__xludf.DUMMYFUNCTION("""COMPUTED_VALUE"""),"ME0030000076")</f>
        <v>ME0030000076</v>
      </c>
      <c r="D740" s="1" t="str">
        <f ca="1">IFERROR(__xludf.DUMMYFUNCTION("""COMPUTED_VALUE"""),"All/共用")</f>
        <v>All/共用</v>
      </c>
      <c r="E740" s="1" t="str">
        <f ca="1">IFERROR(__xludf.DUMMYFUNCTION("""COMPUTED_VALUE"""),"p1/庫存")</f>
        <v>p1/庫存</v>
      </c>
      <c r="F740" s="1">
        <f ca="1">IFERROR(__xludf.DUMMYFUNCTION("""COMPUTED_VALUE"""),1)</f>
        <v>1</v>
      </c>
      <c r="G740" s="1" t="str">
        <f ca="1">IFERROR(__xludf.DUMMYFUNCTION("""COMPUTED_VALUE"""),"22452M9002536")</f>
        <v>22452M9002536</v>
      </c>
      <c r="H740" s="1" t="str">
        <f ca="1">IFERROR(__xludf.DUMMYFUNCTION("""COMPUTED_VALUE"""),"P1_020")</f>
        <v>P1_020</v>
      </c>
      <c r="I740" s="1" t="str">
        <f ca="1">IFERROR(__xludf.DUMMYFUNCTION("""COMPUTED_VALUE"""),"Chiao Yu")</f>
        <v>Chiao Yu</v>
      </c>
    </row>
    <row r="741" spans="1:9" ht="12.7" x14ac:dyDescent="0.4">
      <c r="A741" s="2">
        <f ca="1">IFERROR(__xludf.DUMMYFUNCTION("""COMPUTED_VALUE"""),45603.55581353)</f>
        <v>45603.555813530002</v>
      </c>
      <c r="B741" s="1" t="str">
        <f ca="1">IFERROR(__xludf.DUMMYFUNCTION("""COMPUTED_VALUE"""),"返修")</f>
        <v>返修</v>
      </c>
      <c r="C741" s="1" t="str">
        <f ca="1">IFERROR(__xludf.DUMMYFUNCTION("""COMPUTED_VALUE"""),"A00100000731")</f>
        <v>A00100000731</v>
      </c>
      <c r="D741" s="1" t="str">
        <f ca="1">IFERROR(__xludf.DUMMYFUNCTION("""COMPUTED_VALUE"""),"All/BA")</f>
        <v>All/BA</v>
      </c>
      <c r="E741" s="1" t="str">
        <f ca="1">IFERROR(__xludf.DUMMYFUNCTION("""COMPUTED_VALUE"""),"p1/庫存")</f>
        <v>p1/庫存</v>
      </c>
      <c r="F741" s="1">
        <f ca="1">IFERROR(__xludf.DUMMYFUNCTION("""COMPUTED_VALUE"""),1)</f>
        <v>1</v>
      </c>
      <c r="G741" s="1" t="str">
        <f ca="1">IFERROR(__xludf.DUMMYFUNCTION("""COMPUTED_VALUE"""),"06F026")</f>
        <v>06F026</v>
      </c>
      <c r="H741" s="1" t="str">
        <f ca="1">IFERROR(__xludf.DUMMYFUNCTION("""COMPUTED_VALUE"""),"P1")</f>
        <v>P1</v>
      </c>
      <c r="I741" s="1" t="str">
        <f ca="1">IFERROR(__xludf.DUMMYFUNCTION("""COMPUTED_VALUE"""),"Chiao Yu")</f>
        <v>Chiao Yu</v>
      </c>
    </row>
    <row r="742" spans="1:9" ht="12.7" x14ac:dyDescent="0.4">
      <c r="A742" s="2">
        <f ca="1">IFERROR(__xludf.DUMMYFUNCTION("""COMPUTED_VALUE"""),45607.2126464583)</f>
        <v>45607.212646458298</v>
      </c>
      <c r="B742" s="1" t="str">
        <f ca="1">IFERROR(__xludf.DUMMYFUNCTION("""COMPUTED_VALUE"""),"領料")</f>
        <v>領料</v>
      </c>
      <c r="C742" s="1" t="str">
        <f ca="1">IFERROR(__xludf.DUMMYFUNCTION("""COMPUTED_VALUE"""),"AGT000000005")</f>
        <v>AGT000000005</v>
      </c>
      <c r="D742" s="1" t="str">
        <f ca="1">IFERROR(__xludf.DUMMYFUNCTION("""COMPUTED_VALUE"""),"All/共用")</f>
        <v>All/共用</v>
      </c>
      <c r="E742" s="1" t="str">
        <f ca="1">IFERROR(__xludf.DUMMYFUNCTION("""COMPUTED_VALUE"""),"p1/庫存")</f>
        <v>p1/庫存</v>
      </c>
      <c r="F742" s="1">
        <f ca="1">IFERROR(__xludf.DUMMYFUNCTION("""COMPUTED_VALUE"""),2)</f>
        <v>2</v>
      </c>
      <c r="G742" s="1"/>
      <c r="H742" s="1" t="str">
        <f ca="1">IFERROR(__xludf.DUMMYFUNCTION("""COMPUTED_VALUE"""),"P1_004，P1_008")</f>
        <v>P1_004，P1_008</v>
      </c>
      <c r="I742" s="1" t="str">
        <f ca="1">IFERROR(__xludf.DUMMYFUNCTION("""COMPUTED_VALUE"""),"Jason")</f>
        <v>Jason</v>
      </c>
    </row>
    <row r="743" spans="1:9" ht="12.7" x14ac:dyDescent="0.4">
      <c r="A743" s="2">
        <f ca="1">IFERROR(__xludf.DUMMYFUNCTION("""COMPUTED_VALUE"""),45607.2147600578)</f>
        <v>45607.214760057803</v>
      </c>
      <c r="B743" s="1" t="str">
        <f ca="1">IFERROR(__xludf.DUMMYFUNCTION("""COMPUTED_VALUE"""),"領料")</f>
        <v>領料</v>
      </c>
      <c r="C743" s="1" t="str">
        <f ca="1">IFERROR(__xludf.DUMMYFUNCTION("""COMPUTED_VALUE"""),"ME0060000277")</f>
        <v>ME0060000277</v>
      </c>
      <c r="D743" s="1" t="str">
        <f ca="1">IFERROR(__xludf.DUMMYFUNCTION("""COMPUTED_VALUE"""),"All/共用")</f>
        <v>All/共用</v>
      </c>
      <c r="E743" s="1" t="str">
        <f ca="1">IFERROR(__xludf.DUMMYFUNCTION("""COMPUTED_VALUE"""),"p1/庫存")</f>
        <v>p1/庫存</v>
      </c>
      <c r="F743" s="1">
        <f ca="1">IFERROR(__xludf.DUMMYFUNCTION("""COMPUTED_VALUE"""),1)</f>
        <v>1</v>
      </c>
      <c r="G743" s="1"/>
      <c r="H743" s="1" t="str">
        <f ca="1">IFERROR(__xludf.DUMMYFUNCTION("""COMPUTED_VALUE"""),"P1_008")</f>
        <v>P1_008</v>
      </c>
      <c r="I743" s="1" t="str">
        <f ca="1">IFERROR(__xludf.DUMMYFUNCTION("""COMPUTED_VALUE"""),"Jason")</f>
        <v>Jason</v>
      </c>
    </row>
    <row r="744" spans="1:9" ht="12.7" x14ac:dyDescent="0.4">
      <c r="A744" s="2">
        <f ca="1">IFERROR(__xludf.DUMMYFUNCTION("""COMPUTED_VALUE"""),45607.796188125)</f>
        <v>45607.796188125001</v>
      </c>
      <c r="B744" s="1" t="str">
        <f ca="1">IFERROR(__xludf.DUMMYFUNCTION("""COMPUTED_VALUE"""),"返修")</f>
        <v>返修</v>
      </c>
      <c r="C744" s="1" t="str">
        <f ca="1">IFERROR(__xludf.DUMMYFUNCTION("""COMPUTED_VALUE"""),"ME0020000619")</f>
        <v>ME0020000619</v>
      </c>
      <c r="D744" s="1" t="str">
        <f ca="1">IFERROR(__xludf.DUMMYFUNCTION("""COMPUTED_VALUE"""),"All/共用")</f>
        <v>All/共用</v>
      </c>
      <c r="E744" s="1" t="str">
        <f ca="1">IFERROR(__xludf.DUMMYFUNCTION("""COMPUTED_VALUE"""),"p2/庫存")</f>
        <v>p2/庫存</v>
      </c>
      <c r="F744" s="1">
        <f ca="1">IFERROR(__xludf.DUMMYFUNCTION("""COMPUTED_VALUE"""),1)</f>
        <v>1</v>
      </c>
      <c r="G744" s="1"/>
      <c r="H744" s="1" t="str">
        <f ca="1">IFERROR(__xludf.DUMMYFUNCTION("""COMPUTED_VALUE"""),"P2_4001")</f>
        <v>P2_4001</v>
      </c>
      <c r="I744" s="1" t="str">
        <f ca="1">IFERROR(__xludf.DUMMYFUNCTION("""COMPUTED_VALUE"""),"Simon")</f>
        <v>Simon</v>
      </c>
    </row>
    <row r="745" spans="1:9" ht="12.7" x14ac:dyDescent="0.4">
      <c r="A745" s="2">
        <f ca="1">IFERROR(__xludf.DUMMYFUNCTION("""COMPUTED_VALUE"""),45607.802124537)</f>
        <v>45607.802124536996</v>
      </c>
      <c r="B745" s="1" t="str">
        <f ca="1">IFERROR(__xludf.DUMMYFUNCTION("""COMPUTED_VALUE"""),"返修")</f>
        <v>返修</v>
      </c>
      <c r="C745" s="1" t="str">
        <f ca="1">IFERROR(__xludf.DUMMYFUNCTION("""COMPUTED_VALUE"""),"ME0010000382")</f>
        <v>ME0010000382</v>
      </c>
      <c r="D745" s="1" t="str">
        <f ca="1">IFERROR(__xludf.DUMMYFUNCTION("""COMPUTED_VALUE"""),"All/共用")</f>
        <v>All/共用</v>
      </c>
      <c r="E745" s="1" t="str">
        <f ca="1">IFERROR(__xludf.DUMMYFUNCTION("""COMPUTED_VALUE"""),"p1/庫存")</f>
        <v>p1/庫存</v>
      </c>
      <c r="F745" s="1">
        <f ca="1">IFERROR(__xludf.DUMMYFUNCTION("""COMPUTED_VALUE"""),1)</f>
        <v>1</v>
      </c>
      <c r="G745" s="1"/>
      <c r="H745" s="1" t="str">
        <f ca="1">IFERROR(__xludf.DUMMYFUNCTION("""COMPUTED_VALUE"""),"P1")</f>
        <v>P1</v>
      </c>
      <c r="I745" s="1" t="str">
        <f ca="1">IFERROR(__xludf.DUMMYFUNCTION("""COMPUTED_VALUE"""),"Simon")</f>
        <v>Simon</v>
      </c>
    </row>
    <row r="746" spans="1:9" ht="12.7" x14ac:dyDescent="0.4">
      <c r="A746" s="2">
        <f ca="1">IFERROR(__xludf.DUMMYFUNCTION("""COMPUTED_VALUE"""),45608.3804069791)</f>
        <v>45608.3804069791</v>
      </c>
      <c r="B746" s="1" t="str">
        <f ca="1">IFERROR(__xludf.DUMMYFUNCTION("""COMPUTED_VALUE"""),"領料")</f>
        <v>領料</v>
      </c>
      <c r="C746" s="1" t="str">
        <f ca="1">IFERROR(__xludf.DUMMYFUNCTION("""COMPUTED_VALUE"""),"ME0030000076")</f>
        <v>ME0030000076</v>
      </c>
      <c r="D746" s="1" t="str">
        <f ca="1">IFERROR(__xludf.DUMMYFUNCTION("""COMPUTED_VALUE"""),"All/共用")</f>
        <v>All/共用</v>
      </c>
      <c r="E746" s="1" t="str">
        <f ca="1">IFERROR(__xludf.DUMMYFUNCTION("""COMPUTED_VALUE"""),"p2/庫存")</f>
        <v>p2/庫存</v>
      </c>
      <c r="F746" s="1">
        <f ca="1">IFERROR(__xludf.DUMMYFUNCTION("""COMPUTED_VALUE"""),2)</f>
        <v>2</v>
      </c>
      <c r="G746" s="1"/>
      <c r="H746" s="1" t="str">
        <f ca="1">IFERROR(__xludf.DUMMYFUNCTION("""COMPUTED_VALUE"""),"P2")</f>
        <v>P2</v>
      </c>
      <c r="I746" s="1" t="str">
        <f ca="1">IFERROR(__xludf.DUMMYFUNCTION("""COMPUTED_VALUE"""),"Chiao Yu")</f>
        <v>Chiao Yu</v>
      </c>
    </row>
    <row r="747" spans="1:9" ht="12.7" x14ac:dyDescent="0.4">
      <c r="A747" s="2">
        <f ca="1">IFERROR(__xludf.DUMMYFUNCTION("""COMPUTED_VALUE"""),45609.3620587268)</f>
        <v>45609.362058726801</v>
      </c>
      <c r="B747" s="1" t="str">
        <f ca="1">IFERROR(__xludf.DUMMYFUNCTION("""COMPUTED_VALUE"""),"領料")</f>
        <v>領料</v>
      </c>
      <c r="C747" s="1" t="str">
        <f ca="1">IFERROR(__xludf.DUMMYFUNCTION("""COMPUTED_VALUE"""),"MM0260000077")</f>
        <v>MM0260000077</v>
      </c>
      <c r="D747" s="1" t="str">
        <f ca="1">IFERROR(__xludf.DUMMYFUNCTION("""COMPUTED_VALUE"""),"All/BA")</f>
        <v>All/BA</v>
      </c>
      <c r="E747" s="1" t="str">
        <f ca="1">IFERROR(__xludf.DUMMYFUNCTION("""COMPUTED_VALUE"""),"p2/庫存")</f>
        <v>p2/庫存</v>
      </c>
      <c r="F747" s="1">
        <f ca="1">IFERROR(__xludf.DUMMYFUNCTION("""COMPUTED_VALUE"""),36)</f>
        <v>36</v>
      </c>
      <c r="G747" s="1"/>
      <c r="H747" s="1" t="str">
        <f ca="1">IFERROR(__xludf.DUMMYFUNCTION("""COMPUTED_VALUE"""),"P2")</f>
        <v>P2</v>
      </c>
      <c r="I747" s="1" t="str">
        <f ca="1">IFERROR(__xludf.DUMMYFUNCTION("""COMPUTED_VALUE"""),"Chiao Yu")</f>
        <v>Chiao Yu</v>
      </c>
    </row>
    <row r="748" spans="1:9" ht="12.7" x14ac:dyDescent="0.4">
      <c r="A748" s="2">
        <f ca="1">IFERROR(__xludf.DUMMYFUNCTION("""COMPUTED_VALUE"""),45610.2884880671)</f>
        <v>45610.288488067097</v>
      </c>
      <c r="B748" s="1" t="str">
        <f ca="1">IFERROR(__xludf.DUMMYFUNCTION("""COMPUTED_VALUE"""),"領料")</f>
        <v>領料</v>
      </c>
      <c r="C748" s="1" t="str">
        <f ca="1">IFERROR(__xludf.DUMMYFUNCTION("""COMPUTED_VALUE"""),"MM0260000077")</f>
        <v>MM0260000077</v>
      </c>
      <c r="D748" s="1" t="str">
        <f ca="1">IFERROR(__xludf.DUMMYFUNCTION("""COMPUTED_VALUE"""),"All/BA")</f>
        <v>All/BA</v>
      </c>
      <c r="E748" s="1" t="str">
        <f ca="1">IFERROR(__xludf.DUMMYFUNCTION("""COMPUTED_VALUE"""),"p2/庫存")</f>
        <v>p2/庫存</v>
      </c>
      <c r="F748" s="1">
        <f ca="1">IFERROR(__xludf.DUMMYFUNCTION("""COMPUTED_VALUE"""),12)</f>
        <v>12</v>
      </c>
      <c r="G748" s="1"/>
      <c r="H748" s="1" t="str">
        <f ca="1">IFERROR(__xludf.DUMMYFUNCTION("""COMPUTED_VALUE"""),"P2")</f>
        <v>P2</v>
      </c>
      <c r="I748" s="1" t="str">
        <f ca="1">IFERROR(__xludf.DUMMYFUNCTION("""COMPUTED_VALUE"""),"Jason")</f>
        <v>Jason</v>
      </c>
    </row>
    <row r="749" spans="1:9" ht="12.7" x14ac:dyDescent="0.4">
      <c r="A749" s="2">
        <f ca="1">IFERROR(__xludf.DUMMYFUNCTION("""COMPUTED_VALUE"""),45611.2827135763)</f>
        <v>45611.2827135763</v>
      </c>
      <c r="B749" s="1" t="str">
        <f ca="1">IFERROR(__xludf.DUMMYFUNCTION("""COMPUTED_VALUE"""),"領料")</f>
        <v>領料</v>
      </c>
      <c r="C749" s="1" t="str">
        <f ca="1">IFERROR(__xludf.DUMMYFUNCTION("""COMPUTED_VALUE"""),"MM0260000077")</f>
        <v>MM0260000077</v>
      </c>
      <c r="D749" s="1" t="str">
        <f ca="1">IFERROR(__xludf.DUMMYFUNCTION("""COMPUTED_VALUE"""),"All/BA")</f>
        <v>All/BA</v>
      </c>
      <c r="E749" s="1" t="str">
        <f ca="1">IFERROR(__xludf.DUMMYFUNCTION("""COMPUTED_VALUE"""),"p2/庫存")</f>
        <v>p2/庫存</v>
      </c>
      <c r="F749" s="1">
        <f ca="1">IFERROR(__xludf.DUMMYFUNCTION("""COMPUTED_VALUE"""),10)</f>
        <v>10</v>
      </c>
      <c r="G749" s="1"/>
      <c r="H749" s="1" t="str">
        <f ca="1">IFERROR(__xludf.DUMMYFUNCTION("""COMPUTED_VALUE"""),"P2")</f>
        <v>P2</v>
      </c>
      <c r="I749" s="1" t="str">
        <f ca="1">IFERROR(__xludf.DUMMYFUNCTION("""COMPUTED_VALUE"""),"Jason")</f>
        <v>Jason</v>
      </c>
    </row>
    <row r="750" spans="1:9" ht="12.7" x14ac:dyDescent="0.4">
      <c r="A750" s="2">
        <f ca="1">IFERROR(__xludf.DUMMYFUNCTION("""COMPUTED_VALUE"""),45614.7109162731)</f>
        <v>45614.710916273099</v>
      </c>
      <c r="B750" s="1" t="str">
        <f ca="1">IFERROR(__xludf.DUMMYFUNCTION("""COMPUTED_VALUE"""),"庫存調整")</f>
        <v>庫存調整</v>
      </c>
      <c r="C750" s="1" t="str">
        <f ca="1">IFERROR(__xludf.DUMMYFUNCTION("""COMPUTED_VALUE"""),"ME0020000564")</f>
        <v>ME0020000564</v>
      </c>
      <c r="D750" s="1" t="str">
        <f ca="1">IFERROR(__xludf.DUMMYFUNCTION("""COMPUTED_VALUE"""),"All/共用")</f>
        <v>All/共用</v>
      </c>
      <c r="E750" s="1" t="str">
        <f ca="1">IFERROR(__xludf.DUMMYFUNCTION("""COMPUTED_VALUE"""),"p1/庫存")</f>
        <v>p1/庫存</v>
      </c>
      <c r="F750" s="1">
        <f ca="1">IFERROR(__xludf.DUMMYFUNCTION("""COMPUTED_VALUE"""),1)</f>
        <v>1</v>
      </c>
      <c r="G750" s="1"/>
      <c r="H750" s="1" t="str">
        <f ca="1">IFERROR(__xludf.DUMMYFUNCTION("""COMPUTED_VALUE"""),"P1")</f>
        <v>P1</v>
      </c>
      <c r="I750" s="1" t="str">
        <f ca="1">IFERROR(__xludf.DUMMYFUNCTION("""COMPUTED_VALUE"""),"Simon")</f>
        <v>Simon</v>
      </c>
    </row>
    <row r="751" spans="1:9" ht="12.7" x14ac:dyDescent="0.4">
      <c r="A751" s="2">
        <f ca="1">IFERROR(__xludf.DUMMYFUNCTION("""COMPUTED_VALUE"""),45614.7123709375)</f>
        <v>45614.712370937501</v>
      </c>
      <c r="B751" s="1" t="str">
        <f ca="1">IFERROR(__xludf.DUMMYFUNCTION("""COMPUTED_VALUE"""),"庫存調整")</f>
        <v>庫存調整</v>
      </c>
      <c r="C751" s="1" t="str">
        <f ca="1">IFERROR(__xludf.DUMMYFUNCTION("""COMPUTED_VALUE"""),"ME0020000564")</f>
        <v>ME0020000564</v>
      </c>
      <c r="D751" s="1" t="str">
        <f ca="1">IFERROR(__xludf.DUMMYFUNCTION("""COMPUTED_VALUE"""),"All/共用")</f>
        <v>All/共用</v>
      </c>
      <c r="E751" s="1" t="str">
        <f ca="1">IFERROR(__xludf.DUMMYFUNCTION("""COMPUTED_VALUE"""),"p2/庫存")</f>
        <v>p2/庫存</v>
      </c>
      <c r="F751" s="1">
        <f ca="1">IFERROR(__xludf.DUMMYFUNCTION("""COMPUTED_VALUE"""),1)</f>
        <v>1</v>
      </c>
      <c r="G751" s="1"/>
      <c r="H751" s="1" t="str">
        <f ca="1">IFERROR(__xludf.DUMMYFUNCTION("""COMPUTED_VALUE"""),"P2")</f>
        <v>P2</v>
      </c>
      <c r="I751" s="1" t="str">
        <f ca="1">IFERROR(__xludf.DUMMYFUNCTION("""COMPUTED_VALUE"""),"Simon")</f>
        <v>Simon</v>
      </c>
    </row>
    <row r="752" spans="1:9" ht="12.7" x14ac:dyDescent="0.4">
      <c r="A752" s="2">
        <f ca="1">IFERROR(__xludf.DUMMYFUNCTION("""COMPUTED_VALUE"""),45614.7201282754)</f>
        <v>45614.720128275403</v>
      </c>
      <c r="B752" s="1" t="str">
        <f ca="1">IFERROR(__xludf.DUMMYFUNCTION("""COMPUTED_VALUE"""),"返修")</f>
        <v>返修</v>
      </c>
      <c r="C752" s="1" t="str">
        <f ca="1">IFERROR(__xludf.DUMMYFUNCTION("""COMPUTED_VALUE"""),"ME0020000525")</f>
        <v>ME0020000525</v>
      </c>
      <c r="D752" s="1" t="str">
        <f ca="1">IFERROR(__xludf.DUMMYFUNCTION("""COMPUTED_VALUE"""),"All/共用")</f>
        <v>All/共用</v>
      </c>
      <c r="E752" s="1" t="str">
        <f ca="1">IFERROR(__xludf.DUMMYFUNCTION("""COMPUTED_VALUE"""),"p2/庫存")</f>
        <v>p2/庫存</v>
      </c>
      <c r="F752" s="1">
        <f ca="1">IFERROR(__xludf.DUMMYFUNCTION("""COMPUTED_VALUE"""),1)</f>
        <v>1</v>
      </c>
      <c r="G752" s="1" t="str">
        <f ca="1">IFERROR(__xludf.DUMMYFUNCTION("""COMPUTED_VALUE"""),"2408E8999F15")</f>
        <v>2408E8999F15</v>
      </c>
      <c r="H752" s="1" t="str">
        <f ca="1">IFERROR(__xludf.DUMMYFUNCTION("""COMPUTED_VALUE"""),"P2")</f>
        <v>P2</v>
      </c>
      <c r="I752" s="1" t="str">
        <f ca="1">IFERROR(__xludf.DUMMYFUNCTION("""COMPUTED_VALUE"""),"Simon")</f>
        <v>Simon</v>
      </c>
    </row>
    <row r="753" spans="1:9" ht="12.7" x14ac:dyDescent="0.4">
      <c r="A753" s="2">
        <f ca="1">IFERROR(__xludf.DUMMYFUNCTION("""COMPUTED_VALUE"""),45614.7252332754)</f>
        <v>45614.7252332754</v>
      </c>
      <c r="B753" s="1" t="str">
        <f ca="1">IFERROR(__xludf.DUMMYFUNCTION("""COMPUTED_VALUE"""),"返修")</f>
        <v>返修</v>
      </c>
      <c r="C753" s="1" t="str">
        <f ca="1">IFERROR(__xludf.DUMMYFUNCTION("""COMPUTED_VALUE"""),"ME0020000525")</f>
        <v>ME0020000525</v>
      </c>
      <c r="D753" s="1" t="str">
        <f ca="1">IFERROR(__xludf.DUMMYFUNCTION("""COMPUTED_VALUE"""),"All/共用")</f>
        <v>All/共用</v>
      </c>
      <c r="E753" s="1" t="str">
        <f ca="1">IFERROR(__xludf.DUMMYFUNCTION("""COMPUTED_VALUE"""),"p1/庫存")</f>
        <v>p1/庫存</v>
      </c>
      <c r="F753" s="1">
        <f ca="1">IFERROR(__xludf.DUMMYFUNCTION("""COMPUTED_VALUE"""),1)</f>
        <v>1</v>
      </c>
      <c r="G753" s="1" t="str">
        <f ca="1">IFERROR(__xludf.DUMMYFUNCTION("""COMPUTED_VALUE"""),"2408E8999DBD")</f>
        <v>2408E8999DBD</v>
      </c>
      <c r="H753" s="1" t="str">
        <f ca="1">IFERROR(__xludf.DUMMYFUNCTION("""COMPUTED_VALUE"""),"P1")</f>
        <v>P1</v>
      </c>
      <c r="I753" s="1" t="str">
        <f ca="1">IFERROR(__xludf.DUMMYFUNCTION("""COMPUTED_VALUE"""),"Simon")</f>
        <v>Simon</v>
      </c>
    </row>
    <row r="754" spans="1:9" ht="12.7" x14ac:dyDescent="0.4">
      <c r="A754" s="2">
        <f ca="1">IFERROR(__xludf.DUMMYFUNCTION("""COMPUTED_VALUE"""),45614.7290650463)</f>
        <v>45614.729065046296</v>
      </c>
      <c r="B754" s="1" t="str">
        <f ca="1">IFERROR(__xludf.DUMMYFUNCTION("""COMPUTED_VALUE"""),"返修")</f>
        <v>返修</v>
      </c>
      <c r="C754" s="1" t="str">
        <f ca="1">IFERROR(__xludf.DUMMYFUNCTION("""COMPUTED_VALUE"""),"ME0030000076")</f>
        <v>ME0030000076</v>
      </c>
      <c r="D754" s="1" t="str">
        <f ca="1">IFERROR(__xludf.DUMMYFUNCTION("""COMPUTED_VALUE"""),"All/共用")</f>
        <v>All/共用</v>
      </c>
      <c r="E754" s="1" t="str">
        <f ca="1">IFERROR(__xludf.DUMMYFUNCTION("""COMPUTED_VALUE"""),"p1/庫存")</f>
        <v>p1/庫存</v>
      </c>
      <c r="F754" s="1">
        <f ca="1">IFERROR(__xludf.DUMMYFUNCTION("""COMPUTED_VALUE"""),1)</f>
        <v>1</v>
      </c>
      <c r="G754" s="1"/>
      <c r="H754" s="1" t="str">
        <f ca="1">IFERROR(__xludf.DUMMYFUNCTION("""COMPUTED_VALUE"""),"P1")</f>
        <v>P1</v>
      </c>
      <c r="I754" s="1" t="str">
        <f ca="1">IFERROR(__xludf.DUMMYFUNCTION("""COMPUTED_VALUE"""),"Simon")</f>
        <v>Simon</v>
      </c>
    </row>
    <row r="755" spans="1:9" ht="12.7" x14ac:dyDescent="0.4">
      <c r="A755" s="2">
        <f ca="1">IFERROR(__xludf.DUMMYFUNCTION("""COMPUTED_VALUE"""),45614.7313271064)</f>
        <v>45614.731327106398</v>
      </c>
      <c r="B755" s="1" t="str">
        <f ca="1">IFERROR(__xludf.DUMMYFUNCTION("""COMPUTED_VALUE"""),"返修")</f>
        <v>返修</v>
      </c>
      <c r="C755" s="1" t="str">
        <f ca="1">IFERROR(__xludf.DUMMYFUNCTION("""COMPUTED_VALUE"""),"ME0020000592")</f>
        <v>ME0020000592</v>
      </c>
      <c r="D755" s="1" t="str">
        <f ca="1">IFERROR(__xludf.DUMMYFUNCTION("""COMPUTED_VALUE"""),"All/共用")</f>
        <v>All/共用</v>
      </c>
      <c r="E755" s="1" t="str">
        <f ca="1">IFERROR(__xludf.DUMMYFUNCTION("""COMPUTED_VALUE"""),"p1/庫存")</f>
        <v>p1/庫存</v>
      </c>
      <c r="F755" s="1">
        <f ca="1">IFERROR(__xludf.DUMMYFUNCTION("""COMPUTED_VALUE"""),1)</f>
        <v>1</v>
      </c>
      <c r="G755" s="1" t="str">
        <f ca="1">IFERROR(__xludf.DUMMYFUNCTION("""COMPUTED_VALUE"""),"R9PT80RC4SK")</f>
        <v>R9PT80RC4SK</v>
      </c>
      <c r="H755" s="1" t="str">
        <f ca="1">IFERROR(__xludf.DUMMYFUNCTION("""COMPUTED_VALUE"""),"P1")</f>
        <v>P1</v>
      </c>
      <c r="I755" s="1" t="str">
        <f ca="1">IFERROR(__xludf.DUMMYFUNCTION("""COMPUTED_VALUE"""),"Simon")</f>
        <v>Simon</v>
      </c>
    </row>
    <row r="756" spans="1:9" ht="12.7" x14ac:dyDescent="0.4">
      <c r="A756" s="2">
        <f ca="1">IFERROR(__xludf.DUMMYFUNCTION("""COMPUTED_VALUE"""),45614.7369211111)</f>
        <v>45614.7369211111</v>
      </c>
      <c r="B756" s="1" t="str">
        <f ca="1">IFERROR(__xludf.DUMMYFUNCTION("""COMPUTED_VALUE"""),"返修")</f>
        <v>返修</v>
      </c>
      <c r="C756" s="1" t="str">
        <f ca="1">IFERROR(__xludf.DUMMYFUNCTION("""COMPUTED_VALUE"""),"ME0020000592")</f>
        <v>ME0020000592</v>
      </c>
      <c r="D756" s="1" t="str">
        <f ca="1">IFERROR(__xludf.DUMMYFUNCTION("""COMPUTED_VALUE"""),"All/共用")</f>
        <v>All/共用</v>
      </c>
      <c r="E756" s="1" t="str">
        <f ca="1">IFERROR(__xludf.DUMMYFUNCTION("""COMPUTED_VALUE"""),"p2/庫存")</f>
        <v>p2/庫存</v>
      </c>
      <c r="F756" s="1">
        <f ca="1">IFERROR(__xludf.DUMMYFUNCTION("""COMPUTED_VALUE"""),1)</f>
        <v>1</v>
      </c>
      <c r="G756" s="1" t="str">
        <f ca="1">IFERROR(__xludf.DUMMYFUNCTION("""COMPUTED_VALUE"""),"R9PTC0SZP0E")</f>
        <v>R9PTC0SZP0E</v>
      </c>
      <c r="H756" s="1" t="str">
        <f ca="1">IFERROR(__xludf.DUMMYFUNCTION("""COMPUTED_VALUE"""),"P2")</f>
        <v>P2</v>
      </c>
      <c r="I756" s="1" t="str">
        <f ca="1">IFERROR(__xludf.DUMMYFUNCTION("""COMPUTED_VALUE"""),"Simon")</f>
        <v>Simon</v>
      </c>
    </row>
    <row r="757" spans="1:9" ht="12.7" x14ac:dyDescent="0.4">
      <c r="A757" s="2">
        <f ca="1">IFERROR(__xludf.DUMMYFUNCTION("""COMPUTED_VALUE"""),45616.6625273379)</f>
        <v>45616.662527337903</v>
      </c>
      <c r="B757" s="1" t="str">
        <f ca="1">IFERROR(__xludf.DUMMYFUNCTION("""COMPUTED_VALUE"""),"庫存調整")</f>
        <v>庫存調整</v>
      </c>
      <c r="C757" s="1" t="str">
        <f ca="1">IFERROR(__xludf.DUMMYFUNCTION("""COMPUTED_VALUE"""),"AGT000000005")</f>
        <v>AGT000000005</v>
      </c>
      <c r="D757" s="1" t="str">
        <f ca="1">IFERROR(__xludf.DUMMYFUNCTION("""COMPUTED_VALUE"""),"All/共用")</f>
        <v>All/共用</v>
      </c>
      <c r="E757" s="1" t="str">
        <f ca="1">IFERROR(__xludf.DUMMYFUNCTION("""COMPUTED_VALUE"""),"p1/庫存")</f>
        <v>p1/庫存</v>
      </c>
      <c r="F757" s="1">
        <f ca="1">IFERROR(__xludf.DUMMYFUNCTION("""COMPUTED_VALUE"""),2)</f>
        <v>2</v>
      </c>
      <c r="G757" s="1"/>
      <c r="H757" s="1" t="str">
        <f ca="1">IFERROR(__xludf.DUMMYFUNCTION("""COMPUTED_VALUE"""),"P1")</f>
        <v>P1</v>
      </c>
      <c r="I757" s="1" t="str">
        <f ca="1">IFERROR(__xludf.DUMMYFUNCTION("""COMPUTED_VALUE"""),"Simon")</f>
        <v>Simon</v>
      </c>
    </row>
    <row r="758" spans="1:9" ht="12.7" x14ac:dyDescent="0.4">
      <c r="A758" s="2">
        <f ca="1">IFERROR(__xludf.DUMMYFUNCTION("""COMPUTED_VALUE"""),45616.6636620949)</f>
        <v>45616.663662094899</v>
      </c>
      <c r="B758" s="1" t="str">
        <f ca="1">IFERROR(__xludf.DUMMYFUNCTION("""COMPUTED_VALUE"""),"庫存調整")</f>
        <v>庫存調整</v>
      </c>
      <c r="C758" s="1" t="str">
        <f ca="1">IFERROR(__xludf.DUMMYFUNCTION("""COMPUTED_VALUE"""),"ME0060000278")</f>
        <v>ME0060000278</v>
      </c>
      <c r="D758" s="1" t="str">
        <f ca="1">IFERROR(__xludf.DUMMYFUNCTION("""COMPUTED_VALUE"""),"All/共用")</f>
        <v>All/共用</v>
      </c>
      <c r="E758" s="1" t="str">
        <f ca="1">IFERROR(__xludf.DUMMYFUNCTION("""COMPUTED_VALUE"""),"p1/庫存")</f>
        <v>p1/庫存</v>
      </c>
      <c r="F758" s="1">
        <f ca="1">IFERROR(__xludf.DUMMYFUNCTION("""COMPUTED_VALUE"""),2)</f>
        <v>2</v>
      </c>
      <c r="G758" s="1"/>
      <c r="H758" s="1" t="str">
        <f ca="1">IFERROR(__xludf.DUMMYFUNCTION("""COMPUTED_VALUE"""),"P1")</f>
        <v>P1</v>
      </c>
      <c r="I758" s="1" t="str">
        <f ca="1">IFERROR(__xludf.DUMMYFUNCTION("""COMPUTED_VALUE"""),"Simon")</f>
        <v>Simon</v>
      </c>
    </row>
    <row r="759" spans="1:9" ht="12.7" x14ac:dyDescent="0.4">
      <c r="A759" s="2">
        <f ca="1">IFERROR(__xludf.DUMMYFUNCTION("""COMPUTED_VALUE"""),45616.6658145486)</f>
        <v>45616.6658145486</v>
      </c>
      <c r="B759" s="1" t="str">
        <f ca="1">IFERROR(__xludf.DUMMYFUNCTION("""COMPUTED_VALUE"""),"領料")</f>
        <v>領料</v>
      </c>
      <c r="C759" s="1" t="str">
        <f ca="1">IFERROR(__xludf.DUMMYFUNCTION("""COMPUTED_VALUE"""),"ME0280000080")</f>
        <v>ME0280000080</v>
      </c>
      <c r="D759" s="1" t="str">
        <f ca="1">IFERROR(__xludf.DUMMYFUNCTION("""COMPUTED_VALUE"""),"All/RL")</f>
        <v>All/RL</v>
      </c>
      <c r="E759" s="1" t="str">
        <f ca="1">IFERROR(__xludf.DUMMYFUNCTION("""COMPUTED_VALUE"""),"p2/庫存")</f>
        <v>p2/庫存</v>
      </c>
      <c r="F759" s="1">
        <f ca="1">IFERROR(__xludf.DUMMYFUNCTION("""COMPUTED_VALUE"""),2)</f>
        <v>2</v>
      </c>
      <c r="G759" s="1"/>
      <c r="H759" s="1" t="str">
        <f ca="1">IFERROR(__xludf.DUMMYFUNCTION("""COMPUTED_VALUE"""),"P2_1001")</f>
        <v>P2_1001</v>
      </c>
      <c r="I759" s="1" t="str">
        <f ca="1">IFERROR(__xludf.DUMMYFUNCTION("""COMPUTED_VALUE"""),"Simon")</f>
        <v>Simon</v>
      </c>
    </row>
    <row r="760" spans="1:9" ht="12.7" x14ac:dyDescent="0.4">
      <c r="A760" s="2">
        <f ca="1">IFERROR(__xludf.DUMMYFUNCTION("""COMPUTED_VALUE"""),45616.6669528356)</f>
        <v>45616.6669528356</v>
      </c>
      <c r="B760" s="1" t="str">
        <f ca="1">IFERROR(__xludf.DUMMYFUNCTION("""COMPUTED_VALUE"""),"領料")</f>
        <v>領料</v>
      </c>
      <c r="C760" s="1" t="str">
        <f ca="1">IFERROR(__xludf.DUMMYFUNCTION("""COMPUTED_VALUE"""),"ME0280000080")</f>
        <v>ME0280000080</v>
      </c>
      <c r="D760" s="1" t="str">
        <f ca="1">IFERROR(__xludf.DUMMYFUNCTION("""COMPUTED_VALUE"""),"All/RL")</f>
        <v>All/RL</v>
      </c>
      <c r="E760" s="1" t="str">
        <f ca="1">IFERROR(__xludf.DUMMYFUNCTION("""COMPUTED_VALUE"""),"p2/庫存")</f>
        <v>p2/庫存</v>
      </c>
      <c r="F760" s="1">
        <f ca="1">IFERROR(__xludf.DUMMYFUNCTION("""COMPUTED_VALUE"""),2)</f>
        <v>2</v>
      </c>
      <c r="G760" s="1"/>
      <c r="H760" s="1" t="str">
        <f ca="1">IFERROR(__xludf.DUMMYFUNCTION("""COMPUTED_VALUE"""),"P2_1002")</f>
        <v>P2_1002</v>
      </c>
      <c r="I760" s="1" t="str">
        <f ca="1">IFERROR(__xludf.DUMMYFUNCTION("""COMPUTED_VALUE"""),"Simon")</f>
        <v>Simon</v>
      </c>
    </row>
    <row r="761" spans="1:9" ht="12.7" x14ac:dyDescent="0.4">
      <c r="A761" s="2">
        <f ca="1">IFERROR(__xludf.DUMMYFUNCTION("""COMPUTED_VALUE"""),45616.7596565162)</f>
        <v>45616.759656516202</v>
      </c>
      <c r="B761" s="1" t="str">
        <f ca="1">IFERROR(__xludf.DUMMYFUNCTION("""COMPUTED_VALUE"""),"領料")</f>
        <v>領料</v>
      </c>
      <c r="C761" s="1" t="str">
        <f ca="1">IFERROR(__xludf.DUMMYFUNCTION("""COMPUTED_VALUE"""),"MM0260000249")</f>
        <v>MM0260000249</v>
      </c>
      <c r="D761" s="1" t="str">
        <f ca="1">IFERROR(__xludf.DUMMYFUNCTION("""COMPUTED_VALUE"""),"All/RL")</f>
        <v>All/RL</v>
      </c>
      <c r="E761" s="1" t="str">
        <f ca="1">IFERROR(__xludf.DUMMYFUNCTION("""COMPUTED_VALUE"""),"p2/庫存")</f>
        <v>p2/庫存</v>
      </c>
      <c r="F761" s="1">
        <f ca="1">IFERROR(__xludf.DUMMYFUNCTION("""COMPUTED_VALUE"""),2)</f>
        <v>2</v>
      </c>
      <c r="G761" s="1"/>
      <c r="H761" s="1" t="str">
        <f ca="1">IFERROR(__xludf.DUMMYFUNCTION("""COMPUTED_VALUE"""),"P2_055")</f>
        <v>P2_055</v>
      </c>
      <c r="I761" s="1" t="str">
        <f ca="1">IFERROR(__xludf.DUMMYFUNCTION("""COMPUTED_VALUE"""),"Jason")</f>
        <v>Jason</v>
      </c>
    </row>
    <row r="762" spans="1:9" ht="12.7" x14ac:dyDescent="0.4">
      <c r="A762" s="2">
        <f ca="1">IFERROR(__xludf.DUMMYFUNCTION("""COMPUTED_VALUE"""),45621.7306557638)</f>
        <v>45621.7306557638</v>
      </c>
      <c r="B762" s="1" t="str">
        <f ca="1">IFERROR(__xludf.DUMMYFUNCTION("""COMPUTED_VALUE"""),"返修")</f>
        <v>返修</v>
      </c>
      <c r="C762" s="1" t="str">
        <f ca="1">IFERROR(__xludf.DUMMYFUNCTION("""COMPUTED_VALUE"""),"ME0020000525")</f>
        <v>ME0020000525</v>
      </c>
      <c r="D762" s="1" t="str">
        <f ca="1">IFERROR(__xludf.DUMMYFUNCTION("""COMPUTED_VALUE"""),"All/共用")</f>
        <v>All/共用</v>
      </c>
      <c r="E762" s="1" t="str">
        <f ca="1">IFERROR(__xludf.DUMMYFUNCTION("""COMPUTED_VALUE"""),"p1/庫存")</f>
        <v>p1/庫存</v>
      </c>
      <c r="F762" s="1">
        <f ca="1">IFERROR(__xludf.DUMMYFUNCTION("""COMPUTED_VALUE"""),1)</f>
        <v>1</v>
      </c>
      <c r="G762" s="1" t="str">
        <f ca="1">IFERROR(__xludf.DUMMYFUNCTION("""COMPUTED_VALUE"""),"2141E5D96EF6")</f>
        <v>2141E5D96EF6</v>
      </c>
      <c r="H762" s="1" t="str">
        <f ca="1">IFERROR(__xludf.DUMMYFUNCTION("""COMPUTED_VALUE"""),"P1")</f>
        <v>P1</v>
      </c>
      <c r="I762" s="1" t="str">
        <f ca="1">IFERROR(__xludf.DUMMYFUNCTION("""COMPUTED_VALUE"""),"Simon")</f>
        <v>Simon</v>
      </c>
    </row>
    <row r="763" spans="1:9" ht="12.7" x14ac:dyDescent="0.4">
      <c r="A763" s="2">
        <f ca="1">IFERROR(__xludf.DUMMYFUNCTION("""COMPUTED_VALUE"""),45622.2214455092)</f>
        <v>45622.221445509203</v>
      </c>
      <c r="B763" s="1" t="str">
        <f ca="1">IFERROR(__xludf.DUMMYFUNCTION("""COMPUTED_VALUE"""),"領料")</f>
        <v>領料</v>
      </c>
      <c r="C763" s="1" t="str">
        <f ca="1">IFERROR(__xludf.DUMMYFUNCTION("""COMPUTED_VALUE"""),"ME0120000048")</f>
        <v>ME0120000048</v>
      </c>
      <c r="D763" s="1" t="str">
        <f ca="1">IFERROR(__xludf.DUMMYFUNCTION("""COMPUTED_VALUE"""),"All/共用")</f>
        <v>All/共用</v>
      </c>
      <c r="E763" s="1" t="str">
        <f ca="1">IFERROR(__xludf.DUMMYFUNCTION("""COMPUTED_VALUE"""),"p2/庫存")</f>
        <v>p2/庫存</v>
      </c>
      <c r="F763" s="1">
        <f ca="1">IFERROR(__xludf.DUMMYFUNCTION("""COMPUTED_VALUE"""),6)</f>
        <v>6</v>
      </c>
      <c r="G763" s="1"/>
      <c r="H763" s="1" t="str">
        <f ca="1">IFERROR(__xludf.DUMMYFUNCTION("""COMPUTED_VALUE"""),"P2")</f>
        <v>P2</v>
      </c>
      <c r="I763" s="1" t="str">
        <f ca="1">IFERROR(__xludf.DUMMYFUNCTION("""COMPUTED_VALUE"""),"Barry")</f>
        <v>Barry</v>
      </c>
    </row>
    <row r="764" spans="1:9" ht="12.7" x14ac:dyDescent="0.4">
      <c r="A764" s="2">
        <f ca="1">IFERROR(__xludf.DUMMYFUNCTION("""COMPUTED_VALUE"""),45625.7584595833)</f>
        <v>45625.758459583303</v>
      </c>
      <c r="B764" s="1" t="str">
        <f ca="1">IFERROR(__xludf.DUMMYFUNCTION("""COMPUTED_VALUE"""),"庫存調整")</f>
        <v>庫存調整</v>
      </c>
      <c r="C764" s="1" t="str">
        <f ca="1">IFERROR(__xludf.DUMMYFUNCTION("""COMPUTED_VALUE"""),"ME0160000073")</f>
        <v>ME0160000073</v>
      </c>
      <c r="D764" s="1" t="str">
        <f ca="1">IFERROR(__xludf.DUMMYFUNCTION("""COMPUTED_VALUE"""),"All/BA")</f>
        <v>All/BA</v>
      </c>
      <c r="E764" s="1" t="str">
        <f ca="1">IFERROR(__xludf.DUMMYFUNCTION("""COMPUTED_VALUE"""),"p1/庫存")</f>
        <v>p1/庫存</v>
      </c>
      <c r="F764" s="1">
        <f ca="1">IFERROR(__xludf.DUMMYFUNCTION("""COMPUTED_VALUE"""),-1)</f>
        <v>-1</v>
      </c>
      <c r="G764" s="1"/>
      <c r="H764" s="1" t="str">
        <f ca="1">IFERROR(__xludf.DUMMYFUNCTION("""COMPUTED_VALUE"""),"P1")</f>
        <v>P1</v>
      </c>
      <c r="I764" s="1" t="str">
        <f ca="1">IFERROR(__xludf.DUMMYFUNCTION("""COMPUTED_VALUE"""),"Chiao Yu")</f>
        <v>Chiao Yu</v>
      </c>
    </row>
    <row r="765" spans="1:9" ht="12.7" x14ac:dyDescent="0.4">
      <c r="A765" s="2">
        <f ca="1">IFERROR(__xludf.DUMMYFUNCTION("""COMPUTED_VALUE"""),45625.7587586805)</f>
        <v>45625.758758680502</v>
      </c>
      <c r="B765" s="1" t="str">
        <f ca="1">IFERROR(__xludf.DUMMYFUNCTION("""COMPUTED_VALUE"""),"庫存調整")</f>
        <v>庫存調整</v>
      </c>
      <c r="C765" s="1" t="str">
        <f ca="1">IFERROR(__xludf.DUMMYFUNCTION("""COMPUTED_VALUE"""),"ME0160000073")</f>
        <v>ME0160000073</v>
      </c>
      <c r="D765" s="1" t="str">
        <f ca="1">IFERROR(__xludf.DUMMYFUNCTION("""COMPUTED_VALUE"""),"All/BA")</f>
        <v>All/BA</v>
      </c>
      <c r="E765" s="1" t="str">
        <f ca="1">IFERROR(__xludf.DUMMYFUNCTION("""COMPUTED_VALUE"""),"p2/庫存")</f>
        <v>p2/庫存</v>
      </c>
      <c r="F765" s="1">
        <f ca="1">IFERROR(__xludf.DUMMYFUNCTION("""COMPUTED_VALUE"""),1)</f>
        <v>1</v>
      </c>
      <c r="G765" s="1"/>
      <c r="H765" s="1" t="str">
        <f ca="1">IFERROR(__xludf.DUMMYFUNCTION("""COMPUTED_VALUE"""),"P2")</f>
        <v>P2</v>
      </c>
      <c r="I765" s="1" t="str">
        <f ca="1">IFERROR(__xludf.DUMMYFUNCTION("""COMPUTED_VALUE"""),"Chiao Yu")</f>
        <v>Chiao Yu</v>
      </c>
    </row>
    <row r="766" spans="1:9" ht="12.7" x14ac:dyDescent="0.4">
      <c r="A766" s="2">
        <f ca="1">IFERROR(__xludf.DUMMYFUNCTION("""COMPUTED_VALUE"""),45628.4197536226)</f>
        <v>45628.419753622598</v>
      </c>
      <c r="B766" s="1" t="str">
        <f ca="1">IFERROR(__xludf.DUMMYFUNCTION("""COMPUTED_VALUE"""),"返修")</f>
        <v>返修</v>
      </c>
      <c r="C766" s="1" t="str">
        <f ca="1">IFERROR(__xludf.DUMMYFUNCTION("""COMPUTED_VALUE"""),"A00100000731")</f>
        <v>A00100000731</v>
      </c>
      <c r="D766" s="1" t="str">
        <f ca="1">IFERROR(__xludf.DUMMYFUNCTION("""COMPUTED_VALUE"""),"All/BA")</f>
        <v>All/BA</v>
      </c>
      <c r="E766" s="1" t="str">
        <f ca="1">IFERROR(__xludf.DUMMYFUNCTION("""COMPUTED_VALUE"""),"p1/庫存")</f>
        <v>p1/庫存</v>
      </c>
      <c r="F766" s="1">
        <f ca="1">IFERROR(__xludf.DUMMYFUNCTION("""COMPUTED_VALUE"""),1)</f>
        <v>1</v>
      </c>
      <c r="G766" s="1" t="str">
        <f ca="1">IFERROR(__xludf.DUMMYFUNCTION("""COMPUTED_VALUE"""),"05F138")</f>
        <v>05F138</v>
      </c>
      <c r="H766" s="1" t="str">
        <f ca="1">IFERROR(__xludf.DUMMYFUNCTION("""COMPUTED_VALUE"""),"P1")</f>
        <v>P1</v>
      </c>
      <c r="I766" s="1" t="str">
        <f ca="1">IFERROR(__xludf.DUMMYFUNCTION("""COMPUTED_VALUE"""),"Chiao Yu")</f>
        <v>Chiao Yu</v>
      </c>
    </row>
    <row r="767" spans="1:9" ht="12.7" x14ac:dyDescent="0.4">
      <c r="A767" s="2">
        <f ca="1">IFERROR(__xludf.DUMMYFUNCTION("""COMPUTED_VALUE"""),45628.4229271643)</f>
        <v>45628.422927164298</v>
      </c>
      <c r="B767" s="1" t="str">
        <f ca="1">IFERROR(__xludf.DUMMYFUNCTION("""COMPUTED_VALUE"""),"返修")</f>
        <v>返修</v>
      </c>
      <c r="C767" s="1" t="str">
        <f ca="1">IFERROR(__xludf.DUMMYFUNCTION("""COMPUTED_VALUE"""),"A00100000731")</f>
        <v>A00100000731</v>
      </c>
      <c r="D767" s="1" t="str">
        <f ca="1">IFERROR(__xludf.DUMMYFUNCTION("""COMPUTED_VALUE"""),"All/BA")</f>
        <v>All/BA</v>
      </c>
      <c r="E767" s="1" t="str">
        <f ca="1">IFERROR(__xludf.DUMMYFUNCTION("""COMPUTED_VALUE"""),"p1/庫存")</f>
        <v>p1/庫存</v>
      </c>
      <c r="F767" s="1">
        <f ca="1">IFERROR(__xludf.DUMMYFUNCTION("""COMPUTED_VALUE"""),1)</f>
        <v>1</v>
      </c>
      <c r="G767" s="1" t="str">
        <f ca="1">IFERROR(__xludf.DUMMYFUNCTION("""COMPUTED_VALUE"""),"10F584")</f>
        <v>10F584</v>
      </c>
      <c r="H767" s="1" t="str">
        <f ca="1">IFERROR(__xludf.DUMMYFUNCTION("""COMPUTED_VALUE"""),"P1")</f>
        <v>P1</v>
      </c>
      <c r="I767" s="1" t="str">
        <f ca="1">IFERROR(__xludf.DUMMYFUNCTION("""COMPUTED_VALUE"""),"Chiao Yu")</f>
        <v>Chiao Yu</v>
      </c>
    </row>
    <row r="768" spans="1:9" ht="12.7" x14ac:dyDescent="0.4">
      <c r="A768" s="2">
        <f ca="1">IFERROR(__xludf.DUMMYFUNCTION("""COMPUTED_VALUE"""),45630.3510246412)</f>
        <v>45630.351024641197</v>
      </c>
      <c r="B768" s="1" t="str">
        <f ca="1">IFERROR(__xludf.DUMMYFUNCTION("""COMPUTED_VALUE"""),"送修")</f>
        <v>送修</v>
      </c>
      <c r="C768" s="1" t="str">
        <f ca="1">IFERROR(__xludf.DUMMYFUNCTION("""COMPUTED_VALUE"""),"A00100000731")</f>
        <v>A00100000731</v>
      </c>
      <c r="D768" s="1" t="str">
        <f ca="1">IFERROR(__xludf.DUMMYFUNCTION("""COMPUTED_VALUE"""),"All/BA")</f>
        <v>All/BA</v>
      </c>
      <c r="E768" s="1" t="str">
        <f ca="1">IFERROR(__xludf.DUMMYFUNCTION("""COMPUTED_VALUE"""),"p1/庫存")</f>
        <v>p1/庫存</v>
      </c>
      <c r="F768" s="1">
        <f ca="1">IFERROR(__xludf.DUMMYFUNCTION("""COMPUTED_VALUE"""),1)</f>
        <v>1</v>
      </c>
      <c r="G768" s="1" t="str">
        <f ca="1">IFERROR(__xludf.DUMMYFUNCTION("""COMPUTED_VALUE"""),"06F338")</f>
        <v>06F338</v>
      </c>
      <c r="H768" s="1" t="str">
        <f ca="1">IFERROR(__xludf.DUMMYFUNCTION("""COMPUTED_VALUE"""),"P1_002")</f>
        <v>P1_002</v>
      </c>
      <c r="I768" s="1" t="str">
        <f ca="1">IFERROR(__xludf.DUMMYFUNCTION("""COMPUTED_VALUE"""),"Jason")</f>
        <v>Jason</v>
      </c>
    </row>
    <row r="769" spans="1:9" ht="12.7" x14ac:dyDescent="0.4">
      <c r="A769" s="2">
        <f ca="1">IFERROR(__xludf.DUMMYFUNCTION("""COMPUTED_VALUE"""),45630.3535198726)</f>
        <v>45630.353519872602</v>
      </c>
      <c r="B769" s="1" t="str">
        <f ca="1">IFERROR(__xludf.DUMMYFUNCTION("""COMPUTED_VALUE"""),"料件上線時間")</f>
        <v>料件上線時間</v>
      </c>
      <c r="C769" s="1" t="str">
        <f ca="1">IFERROR(__xludf.DUMMYFUNCTION("""COMPUTED_VALUE"""),"A00100000731")</f>
        <v>A00100000731</v>
      </c>
      <c r="D769" s="1" t="str">
        <f ca="1">IFERROR(__xludf.DUMMYFUNCTION("""COMPUTED_VALUE"""),"All/BA")</f>
        <v>All/BA</v>
      </c>
      <c r="E769" s="1" t="str">
        <f ca="1">IFERROR(__xludf.DUMMYFUNCTION("""COMPUTED_VALUE"""),"p2/庫存")</f>
        <v>p2/庫存</v>
      </c>
      <c r="F769" s="1">
        <f ca="1">IFERROR(__xludf.DUMMYFUNCTION("""COMPUTED_VALUE"""),1)</f>
        <v>1</v>
      </c>
      <c r="G769" s="1" t="str">
        <f ca="1">IFERROR(__xludf.DUMMYFUNCTION("""COMPUTED_VALUE"""),"10F584")</f>
        <v>10F584</v>
      </c>
      <c r="H769" s="1" t="str">
        <f ca="1">IFERROR(__xludf.DUMMYFUNCTION("""COMPUTED_VALUE"""),"P1_002")</f>
        <v>P1_002</v>
      </c>
      <c r="I769" s="1" t="str">
        <f ca="1">IFERROR(__xludf.DUMMYFUNCTION("""COMPUTED_VALUE"""),"Barry")</f>
        <v>Barry</v>
      </c>
    </row>
    <row r="770" spans="1:9" ht="12.7" x14ac:dyDescent="0.4">
      <c r="A770" s="2">
        <f ca="1">IFERROR(__xludf.DUMMYFUNCTION("""COMPUTED_VALUE"""),45632.6889388078)</f>
        <v>45632.688938807798</v>
      </c>
      <c r="B770" s="1" t="str">
        <f ca="1">IFERROR(__xludf.DUMMYFUNCTION("""COMPUTED_VALUE"""),"庫存調整")</f>
        <v>庫存調整</v>
      </c>
      <c r="C770" s="1" t="str">
        <f ca="1">IFERROR(__xludf.DUMMYFUNCTION("""COMPUTED_VALUE"""),"ME0120000230")</f>
        <v>ME0120000230</v>
      </c>
      <c r="D770" s="1" t="str">
        <f ca="1">IFERROR(__xludf.DUMMYFUNCTION("""COMPUTED_VALUE"""),"All/共用")</f>
        <v>All/共用</v>
      </c>
      <c r="E770" s="1" t="str">
        <f ca="1">IFERROR(__xludf.DUMMYFUNCTION("""COMPUTED_VALUE"""),"p2/庫存")</f>
        <v>p2/庫存</v>
      </c>
      <c r="F770" s="1">
        <f ca="1">IFERROR(__xludf.DUMMYFUNCTION("""COMPUTED_VALUE"""),1)</f>
        <v>1</v>
      </c>
      <c r="G770" s="1"/>
      <c r="H770" s="1" t="str">
        <f ca="1">IFERROR(__xludf.DUMMYFUNCTION("""COMPUTED_VALUE"""),"P2")</f>
        <v>P2</v>
      </c>
      <c r="I770" s="1" t="str">
        <f ca="1">IFERROR(__xludf.DUMMYFUNCTION("""COMPUTED_VALUE"""),"Chiao Yu")</f>
        <v>Chiao Yu</v>
      </c>
    </row>
    <row r="771" spans="1:9" ht="12.7" x14ac:dyDescent="0.4">
      <c r="A771" s="2">
        <f ca="1">IFERROR(__xludf.DUMMYFUNCTION("""COMPUTED_VALUE"""),45632.6896518634)</f>
        <v>45632.689651863402</v>
      </c>
      <c r="B771" s="1" t="str">
        <f ca="1">IFERROR(__xludf.DUMMYFUNCTION("""COMPUTED_VALUE"""),"庫存調整")</f>
        <v>庫存調整</v>
      </c>
      <c r="C771" s="1" t="str">
        <f ca="1">IFERROR(__xludf.DUMMYFUNCTION("""COMPUTED_VALUE"""),"ME0270001045")</f>
        <v>ME0270001045</v>
      </c>
      <c r="D771" s="1" t="str">
        <f ca="1">IFERROR(__xludf.DUMMYFUNCTION("""COMPUTED_VALUE"""),"All/共用")</f>
        <v>All/共用</v>
      </c>
      <c r="E771" s="1" t="str">
        <f ca="1">IFERROR(__xludf.DUMMYFUNCTION("""COMPUTED_VALUE"""),"p2/庫存")</f>
        <v>p2/庫存</v>
      </c>
      <c r="F771" s="1">
        <f ca="1">IFERROR(__xludf.DUMMYFUNCTION("""COMPUTED_VALUE"""),2)</f>
        <v>2</v>
      </c>
      <c r="G771" s="1"/>
      <c r="H771" s="1" t="str">
        <f ca="1">IFERROR(__xludf.DUMMYFUNCTION("""COMPUTED_VALUE"""),"P2")</f>
        <v>P2</v>
      </c>
      <c r="I771" s="1" t="str">
        <f ca="1">IFERROR(__xludf.DUMMYFUNCTION("""COMPUTED_VALUE"""),"Chiao Yu")</f>
        <v>Chiao Yu</v>
      </c>
    </row>
    <row r="772" spans="1:9" ht="12.7" x14ac:dyDescent="0.4">
      <c r="A772" s="2">
        <f ca="1">IFERROR(__xludf.DUMMYFUNCTION("""COMPUTED_VALUE"""),45632.6905051736)</f>
        <v>45632.690505173603</v>
      </c>
      <c r="B772" s="1" t="str">
        <f ca="1">IFERROR(__xludf.DUMMYFUNCTION("""COMPUTED_VALUE"""),"庫存調整")</f>
        <v>庫存調整</v>
      </c>
      <c r="C772" s="1" t="str">
        <f ca="1">IFERROR(__xludf.DUMMYFUNCTION("""COMPUTED_VALUE"""),"ME0060000270")</f>
        <v>ME0060000270</v>
      </c>
      <c r="D772" s="1" t="str">
        <f ca="1">IFERROR(__xludf.DUMMYFUNCTION("""COMPUTED_VALUE"""),"All/共用")</f>
        <v>All/共用</v>
      </c>
      <c r="E772" s="1" t="str">
        <f ca="1">IFERROR(__xludf.DUMMYFUNCTION("""COMPUTED_VALUE"""),"p2/庫存")</f>
        <v>p2/庫存</v>
      </c>
      <c r="F772" s="1">
        <f ca="1">IFERROR(__xludf.DUMMYFUNCTION("""COMPUTED_VALUE"""),4)</f>
        <v>4</v>
      </c>
      <c r="G772" s="1"/>
      <c r="H772" s="1" t="str">
        <f ca="1">IFERROR(__xludf.DUMMYFUNCTION("""COMPUTED_VALUE"""),"P2")</f>
        <v>P2</v>
      </c>
      <c r="I772" s="1" t="str">
        <f ca="1">IFERROR(__xludf.DUMMYFUNCTION("""COMPUTED_VALUE"""),"Chiao Yu")</f>
        <v>Chiao Yu</v>
      </c>
    </row>
    <row r="773" spans="1:9" ht="12.7" x14ac:dyDescent="0.4">
      <c r="A773" s="2">
        <f ca="1">IFERROR(__xludf.DUMMYFUNCTION("""COMPUTED_VALUE"""),45632.6943943287)</f>
        <v>45632.694394328697</v>
      </c>
      <c r="B773" s="1" t="str">
        <f ca="1">IFERROR(__xludf.DUMMYFUNCTION("""COMPUTED_VALUE"""),"庫存調整")</f>
        <v>庫存調整</v>
      </c>
      <c r="C773" s="1" t="str">
        <f ca="1">IFERROR(__xludf.DUMMYFUNCTION("""COMPUTED_VALUE"""),"MM0220000048")</f>
        <v>MM0220000048</v>
      </c>
      <c r="D773" s="1" t="str">
        <f ca="1">IFERROR(__xludf.DUMMYFUNCTION("""COMPUTED_VALUE"""),"All/共用")</f>
        <v>All/共用</v>
      </c>
      <c r="E773" s="1" t="str">
        <f ca="1">IFERROR(__xludf.DUMMYFUNCTION("""COMPUTED_VALUE"""),"p2/庫存")</f>
        <v>p2/庫存</v>
      </c>
      <c r="F773" s="1">
        <f ca="1">IFERROR(__xludf.DUMMYFUNCTION("""COMPUTED_VALUE"""),1)</f>
        <v>1</v>
      </c>
      <c r="G773" s="1"/>
      <c r="H773" s="1" t="str">
        <f ca="1">IFERROR(__xludf.DUMMYFUNCTION("""COMPUTED_VALUE"""),"P2")</f>
        <v>P2</v>
      </c>
      <c r="I773" s="1" t="str">
        <f ca="1">IFERROR(__xludf.DUMMYFUNCTION("""COMPUTED_VALUE"""),"Chiao Yu")</f>
        <v>Chiao Yu</v>
      </c>
    </row>
    <row r="774" spans="1:9" ht="12.7" x14ac:dyDescent="0.4">
      <c r="A774" s="2">
        <f ca="1">IFERROR(__xludf.DUMMYFUNCTION("""COMPUTED_VALUE"""),45635.2157724421)</f>
        <v>45635.215772442098</v>
      </c>
      <c r="B774" s="1" t="str">
        <f ca="1">IFERROR(__xludf.DUMMYFUNCTION("""COMPUTED_VALUE"""),"領料")</f>
        <v>領料</v>
      </c>
      <c r="C774" s="1" t="str">
        <f ca="1">IFERROR(__xludf.DUMMYFUNCTION("""COMPUTED_VALUE"""),"A00700000482")</f>
        <v>A00700000482</v>
      </c>
      <c r="D774" s="1" t="str">
        <f ca="1">IFERROR(__xludf.DUMMYFUNCTION("""COMPUTED_VALUE"""),"All/SB")</f>
        <v>All/SB</v>
      </c>
      <c r="E774" s="1" t="str">
        <f ca="1">IFERROR(__xludf.DUMMYFUNCTION("""COMPUTED_VALUE"""),"p2/庫存")</f>
        <v>p2/庫存</v>
      </c>
      <c r="F774" s="1">
        <f ca="1">IFERROR(__xludf.DUMMYFUNCTION("""COMPUTED_VALUE"""),2)</f>
        <v>2</v>
      </c>
      <c r="G774" s="1"/>
      <c r="H774" s="1" t="str">
        <f ca="1">IFERROR(__xludf.DUMMYFUNCTION("""COMPUTED_VALUE"""),"P2_7003")</f>
        <v>P2_7003</v>
      </c>
      <c r="I774" s="1" t="str">
        <f ca="1">IFERROR(__xludf.DUMMYFUNCTION("""COMPUTED_VALUE"""),"Jason")</f>
        <v>Jason</v>
      </c>
    </row>
    <row r="775" spans="1:9" ht="12.7" x14ac:dyDescent="0.4">
      <c r="A775" s="2">
        <f ca="1">IFERROR(__xludf.DUMMYFUNCTION("""COMPUTED_VALUE"""),45635.3834691088)</f>
        <v>45635.383469108798</v>
      </c>
      <c r="B775" s="1" t="str">
        <f ca="1">IFERROR(__xludf.DUMMYFUNCTION("""COMPUTED_VALUE"""),"領料")</f>
        <v>領料</v>
      </c>
      <c r="C775" s="1" t="str">
        <f ca="1">IFERROR(__xludf.DUMMYFUNCTION("""COMPUTED_VALUE"""),"ME0020000425")</f>
        <v>ME0020000425</v>
      </c>
      <c r="D775" s="1" t="str">
        <f ca="1">IFERROR(__xludf.DUMMYFUNCTION("""COMPUTED_VALUE"""),"All/共用")</f>
        <v>All/共用</v>
      </c>
      <c r="E775" s="1" t="str">
        <f ca="1">IFERROR(__xludf.DUMMYFUNCTION("""COMPUTED_VALUE"""),"p1/庫存")</f>
        <v>p1/庫存</v>
      </c>
      <c r="F775" s="1">
        <f ca="1">IFERROR(__xludf.DUMMYFUNCTION("""COMPUTED_VALUE"""),1)</f>
        <v>1</v>
      </c>
      <c r="G775" s="1"/>
      <c r="H775" s="1" t="str">
        <f ca="1">IFERROR(__xludf.DUMMYFUNCTION("""COMPUTED_VALUE"""),"P!")</f>
        <v>P!</v>
      </c>
      <c r="I775" s="1" t="str">
        <f ca="1">IFERROR(__xludf.DUMMYFUNCTION("""COMPUTED_VALUE"""),"Chiao Yu")</f>
        <v>Chiao Yu</v>
      </c>
    </row>
    <row r="776" spans="1:9" ht="12.7" x14ac:dyDescent="0.4">
      <c r="A776" s="2">
        <f ca="1">IFERROR(__xludf.DUMMYFUNCTION("""COMPUTED_VALUE"""),45639.3703000578)</f>
        <v>45639.370300057803</v>
      </c>
      <c r="B776" s="1" t="str">
        <f ca="1">IFERROR(__xludf.DUMMYFUNCTION("""COMPUTED_VALUE"""),"庫存調整")</f>
        <v>庫存調整</v>
      </c>
      <c r="C776" s="1" t="str">
        <f ca="1">IFERROR(__xludf.DUMMYFUNCTION("""COMPUTED_VALUE"""),"A00900000618")</f>
        <v>A00900000618</v>
      </c>
      <c r="D776" s="1" t="str">
        <f ca="1">IFERROR(__xludf.DUMMYFUNCTION("""COMPUTED_VALUE"""),"All/共用")</f>
        <v>All/共用</v>
      </c>
      <c r="E776" s="1" t="str">
        <f ca="1">IFERROR(__xludf.DUMMYFUNCTION("""COMPUTED_VALUE"""),"p1/庫存")</f>
        <v>p1/庫存</v>
      </c>
      <c r="F776" s="1">
        <f ca="1">IFERROR(__xludf.DUMMYFUNCTION("""COMPUTED_VALUE"""),-1)</f>
        <v>-1</v>
      </c>
      <c r="G776" s="1"/>
      <c r="H776" s="1" t="str">
        <f ca="1">IFERROR(__xludf.DUMMYFUNCTION("""COMPUTED_VALUE"""),"P1_3001")</f>
        <v>P1_3001</v>
      </c>
      <c r="I776" s="1" t="str">
        <f ca="1">IFERROR(__xludf.DUMMYFUNCTION("""COMPUTED_VALUE"""),"Simon")</f>
        <v>Simon</v>
      </c>
    </row>
    <row r="777" spans="1:9" ht="12.7" x14ac:dyDescent="0.4">
      <c r="A777" s="2">
        <f ca="1">IFERROR(__xludf.DUMMYFUNCTION("""COMPUTED_VALUE"""),45639.6931479861)</f>
        <v>45639.693147986101</v>
      </c>
      <c r="B777" s="1" t="str">
        <f ca="1">IFERROR(__xludf.DUMMYFUNCTION("""COMPUTED_VALUE"""),"進貨")</f>
        <v>進貨</v>
      </c>
      <c r="C777" s="1" t="str">
        <f ca="1">IFERROR(__xludf.DUMMYFUNCTION("""COMPUTED_VALUE"""),"A00700000825")</f>
        <v>A00700000825</v>
      </c>
      <c r="D777" s="1" t="str">
        <f ca="1">IFERROR(__xludf.DUMMYFUNCTION("""COMPUTED_VALUE"""),"All/RL")</f>
        <v>All/RL</v>
      </c>
      <c r="E777" s="1" t="str">
        <f ca="1">IFERROR(__xludf.DUMMYFUNCTION("""COMPUTED_VALUE"""),"p2/庫存")</f>
        <v>p2/庫存</v>
      </c>
      <c r="F777" s="1">
        <f ca="1">IFERROR(__xludf.DUMMYFUNCTION("""COMPUTED_VALUE"""),1)</f>
        <v>1</v>
      </c>
      <c r="G777" s="1"/>
      <c r="H777" s="1" t="str">
        <f ca="1">IFERROR(__xludf.DUMMYFUNCTION("""COMPUTED_VALUE"""),"P2")</f>
        <v>P2</v>
      </c>
      <c r="I777" s="1" t="str">
        <f ca="1">IFERROR(__xludf.DUMMYFUNCTION("""COMPUTED_VALUE"""),"Chiao Yu")</f>
        <v>Chiao Yu</v>
      </c>
    </row>
    <row r="778" spans="1:9" ht="12.7" x14ac:dyDescent="0.4">
      <c r="A778" s="2">
        <f ca="1">IFERROR(__xludf.DUMMYFUNCTION("""COMPUTED_VALUE"""),45639.694460706)</f>
        <v>45639.694460706</v>
      </c>
      <c r="B778" s="1" t="str">
        <f ca="1">IFERROR(__xludf.DUMMYFUNCTION("""COMPUTED_VALUE"""),"進貨")</f>
        <v>進貨</v>
      </c>
      <c r="C778" s="1" t="str">
        <f ca="1">IFERROR(__xludf.DUMMYFUNCTION("""COMPUTED_VALUE"""),"A00700000837")</f>
        <v>A00700000837</v>
      </c>
      <c r="D778" s="1" t="str">
        <f ca="1">IFERROR(__xludf.DUMMYFUNCTION("""COMPUTED_VALUE"""),"All/COLOR")</f>
        <v>All/COLOR</v>
      </c>
      <c r="E778" s="1" t="str">
        <f ca="1">IFERROR(__xludf.DUMMYFUNCTION("""COMPUTED_VALUE"""),"p2/庫存")</f>
        <v>p2/庫存</v>
      </c>
      <c r="F778" s="1">
        <f ca="1">IFERROR(__xludf.DUMMYFUNCTION("""COMPUTED_VALUE"""),5)</f>
        <v>5</v>
      </c>
      <c r="G778" s="1"/>
      <c r="H778" s="1" t="str">
        <f ca="1">IFERROR(__xludf.DUMMYFUNCTION("""COMPUTED_VALUE"""),"P2")</f>
        <v>P2</v>
      </c>
      <c r="I778" s="1" t="str">
        <f ca="1">IFERROR(__xludf.DUMMYFUNCTION("""COMPUTED_VALUE"""),"Chiao Yu")</f>
        <v>Chiao Yu</v>
      </c>
    </row>
    <row r="779" spans="1:9" ht="12.7" x14ac:dyDescent="0.4">
      <c r="A779" s="2">
        <f ca="1">IFERROR(__xludf.DUMMYFUNCTION("""COMPUTED_VALUE"""),45639.695596331)</f>
        <v>45639.695596331003</v>
      </c>
      <c r="B779" s="1" t="str">
        <f ca="1">IFERROR(__xludf.DUMMYFUNCTION("""COMPUTED_VALUE"""),"進貨")</f>
        <v>進貨</v>
      </c>
      <c r="C779" s="1" t="str">
        <f ca="1">IFERROR(__xludf.DUMMYFUNCTION("""COMPUTED_VALUE"""),"ME028000080")</f>
        <v>ME028000080</v>
      </c>
      <c r="D779" s="1" t="str">
        <f ca="1">IFERROR(__xludf.DUMMYFUNCTION("""COMPUTED_VALUE"""),"All/RL")</f>
        <v>All/RL</v>
      </c>
      <c r="E779" s="1" t="str">
        <f ca="1">IFERROR(__xludf.DUMMYFUNCTION("""COMPUTED_VALUE"""),"p2/庫存")</f>
        <v>p2/庫存</v>
      </c>
      <c r="F779" s="1">
        <f ca="1">IFERROR(__xludf.DUMMYFUNCTION("""COMPUTED_VALUE"""),2)</f>
        <v>2</v>
      </c>
      <c r="G779" s="1"/>
      <c r="H779" s="1" t="str">
        <f ca="1">IFERROR(__xludf.DUMMYFUNCTION("""COMPUTED_VALUE"""),"P2")</f>
        <v>P2</v>
      </c>
      <c r="I779" s="1" t="str">
        <f ca="1">IFERROR(__xludf.DUMMYFUNCTION("""COMPUTED_VALUE"""),"Chiao Yu")</f>
        <v>Chiao Yu</v>
      </c>
    </row>
    <row r="780" spans="1:9" ht="12.7" x14ac:dyDescent="0.4">
      <c r="A780" s="2">
        <f ca="1">IFERROR(__xludf.DUMMYFUNCTION("""COMPUTED_VALUE"""),45639.6965056944)</f>
        <v>45639.696505694403</v>
      </c>
      <c r="B780" s="1" t="str">
        <f ca="1">IFERROR(__xludf.DUMMYFUNCTION("""COMPUTED_VALUE"""),"進貨")</f>
        <v>進貨</v>
      </c>
      <c r="C780" s="1" t="str">
        <f ca="1">IFERROR(__xludf.DUMMYFUNCTION("""COMPUTED_VALUE"""),"MM0260000199")</f>
        <v>MM0260000199</v>
      </c>
      <c r="D780" s="1" t="str">
        <f ca="1">IFERROR(__xludf.DUMMYFUNCTION("""COMPUTED_VALUE"""),"All/RL")</f>
        <v>All/RL</v>
      </c>
      <c r="E780" s="1" t="str">
        <f ca="1">IFERROR(__xludf.DUMMYFUNCTION("""COMPUTED_VALUE"""),"p2/庫存")</f>
        <v>p2/庫存</v>
      </c>
      <c r="F780" s="1">
        <f ca="1">IFERROR(__xludf.DUMMYFUNCTION("""COMPUTED_VALUE"""),3)</f>
        <v>3</v>
      </c>
      <c r="G780" s="1"/>
      <c r="H780" s="1" t="str">
        <f ca="1">IFERROR(__xludf.DUMMYFUNCTION("""COMPUTED_VALUE"""),"P2")</f>
        <v>P2</v>
      </c>
      <c r="I780" s="1" t="str">
        <f ca="1">IFERROR(__xludf.DUMMYFUNCTION("""COMPUTED_VALUE"""),"Chiao Yu")</f>
        <v>Chiao Yu</v>
      </c>
    </row>
    <row r="781" spans="1:9" ht="12.7" x14ac:dyDescent="0.4">
      <c r="A781" s="2">
        <f ca="1">IFERROR(__xludf.DUMMYFUNCTION("""COMPUTED_VALUE"""),45639.6971968171)</f>
        <v>45639.697196817098</v>
      </c>
      <c r="B781" s="1" t="str">
        <f ca="1">IFERROR(__xludf.DUMMYFUNCTION("""COMPUTED_VALUE"""),"進貨")</f>
        <v>進貨</v>
      </c>
      <c r="C781" s="1" t="str">
        <f ca="1">IFERROR(__xludf.DUMMYFUNCTION("""COMPUTED_VALUE"""),"MM0260000200")</f>
        <v>MM0260000200</v>
      </c>
      <c r="D781" s="1" t="str">
        <f ca="1">IFERROR(__xludf.DUMMYFUNCTION("""COMPUTED_VALUE"""),"All/RL")</f>
        <v>All/RL</v>
      </c>
      <c r="E781" s="1" t="str">
        <f ca="1">IFERROR(__xludf.DUMMYFUNCTION("""COMPUTED_VALUE"""),"p2/庫存")</f>
        <v>p2/庫存</v>
      </c>
      <c r="F781" s="1">
        <f ca="1">IFERROR(__xludf.DUMMYFUNCTION("""COMPUTED_VALUE"""),3)</f>
        <v>3</v>
      </c>
      <c r="G781" s="1"/>
      <c r="H781" s="1" t="str">
        <f ca="1">IFERROR(__xludf.DUMMYFUNCTION("""COMPUTED_VALUE"""),"P2")</f>
        <v>P2</v>
      </c>
      <c r="I781" s="1" t="str">
        <f ca="1">IFERROR(__xludf.DUMMYFUNCTION("""COMPUTED_VALUE"""),"Chiao Yu")</f>
        <v>Chiao Yu</v>
      </c>
    </row>
    <row r="782" spans="1:9" ht="12.7" x14ac:dyDescent="0.4">
      <c r="A782" s="2">
        <f ca="1">IFERROR(__xludf.DUMMYFUNCTION("""COMPUTED_VALUE"""),45639.6977158217)</f>
        <v>45639.697715821698</v>
      </c>
      <c r="B782" s="1" t="str">
        <f ca="1">IFERROR(__xludf.DUMMYFUNCTION("""COMPUTED_VALUE"""),"進貨")</f>
        <v>進貨</v>
      </c>
      <c r="C782" s="1" t="str">
        <f ca="1">IFERROR(__xludf.DUMMYFUNCTION("""COMPUTED_VALUE"""),"MM0260000249")</f>
        <v>MM0260000249</v>
      </c>
      <c r="D782" s="1" t="str">
        <f ca="1">IFERROR(__xludf.DUMMYFUNCTION("""COMPUTED_VALUE"""),"All/RL")</f>
        <v>All/RL</v>
      </c>
      <c r="E782" s="1" t="str">
        <f ca="1">IFERROR(__xludf.DUMMYFUNCTION("""COMPUTED_VALUE"""),"p2/庫存")</f>
        <v>p2/庫存</v>
      </c>
      <c r="F782" s="1">
        <f ca="1">IFERROR(__xludf.DUMMYFUNCTION("""COMPUTED_VALUE"""),8)</f>
        <v>8</v>
      </c>
      <c r="G782" s="1"/>
      <c r="H782" s="1" t="str">
        <f ca="1">IFERROR(__xludf.DUMMYFUNCTION("""COMPUTED_VALUE"""),"P2")</f>
        <v>P2</v>
      </c>
      <c r="I782" s="1" t="str">
        <f ca="1">IFERROR(__xludf.DUMMYFUNCTION("""COMPUTED_VALUE"""),"Chiao Yu")</f>
        <v>Chiao Yu</v>
      </c>
    </row>
    <row r="783" spans="1:9" ht="12.7" x14ac:dyDescent="0.4">
      <c r="A783" s="2">
        <f ca="1">IFERROR(__xludf.DUMMYFUNCTION("""COMPUTED_VALUE"""),45640.35236728)</f>
        <v>45640.35236728</v>
      </c>
      <c r="B783" s="1" t="str">
        <f ca="1">IFERROR(__xludf.DUMMYFUNCTION("""COMPUTED_VALUE"""),"進貨")</f>
        <v>進貨</v>
      </c>
      <c r="C783" s="1" t="str">
        <f ca="1">IFERROR(__xludf.DUMMYFUNCTION("""COMPUTED_VALUE"""),"A00700000825")</f>
        <v>A00700000825</v>
      </c>
      <c r="D783" s="1" t="str">
        <f ca="1">IFERROR(__xludf.DUMMYFUNCTION("""COMPUTED_VALUE"""),"All/RL")</f>
        <v>All/RL</v>
      </c>
      <c r="E783" s="1" t="str">
        <f ca="1">IFERROR(__xludf.DUMMYFUNCTION("""COMPUTED_VALUE"""),"p1/庫存")</f>
        <v>p1/庫存</v>
      </c>
      <c r="F783" s="1">
        <f ca="1">IFERROR(__xludf.DUMMYFUNCTION("""COMPUTED_VALUE"""),1)</f>
        <v>1</v>
      </c>
      <c r="G783" s="1"/>
      <c r="H783" s="1" t="str">
        <f ca="1">IFERROR(__xludf.DUMMYFUNCTION("""COMPUTED_VALUE"""),"P1")</f>
        <v>P1</v>
      </c>
      <c r="I783" s="1" t="str">
        <f ca="1">IFERROR(__xludf.DUMMYFUNCTION("""COMPUTED_VALUE"""),"Chiao Yu")</f>
        <v>Chiao Yu</v>
      </c>
    </row>
    <row r="784" spans="1:9" ht="12.7" x14ac:dyDescent="0.4">
      <c r="A784" s="2">
        <f ca="1">IFERROR(__xludf.DUMMYFUNCTION("""COMPUTED_VALUE"""),45640.3530880208)</f>
        <v>45640.353088020798</v>
      </c>
      <c r="B784" s="1" t="str">
        <f ca="1">IFERROR(__xludf.DUMMYFUNCTION("""COMPUTED_VALUE"""),"進貨")</f>
        <v>進貨</v>
      </c>
      <c r="C784" s="1" t="str">
        <f ca="1">IFERROR(__xludf.DUMMYFUNCTION("""COMPUTED_VALUE"""),"A00700000837")</f>
        <v>A00700000837</v>
      </c>
      <c r="D784" s="1" t="str">
        <f ca="1">IFERROR(__xludf.DUMMYFUNCTION("""COMPUTED_VALUE"""),"All/COLOR")</f>
        <v>All/COLOR</v>
      </c>
      <c r="E784" s="1" t="str">
        <f ca="1">IFERROR(__xludf.DUMMYFUNCTION("""COMPUTED_VALUE"""),"p1/庫存")</f>
        <v>p1/庫存</v>
      </c>
      <c r="F784" s="1">
        <f ca="1">IFERROR(__xludf.DUMMYFUNCTION("""COMPUTED_VALUE"""),1)</f>
        <v>1</v>
      </c>
      <c r="G784" s="1"/>
      <c r="H784" s="1" t="str">
        <f ca="1">IFERROR(__xludf.DUMMYFUNCTION("""COMPUTED_VALUE"""),"P1")</f>
        <v>P1</v>
      </c>
      <c r="I784" s="1" t="str">
        <f ca="1">IFERROR(__xludf.DUMMYFUNCTION("""COMPUTED_VALUE"""),"Chiao Yu")</f>
        <v>Chiao Yu</v>
      </c>
    </row>
    <row r="785" spans="1:9" ht="12.7" x14ac:dyDescent="0.4">
      <c r="A785" s="2">
        <f ca="1">IFERROR(__xludf.DUMMYFUNCTION("""COMPUTED_VALUE"""),45640.3547612152)</f>
        <v>45640.354761215203</v>
      </c>
      <c r="B785" s="1" t="str">
        <f ca="1">IFERROR(__xludf.DUMMYFUNCTION("""COMPUTED_VALUE"""),"進貨")</f>
        <v>進貨</v>
      </c>
      <c r="C785" s="1" t="str">
        <f ca="1">IFERROR(__xludf.DUMMYFUNCTION("""COMPUTED_VALUE"""),"ME0280000080")</f>
        <v>ME0280000080</v>
      </c>
      <c r="D785" s="1" t="str">
        <f ca="1">IFERROR(__xludf.DUMMYFUNCTION("""COMPUTED_VALUE"""),"All/RL")</f>
        <v>All/RL</v>
      </c>
      <c r="E785" s="1" t="str">
        <f ca="1">IFERROR(__xludf.DUMMYFUNCTION("""COMPUTED_VALUE"""),"p1/庫存")</f>
        <v>p1/庫存</v>
      </c>
      <c r="F785" s="1">
        <f ca="1">IFERROR(__xludf.DUMMYFUNCTION("""COMPUTED_VALUE"""),2)</f>
        <v>2</v>
      </c>
      <c r="G785" s="1"/>
      <c r="H785" s="1" t="str">
        <f ca="1">IFERROR(__xludf.DUMMYFUNCTION("""COMPUTED_VALUE"""),"P1")</f>
        <v>P1</v>
      </c>
      <c r="I785" s="1" t="str">
        <f ca="1">IFERROR(__xludf.DUMMYFUNCTION("""COMPUTED_VALUE"""),"Chiao Yu")</f>
        <v>Chiao Yu</v>
      </c>
    </row>
    <row r="786" spans="1:9" ht="12.7" x14ac:dyDescent="0.4">
      <c r="A786" s="2">
        <f ca="1">IFERROR(__xludf.DUMMYFUNCTION("""COMPUTED_VALUE"""),45640.3583299305)</f>
        <v>45640.358329930503</v>
      </c>
      <c r="B786" s="1" t="str">
        <f ca="1">IFERROR(__xludf.DUMMYFUNCTION("""COMPUTED_VALUE"""),"進貨")</f>
        <v>進貨</v>
      </c>
      <c r="C786" s="1" t="str">
        <f ca="1">IFERROR(__xludf.DUMMYFUNCTION("""COMPUTED_VALUE"""),"MM0260000199")</f>
        <v>MM0260000199</v>
      </c>
      <c r="D786" s="1" t="str">
        <f ca="1">IFERROR(__xludf.DUMMYFUNCTION("""COMPUTED_VALUE"""),"All/RL")</f>
        <v>All/RL</v>
      </c>
      <c r="E786" s="1" t="str">
        <f ca="1">IFERROR(__xludf.DUMMYFUNCTION("""COMPUTED_VALUE"""),"p1/庫存")</f>
        <v>p1/庫存</v>
      </c>
      <c r="F786" s="1">
        <f ca="1">IFERROR(__xludf.DUMMYFUNCTION("""COMPUTED_VALUE"""),2)</f>
        <v>2</v>
      </c>
      <c r="G786" s="1"/>
      <c r="H786" s="1" t="str">
        <f ca="1">IFERROR(__xludf.DUMMYFUNCTION("""COMPUTED_VALUE"""),"P1")</f>
        <v>P1</v>
      </c>
      <c r="I786" s="1" t="str">
        <f ca="1">IFERROR(__xludf.DUMMYFUNCTION("""COMPUTED_VALUE"""),"Chiao Yu")</f>
        <v>Chiao Yu</v>
      </c>
    </row>
    <row r="787" spans="1:9" ht="12.7" x14ac:dyDescent="0.4">
      <c r="A787" s="2">
        <f ca="1">IFERROR(__xludf.DUMMYFUNCTION("""COMPUTED_VALUE"""),45640.3587324305)</f>
        <v>45640.358732430497</v>
      </c>
      <c r="B787" s="1" t="str">
        <f ca="1">IFERROR(__xludf.DUMMYFUNCTION("""COMPUTED_VALUE"""),"進貨")</f>
        <v>進貨</v>
      </c>
      <c r="C787" s="1" t="str">
        <f ca="1">IFERROR(__xludf.DUMMYFUNCTION("""COMPUTED_VALUE"""),"MM0260000200")</f>
        <v>MM0260000200</v>
      </c>
      <c r="D787" s="1" t="str">
        <f ca="1">IFERROR(__xludf.DUMMYFUNCTION("""COMPUTED_VALUE"""),"All/RL")</f>
        <v>All/RL</v>
      </c>
      <c r="E787" s="1" t="str">
        <f ca="1">IFERROR(__xludf.DUMMYFUNCTION("""COMPUTED_VALUE"""),"p1/庫存")</f>
        <v>p1/庫存</v>
      </c>
      <c r="F787" s="1">
        <f ca="1">IFERROR(__xludf.DUMMYFUNCTION("""COMPUTED_VALUE"""),2)</f>
        <v>2</v>
      </c>
      <c r="G787" s="1"/>
      <c r="H787" s="1" t="str">
        <f ca="1">IFERROR(__xludf.DUMMYFUNCTION("""COMPUTED_VALUE"""),"P1")</f>
        <v>P1</v>
      </c>
      <c r="I787" s="1" t="str">
        <f ca="1">IFERROR(__xludf.DUMMYFUNCTION("""COMPUTED_VALUE"""),"Chiao Yu")</f>
        <v>Chiao Yu</v>
      </c>
    </row>
    <row r="788" spans="1:9" ht="12.7" x14ac:dyDescent="0.4">
      <c r="A788" s="2">
        <f ca="1">IFERROR(__xludf.DUMMYFUNCTION("""COMPUTED_VALUE"""),45640.3602154976)</f>
        <v>45640.360215497603</v>
      </c>
      <c r="B788" s="1" t="str">
        <f ca="1">IFERROR(__xludf.DUMMYFUNCTION("""COMPUTED_VALUE"""),"進貨")</f>
        <v>進貨</v>
      </c>
      <c r="C788" s="1" t="str">
        <f ca="1">IFERROR(__xludf.DUMMYFUNCTION("""COMPUTED_VALUE"""),"MM0260000249")</f>
        <v>MM0260000249</v>
      </c>
      <c r="D788" s="1" t="str">
        <f ca="1">IFERROR(__xludf.DUMMYFUNCTION("""COMPUTED_VALUE"""),"All/RL")</f>
        <v>All/RL</v>
      </c>
      <c r="E788" s="1" t="str">
        <f ca="1">IFERROR(__xludf.DUMMYFUNCTION("""COMPUTED_VALUE"""),"p1/庫存")</f>
        <v>p1/庫存</v>
      </c>
      <c r="F788" s="1">
        <f ca="1">IFERROR(__xludf.DUMMYFUNCTION("""COMPUTED_VALUE"""),2)</f>
        <v>2</v>
      </c>
      <c r="G788" s="1"/>
      <c r="H788" s="1" t="str">
        <f ca="1">IFERROR(__xludf.DUMMYFUNCTION("""COMPUTED_VALUE"""),"P1")</f>
        <v>P1</v>
      </c>
      <c r="I788" s="1" t="str">
        <f ca="1">IFERROR(__xludf.DUMMYFUNCTION("""COMPUTED_VALUE"""),"Chiao Yu")</f>
        <v>Chiao Yu</v>
      </c>
    </row>
    <row r="789" spans="1:9" ht="12.7" x14ac:dyDescent="0.4">
      <c r="A789" s="2">
        <f ca="1">IFERROR(__xludf.DUMMYFUNCTION("""COMPUTED_VALUE"""),45640.3608953819)</f>
        <v>45640.360895381898</v>
      </c>
      <c r="B789" s="1" t="str">
        <f ca="1">IFERROR(__xludf.DUMMYFUNCTION("""COMPUTED_VALUE"""),"進貨")</f>
        <v>進貨</v>
      </c>
      <c r="C789" s="1" t="str">
        <f ca="1">IFERROR(__xludf.DUMMYFUNCTION("""COMPUTED_VALUE"""),"ME0270001300")</f>
        <v>ME0270001300</v>
      </c>
      <c r="D789" s="1" t="str">
        <f ca="1">IFERROR(__xludf.DUMMYFUNCTION("""COMPUTED_VALUE"""),"All/共用")</f>
        <v>All/共用</v>
      </c>
      <c r="E789" s="1" t="str">
        <f ca="1">IFERROR(__xludf.DUMMYFUNCTION("""COMPUTED_VALUE"""),"p1/庫存")</f>
        <v>p1/庫存</v>
      </c>
      <c r="F789" s="1">
        <f ca="1">IFERROR(__xludf.DUMMYFUNCTION("""COMPUTED_VALUE"""),2)</f>
        <v>2</v>
      </c>
      <c r="G789" s="1"/>
      <c r="H789" s="1" t="str">
        <f ca="1">IFERROR(__xludf.DUMMYFUNCTION("""COMPUTED_VALUE"""),"P1")</f>
        <v>P1</v>
      </c>
      <c r="I789" s="1" t="str">
        <f ca="1">IFERROR(__xludf.DUMMYFUNCTION("""COMPUTED_VALUE"""),"Chiao Yu")</f>
        <v>Chiao Yu</v>
      </c>
    </row>
    <row r="790" spans="1:9" ht="12.7" x14ac:dyDescent="0.4">
      <c r="A790" s="2">
        <f ca="1">IFERROR(__xludf.DUMMYFUNCTION("""COMPUTED_VALUE"""),45640.3643086111)</f>
        <v>45640.364308611097</v>
      </c>
      <c r="B790" s="1" t="str">
        <f ca="1">IFERROR(__xludf.DUMMYFUNCTION("""COMPUTED_VALUE"""),"領料")</f>
        <v>領料</v>
      </c>
      <c r="C790" s="1" t="str">
        <f ca="1">IFERROR(__xludf.DUMMYFUNCTION("""COMPUTED_VALUE"""),"A00700000837")</f>
        <v>A00700000837</v>
      </c>
      <c r="D790" s="1" t="str">
        <f ca="1">IFERROR(__xludf.DUMMYFUNCTION("""COMPUTED_VALUE"""),"All/COLOR")</f>
        <v>All/COLOR</v>
      </c>
      <c r="E790" s="1" t="str">
        <f ca="1">IFERROR(__xludf.DUMMYFUNCTION("""COMPUTED_VALUE"""),"p1/庫存")</f>
        <v>p1/庫存</v>
      </c>
      <c r="F790" s="1">
        <f ca="1">IFERROR(__xludf.DUMMYFUNCTION("""COMPUTED_VALUE"""),1)</f>
        <v>1</v>
      </c>
      <c r="G790" s="1"/>
      <c r="H790" s="1" t="str">
        <f ca="1">IFERROR(__xludf.DUMMYFUNCTION("""COMPUTED_VALUE"""),"P2_3003")</f>
        <v>P2_3003</v>
      </c>
      <c r="I790" s="1" t="str">
        <f ca="1">IFERROR(__xludf.DUMMYFUNCTION("""COMPUTED_VALUE"""),"Chiao Yu")</f>
        <v>Chiao Yu</v>
      </c>
    </row>
    <row r="791" spans="1:9" ht="12.7" x14ac:dyDescent="0.4">
      <c r="A791" s="2">
        <f ca="1">IFERROR(__xludf.DUMMYFUNCTION("""COMPUTED_VALUE"""),45640.3651023379)</f>
        <v>45640.365102337899</v>
      </c>
      <c r="B791" s="1" t="str">
        <f ca="1">IFERROR(__xludf.DUMMYFUNCTION("""COMPUTED_VALUE"""),"進貨")</f>
        <v>進貨</v>
      </c>
      <c r="C791" s="1" t="str">
        <f ca="1">IFERROR(__xludf.DUMMYFUNCTION("""COMPUTED_VALUE"""),"A00700000482")</f>
        <v>A00700000482</v>
      </c>
      <c r="D791" s="1" t="str">
        <f ca="1">IFERROR(__xludf.DUMMYFUNCTION("""COMPUTED_VALUE"""),"All/SB")</f>
        <v>All/SB</v>
      </c>
      <c r="E791" s="1" t="str">
        <f ca="1">IFERROR(__xludf.DUMMYFUNCTION("""COMPUTED_VALUE"""),"p1/庫存")</f>
        <v>p1/庫存</v>
      </c>
      <c r="F791" s="1">
        <f ca="1">IFERROR(__xludf.DUMMYFUNCTION("""COMPUTED_VALUE"""),3)</f>
        <v>3</v>
      </c>
      <c r="G791" s="1"/>
      <c r="H791" s="1" t="str">
        <f ca="1">IFERROR(__xludf.DUMMYFUNCTION("""COMPUTED_VALUE"""),"P1")</f>
        <v>P1</v>
      </c>
      <c r="I791" s="1" t="str">
        <f ca="1">IFERROR(__xludf.DUMMYFUNCTION("""COMPUTED_VALUE"""),"Chiao Yu")</f>
        <v>Chiao Yu</v>
      </c>
    </row>
    <row r="792" spans="1:9" ht="12.7" x14ac:dyDescent="0.4">
      <c r="A792" s="2">
        <f ca="1">IFERROR(__xludf.DUMMYFUNCTION("""COMPUTED_VALUE"""),45640.3656175)</f>
        <v>45640.3656175</v>
      </c>
      <c r="B792" s="1" t="str">
        <f ca="1">IFERROR(__xludf.DUMMYFUNCTION("""COMPUTED_VALUE"""),"進貨")</f>
        <v>進貨</v>
      </c>
      <c r="C792" s="1" t="str">
        <f ca="1">IFERROR(__xludf.DUMMYFUNCTION("""COMPUTED_VALUE"""),"A00700000482")</f>
        <v>A00700000482</v>
      </c>
      <c r="D792" s="1" t="str">
        <f ca="1">IFERROR(__xludf.DUMMYFUNCTION("""COMPUTED_VALUE"""),"All/SB")</f>
        <v>All/SB</v>
      </c>
      <c r="E792" s="1" t="str">
        <f ca="1">IFERROR(__xludf.DUMMYFUNCTION("""COMPUTED_VALUE"""),"p2/庫存")</f>
        <v>p2/庫存</v>
      </c>
      <c r="F792" s="1">
        <f ca="1">IFERROR(__xludf.DUMMYFUNCTION("""COMPUTED_VALUE"""),4)</f>
        <v>4</v>
      </c>
      <c r="G792" s="1"/>
      <c r="H792" s="1" t="str">
        <f ca="1">IFERROR(__xludf.DUMMYFUNCTION("""COMPUTED_VALUE"""),"P2")</f>
        <v>P2</v>
      </c>
      <c r="I792" s="1" t="str">
        <f ca="1">IFERROR(__xludf.DUMMYFUNCTION("""COMPUTED_VALUE"""),"Chiao Yu")</f>
        <v>Chiao Yu</v>
      </c>
    </row>
    <row r="793" spans="1:9" ht="12.7" x14ac:dyDescent="0.4">
      <c r="A793" s="2">
        <f ca="1">IFERROR(__xludf.DUMMYFUNCTION("""COMPUTED_VALUE"""),45640.3663450462)</f>
        <v>45640.366345046197</v>
      </c>
      <c r="B793" s="1" t="str">
        <f ca="1">IFERROR(__xludf.DUMMYFUNCTION("""COMPUTED_VALUE"""),"進貨")</f>
        <v>進貨</v>
      </c>
      <c r="C793" s="1" t="str">
        <f ca="1">IFERROR(__xludf.DUMMYFUNCTION("""COMPUTED_VALUE"""),"ME0270001045")</f>
        <v>ME0270001045</v>
      </c>
      <c r="D793" s="1" t="str">
        <f ca="1">IFERROR(__xludf.DUMMYFUNCTION("""COMPUTED_VALUE"""),"All/共用")</f>
        <v>All/共用</v>
      </c>
      <c r="E793" s="1" t="str">
        <f ca="1">IFERROR(__xludf.DUMMYFUNCTION("""COMPUTED_VALUE"""),"p1/庫存")</f>
        <v>p1/庫存</v>
      </c>
      <c r="F793" s="1">
        <f ca="1">IFERROR(__xludf.DUMMYFUNCTION("""COMPUTED_VALUE"""),1)</f>
        <v>1</v>
      </c>
      <c r="G793" s="1"/>
      <c r="H793" s="1" t="str">
        <f ca="1">IFERROR(__xludf.DUMMYFUNCTION("""COMPUTED_VALUE"""),"P1")</f>
        <v>P1</v>
      </c>
      <c r="I793" s="1" t="str">
        <f ca="1">IFERROR(__xludf.DUMMYFUNCTION("""COMPUTED_VALUE"""),"Chiao Yu")</f>
        <v>Chiao Yu</v>
      </c>
    </row>
    <row r="794" spans="1:9" ht="12.7" x14ac:dyDescent="0.4">
      <c r="A794" s="2">
        <f ca="1">IFERROR(__xludf.DUMMYFUNCTION("""COMPUTED_VALUE"""),45640.7084554282)</f>
        <v>45640.708455428197</v>
      </c>
      <c r="B794" s="1" t="str">
        <f ca="1">IFERROR(__xludf.DUMMYFUNCTION("""COMPUTED_VALUE"""),"庫存調整")</f>
        <v>庫存調整</v>
      </c>
      <c r="C794" s="1" t="str">
        <f ca="1">IFERROR(__xludf.DUMMYFUNCTION("""COMPUTED_VALUE"""),"AGT000000011")</f>
        <v>AGT000000011</v>
      </c>
      <c r="D794" s="1" t="str">
        <f ca="1">IFERROR(__xludf.DUMMYFUNCTION("""COMPUTED_VALUE"""),"All/共用")</f>
        <v>All/共用</v>
      </c>
      <c r="E794" s="1" t="str">
        <f ca="1">IFERROR(__xludf.DUMMYFUNCTION("""COMPUTED_VALUE"""),"p2/庫存")</f>
        <v>p2/庫存</v>
      </c>
      <c r="F794" s="1">
        <f ca="1">IFERROR(__xludf.DUMMYFUNCTION("""COMPUTED_VALUE"""),-2)</f>
        <v>-2</v>
      </c>
      <c r="G794" s="1"/>
      <c r="H794" s="1" t="str">
        <f ca="1">IFERROR(__xludf.DUMMYFUNCTION("""COMPUTED_VALUE"""),"P2")</f>
        <v>P2</v>
      </c>
      <c r="I794" s="1" t="str">
        <f ca="1">IFERROR(__xludf.DUMMYFUNCTION("""COMPUTED_VALUE"""),"Chiao Yu")</f>
        <v>Chiao Yu</v>
      </c>
    </row>
    <row r="795" spans="1:9" ht="12.7" x14ac:dyDescent="0.4">
      <c r="A795" s="2">
        <f ca="1">IFERROR(__xludf.DUMMYFUNCTION("""COMPUTED_VALUE"""),45640.7093794444)</f>
        <v>45640.709379444401</v>
      </c>
      <c r="B795" s="1" t="str">
        <f ca="1">IFERROR(__xludf.DUMMYFUNCTION("""COMPUTED_VALUE"""),"庫存調整")</f>
        <v>庫存調整</v>
      </c>
      <c r="C795" s="1" t="str">
        <f ca="1">IFERROR(__xludf.DUMMYFUNCTION("""COMPUTED_VALUE"""),"ME0010000339")</f>
        <v>ME0010000339</v>
      </c>
      <c r="D795" s="1" t="str">
        <f ca="1">IFERROR(__xludf.DUMMYFUNCTION("""COMPUTED_VALUE"""),"All/共用")</f>
        <v>All/共用</v>
      </c>
      <c r="E795" s="1" t="str">
        <f ca="1">IFERROR(__xludf.DUMMYFUNCTION("""COMPUTED_VALUE"""),"p2/庫存")</f>
        <v>p2/庫存</v>
      </c>
      <c r="F795" s="1">
        <f ca="1">IFERROR(__xludf.DUMMYFUNCTION("""COMPUTED_VALUE"""),1)</f>
        <v>1</v>
      </c>
      <c r="G795" s="1"/>
      <c r="H795" s="1" t="str">
        <f ca="1">IFERROR(__xludf.DUMMYFUNCTION("""COMPUTED_VALUE"""),"P2")</f>
        <v>P2</v>
      </c>
      <c r="I795" s="1" t="str">
        <f ca="1">IFERROR(__xludf.DUMMYFUNCTION("""COMPUTED_VALUE"""),"Chiao Yu")</f>
        <v>Chiao Yu</v>
      </c>
    </row>
    <row r="796" spans="1:9" ht="12.7" x14ac:dyDescent="0.4">
      <c r="A796" s="2">
        <f ca="1">IFERROR(__xludf.DUMMYFUNCTION("""COMPUTED_VALUE"""),45640.7097555092)</f>
        <v>45640.709755509197</v>
      </c>
      <c r="B796" s="1" t="str">
        <f ca="1">IFERROR(__xludf.DUMMYFUNCTION("""COMPUTED_VALUE"""),"庫存調整")</f>
        <v>庫存調整</v>
      </c>
      <c r="C796" s="1" t="str">
        <f ca="1">IFERROR(__xludf.DUMMYFUNCTION("""COMPUTED_VALUE"""),"A00100000708")</f>
        <v>A00100000708</v>
      </c>
      <c r="D796" s="1" t="str">
        <f ca="1">IFERROR(__xludf.DUMMYFUNCTION("""COMPUTED_VALUE"""),"All/BA")</f>
        <v>All/BA</v>
      </c>
      <c r="E796" s="1" t="str">
        <f ca="1">IFERROR(__xludf.DUMMYFUNCTION("""COMPUTED_VALUE"""),"p1/庫存")</f>
        <v>p1/庫存</v>
      </c>
      <c r="F796" s="1">
        <f ca="1">IFERROR(__xludf.DUMMYFUNCTION("""COMPUTED_VALUE"""),-1)</f>
        <v>-1</v>
      </c>
      <c r="G796" s="1"/>
      <c r="H796" s="1" t="str">
        <f ca="1">IFERROR(__xludf.DUMMYFUNCTION("""COMPUTED_VALUE"""),"P1")</f>
        <v>P1</v>
      </c>
      <c r="I796" s="1" t="str">
        <f ca="1">IFERROR(__xludf.DUMMYFUNCTION("""COMPUTED_VALUE"""),"Simon")</f>
        <v>Simon</v>
      </c>
    </row>
    <row r="797" spans="1:9" ht="12.7" x14ac:dyDescent="0.4">
      <c r="A797" s="2">
        <f ca="1">IFERROR(__xludf.DUMMYFUNCTION("""COMPUTED_VALUE"""),45640.7100220949)</f>
        <v>45640.7100220949</v>
      </c>
      <c r="B797" s="1" t="str">
        <f ca="1">IFERROR(__xludf.DUMMYFUNCTION("""COMPUTED_VALUE"""),"庫存調整")</f>
        <v>庫存調整</v>
      </c>
      <c r="C797" s="1" t="str">
        <f ca="1">IFERROR(__xludf.DUMMYFUNCTION("""COMPUTED_VALUE"""),"ME0020000560")</f>
        <v>ME0020000560</v>
      </c>
      <c r="D797" s="1" t="str">
        <f ca="1">IFERROR(__xludf.DUMMYFUNCTION("""COMPUTED_VALUE"""),"All/共用")</f>
        <v>All/共用</v>
      </c>
      <c r="E797" s="1" t="str">
        <f ca="1">IFERROR(__xludf.DUMMYFUNCTION("""COMPUTED_VALUE"""),"p2/庫存")</f>
        <v>p2/庫存</v>
      </c>
      <c r="F797" s="1">
        <f ca="1">IFERROR(__xludf.DUMMYFUNCTION("""COMPUTED_VALUE"""),-1)</f>
        <v>-1</v>
      </c>
      <c r="G797" s="1"/>
      <c r="H797" s="1" t="str">
        <f ca="1">IFERROR(__xludf.DUMMYFUNCTION("""COMPUTED_VALUE"""),"P2")</f>
        <v>P2</v>
      </c>
      <c r="I797" s="1" t="str">
        <f ca="1">IFERROR(__xludf.DUMMYFUNCTION("""COMPUTED_VALUE"""),"Chiao Yu")</f>
        <v>Chiao Yu</v>
      </c>
    </row>
    <row r="798" spans="1:9" ht="12.7" x14ac:dyDescent="0.4">
      <c r="A798" s="2">
        <f ca="1">IFERROR(__xludf.DUMMYFUNCTION("""COMPUTED_VALUE"""),45640.7107240509)</f>
        <v>45640.710724050899</v>
      </c>
      <c r="B798" s="1" t="str">
        <f ca="1">IFERROR(__xludf.DUMMYFUNCTION("""COMPUTED_VALUE"""),"進貨")</f>
        <v>進貨</v>
      </c>
      <c r="C798" s="1" t="str">
        <f ca="1">IFERROR(__xludf.DUMMYFUNCTION("""COMPUTED_VALUE"""),"ME0050000183")</f>
        <v>ME0050000183</v>
      </c>
      <c r="D798" s="1" t="str">
        <f ca="1">IFERROR(__xludf.DUMMYFUNCTION("""COMPUTED_VALUE"""),"All/共用")</f>
        <v>All/共用</v>
      </c>
      <c r="E798" s="1" t="str">
        <f ca="1">IFERROR(__xludf.DUMMYFUNCTION("""COMPUTED_VALUE"""),"p2/庫存")</f>
        <v>p2/庫存</v>
      </c>
      <c r="F798" s="1">
        <f ca="1">IFERROR(__xludf.DUMMYFUNCTION("""COMPUTED_VALUE"""),10)</f>
        <v>10</v>
      </c>
      <c r="G798" s="1"/>
      <c r="H798" s="1" t="str">
        <f ca="1">IFERROR(__xludf.DUMMYFUNCTION("""COMPUTED_VALUE"""),"P2")</f>
        <v>P2</v>
      </c>
      <c r="I798" s="1" t="str">
        <f ca="1">IFERROR(__xludf.DUMMYFUNCTION("""COMPUTED_VALUE"""),"Chiao Yu")</f>
        <v>Chiao Yu</v>
      </c>
    </row>
    <row r="799" spans="1:9" ht="12.7" x14ac:dyDescent="0.4">
      <c r="A799" s="2">
        <f ca="1">IFERROR(__xludf.DUMMYFUNCTION("""COMPUTED_VALUE"""),45640.7118397916)</f>
        <v>45640.711839791598</v>
      </c>
      <c r="B799" s="1" t="str">
        <f ca="1">IFERROR(__xludf.DUMMYFUNCTION("""COMPUTED_VALUE"""),"領料")</f>
        <v>領料</v>
      </c>
      <c r="C799" s="1" t="str">
        <f ca="1">IFERROR(__xludf.DUMMYFUNCTION("""COMPUTED_VALUE"""),"ME0050000183")</f>
        <v>ME0050000183</v>
      </c>
      <c r="D799" s="1" t="str">
        <f ca="1">IFERROR(__xludf.DUMMYFUNCTION("""COMPUTED_VALUE"""),"All/共用")</f>
        <v>All/共用</v>
      </c>
      <c r="E799" s="1" t="str">
        <f ca="1">IFERROR(__xludf.DUMMYFUNCTION("""COMPUTED_VALUE"""),"p2/庫存")</f>
        <v>p2/庫存</v>
      </c>
      <c r="F799" s="1">
        <f ca="1">IFERROR(__xludf.DUMMYFUNCTION("""COMPUTED_VALUE"""),1)</f>
        <v>1</v>
      </c>
      <c r="G799" s="1"/>
      <c r="H799" s="1" t="str">
        <f ca="1">IFERROR(__xludf.DUMMYFUNCTION("""COMPUTED_VALUE"""),"P2_055")</f>
        <v>P2_055</v>
      </c>
      <c r="I799" s="1" t="str">
        <f ca="1">IFERROR(__xludf.DUMMYFUNCTION("""COMPUTED_VALUE"""),"Chiao Yu")</f>
        <v>Chiao Yu</v>
      </c>
    </row>
    <row r="800" spans="1:9" ht="12.7" x14ac:dyDescent="0.4">
      <c r="A800" s="2">
        <f ca="1">IFERROR(__xludf.DUMMYFUNCTION("""COMPUTED_VALUE"""),45640.7119364467)</f>
        <v>45640.7119364467</v>
      </c>
      <c r="B800" s="1" t="str">
        <f ca="1">IFERROR(__xludf.DUMMYFUNCTION("""COMPUTED_VALUE"""),"庫存調整")</f>
        <v>庫存調整</v>
      </c>
      <c r="C800" s="1" t="str">
        <f ca="1">IFERROR(__xludf.DUMMYFUNCTION("""COMPUTED_VALUE"""),"A00700000482")</f>
        <v>A00700000482</v>
      </c>
      <c r="D800" s="1" t="str">
        <f ca="1">IFERROR(__xludf.DUMMYFUNCTION("""COMPUTED_VALUE"""),"All/SB")</f>
        <v>All/SB</v>
      </c>
      <c r="E800" s="1" t="str">
        <f ca="1">IFERROR(__xludf.DUMMYFUNCTION("""COMPUTED_VALUE"""),"p1/庫存")</f>
        <v>p1/庫存</v>
      </c>
      <c r="F800" s="1">
        <f ca="1">IFERROR(__xludf.DUMMYFUNCTION("""COMPUTED_VALUE"""),1)</f>
        <v>1</v>
      </c>
      <c r="G800" s="1"/>
      <c r="H800" s="1" t="str">
        <f ca="1">IFERROR(__xludf.DUMMYFUNCTION("""COMPUTED_VALUE"""),"P1")</f>
        <v>P1</v>
      </c>
      <c r="I800" s="1" t="str">
        <f ca="1">IFERROR(__xludf.DUMMYFUNCTION("""COMPUTED_VALUE"""),"Simon")</f>
        <v>Simon</v>
      </c>
    </row>
    <row r="801" spans="1:9" ht="12.7" x14ac:dyDescent="0.4">
      <c r="A801" s="2">
        <f ca="1">IFERROR(__xludf.DUMMYFUNCTION("""COMPUTED_VALUE"""),45640.7129957638)</f>
        <v>45640.712995763803</v>
      </c>
      <c r="B801" s="1" t="str">
        <f ca="1">IFERROR(__xludf.DUMMYFUNCTION("""COMPUTED_VALUE"""),"進貨")</f>
        <v>進貨</v>
      </c>
      <c r="C801" s="1" t="str">
        <f ca="1">IFERROR(__xludf.DUMMYFUNCTION("""COMPUTED_VALUE"""),"ME0270000789")</f>
        <v>ME0270000789</v>
      </c>
      <c r="D801" s="1" t="str">
        <f ca="1">IFERROR(__xludf.DUMMYFUNCTION("""COMPUTED_VALUE"""),"All/共用")</f>
        <v>All/共用</v>
      </c>
      <c r="E801" s="1" t="str">
        <f ca="1">IFERROR(__xludf.DUMMYFUNCTION("""COMPUTED_VALUE"""),"p2/庫存")</f>
        <v>p2/庫存</v>
      </c>
      <c r="F801" s="1">
        <f ca="1">IFERROR(__xludf.DUMMYFUNCTION("""COMPUTED_VALUE"""),20)</f>
        <v>20</v>
      </c>
      <c r="G801" s="1"/>
      <c r="H801" s="1" t="str">
        <f ca="1">IFERROR(__xludf.DUMMYFUNCTION("""COMPUTED_VALUE"""),"P2")</f>
        <v>P2</v>
      </c>
      <c r="I801" s="1" t="str">
        <f ca="1">IFERROR(__xludf.DUMMYFUNCTION("""COMPUTED_VALUE"""),"Chiao Yu")</f>
        <v>Chiao Yu</v>
      </c>
    </row>
    <row r="802" spans="1:9" ht="12.7" x14ac:dyDescent="0.4">
      <c r="A802" s="2">
        <f ca="1">IFERROR(__xludf.DUMMYFUNCTION("""COMPUTED_VALUE"""),45640.7134129513)</f>
        <v>45640.7134129513</v>
      </c>
      <c r="B802" s="1" t="str">
        <f ca="1">IFERROR(__xludf.DUMMYFUNCTION("""COMPUTED_VALUE"""),"領料")</f>
        <v>領料</v>
      </c>
      <c r="C802" s="1" t="str">
        <f ca="1">IFERROR(__xludf.DUMMYFUNCTION("""COMPUTED_VALUE"""),"ME0270000789")</f>
        <v>ME0270000789</v>
      </c>
      <c r="D802" s="1" t="str">
        <f ca="1">IFERROR(__xludf.DUMMYFUNCTION("""COMPUTED_VALUE"""),"All/共用")</f>
        <v>All/共用</v>
      </c>
      <c r="E802" s="1" t="str">
        <f ca="1">IFERROR(__xludf.DUMMYFUNCTION("""COMPUTED_VALUE"""),"p2/庫存")</f>
        <v>p2/庫存</v>
      </c>
      <c r="F802" s="1">
        <f ca="1">IFERROR(__xludf.DUMMYFUNCTION("""COMPUTED_VALUE"""),4)</f>
        <v>4</v>
      </c>
      <c r="G802" s="1"/>
      <c r="H802" s="1" t="str">
        <f ca="1">IFERROR(__xludf.DUMMYFUNCTION("""COMPUTED_VALUE"""),"P2_055")</f>
        <v>P2_055</v>
      </c>
      <c r="I802" s="1" t="str">
        <f ca="1">IFERROR(__xludf.DUMMYFUNCTION("""COMPUTED_VALUE"""),"Chiao Yu")</f>
        <v>Chiao Yu</v>
      </c>
    </row>
    <row r="803" spans="1:9" ht="12.7" x14ac:dyDescent="0.4">
      <c r="A803" s="2">
        <f ca="1">IFERROR(__xludf.DUMMYFUNCTION("""COMPUTED_VALUE"""),45640.7141034606)</f>
        <v>45640.714103460603</v>
      </c>
      <c r="B803" s="1" t="str">
        <f ca="1">IFERROR(__xludf.DUMMYFUNCTION("""COMPUTED_VALUE"""),"庫存調整")</f>
        <v>庫存調整</v>
      </c>
      <c r="C803" s="1" t="str">
        <f ca="1">IFERROR(__xludf.DUMMYFUNCTION("""COMPUTED_VALUE"""),"MM0260000077")</f>
        <v>MM0260000077</v>
      </c>
      <c r="D803" s="1" t="str">
        <f ca="1">IFERROR(__xludf.DUMMYFUNCTION("""COMPUTED_VALUE"""),"All/BA")</f>
        <v>All/BA</v>
      </c>
      <c r="E803" s="1" t="str">
        <f ca="1">IFERROR(__xludf.DUMMYFUNCTION("""COMPUTED_VALUE"""),"p2/庫存")</f>
        <v>p2/庫存</v>
      </c>
      <c r="F803" s="1">
        <f ca="1">IFERROR(__xludf.DUMMYFUNCTION("""COMPUTED_VALUE"""),-2)</f>
        <v>-2</v>
      </c>
      <c r="G803" s="1"/>
      <c r="H803" s="1" t="str">
        <f ca="1">IFERROR(__xludf.DUMMYFUNCTION("""COMPUTED_VALUE"""),"P2")</f>
        <v>P2</v>
      </c>
      <c r="I803" s="1" t="str">
        <f ca="1">IFERROR(__xludf.DUMMYFUNCTION("""COMPUTED_VALUE"""),"Chiao Yu")</f>
        <v>Chiao Yu</v>
      </c>
    </row>
    <row r="804" spans="1:9" ht="12.7" x14ac:dyDescent="0.4">
      <c r="A804" s="2">
        <f ca="1">IFERROR(__xludf.DUMMYFUNCTION("""COMPUTED_VALUE"""),45640.7142293518)</f>
        <v>45640.714229351797</v>
      </c>
      <c r="B804" s="1" t="str">
        <f ca="1">IFERROR(__xludf.DUMMYFUNCTION("""COMPUTED_VALUE"""),"庫存調整")</f>
        <v>庫存調整</v>
      </c>
      <c r="C804" s="1" t="str">
        <f ca="1">IFERROR(__xludf.DUMMYFUNCTION("""COMPUTED_VALUE"""),"AGT000000010")</f>
        <v>AGT000000010</v>
      </c>
      <c r="D804" s="1" t="str">
        <f ca="1">IFERROR(__xludf.DUMMYFUNCTION("""COMPUTED_VALUE"""),"All/共用")</f>
        <v>All/共用</v>
      </c>
      <c r="E804" s="1" t="str">
        <f ca="1">IFERROR(__xludf.DUMMYFUNCTION("""COMPUTED_VALUE"""),"p1/庫存")</f>
        <v>p1/庫存</v>
      </c>
      <c r="F804" s="1">
        <f ca="1">IFERROR(__xludf.DUMMYFUNCTION("""COMPUTED_VALUE"""),-1)</f>
        <v>-1</v>
      </c>
      <c r="G804" s="1"/>
      <c r="H804" s="1" t="str">
        <f ca="1">IFERROR(__xludf.DUMMYFUNCTION("""COMPUTED_VALUE"""),"P1")</f>
        <v>P1</v>
      </c>
      <c r="I804" s="1" t="str">
        <f ca="1">IFERROR(__xludf.DUMMYFUNCTION("""COMPUTED_VALUE"""),"Simon")</f>
        <v>Simon</v>
      </c>
    </row>
    <row r="805" spans="1:9" ht="12.7" x14ac:dyDescent="0.4">
      <c r="A805" s="2">
        <f ca="1">IFERROR(__xludf.DUMMYFUNCTION("""COMPUTED_VALUE"""),45640.7148667361)</f>
        <v>45640.714866736103</v>
      </c>
      <c r="B805" s="1" t="str">
        <f ca="1">IFERROR(__xludf.DUMMYFUNCTION("""COMPUTED_VALUE"""),"庫存調整")</f>
        <v>庫存調整</v>
      </c>
      <c r="C805" s="1" t="str">
        <f ca="1">IFERROR(__xludf.DUMMYFUNCTION("""COMPUTED_VALUE"""),"MM0260000249")</f>
        <v>MM0260000249</v>
      </c>
      <c r="D805" s="1" t="str">
        <f ca="1">IFERROR(__xludf.DUMMYFUNCTION("""COMPUTED_VALUE"""),"All/RL")</f>
        <v>All/RL</v>
      </c>
      <c r="E805" s="1" t="str">
        <f ca="1">IFERROR(__xludf.DUMMYFUNCTION("""COMPUTED_VALUE"""),"p2/庫存")</f>
        <v>p2/庫存</v>
      </c>
      <c r="F805" s="1">
        <f ca="1">IFERROR(__xludf.DUMMYFUNCTION("""COMPUTED_VALUE"""),1)</f>
        <v>1</v>
      </c>
      <c r="G805" s="1"/>
      <c r="H805" s="1" t="str">
        <f ca="1">IFERROR(__xludf.DUMMYFUNCTION("""COMPUTED_VALUE"""),"P2")</f>
        <v>P2</v>
      </c>
      <c r="I805" s="1" t="str">
        <f ca="1">IFERROR(__xludf.DUMMYFUNCTION("""COMPUTED_VALUE"""),"Chiao Yu")</f>
        <v>Chiao Yu</v>
      </c>
    </row>
    <row r="806" spans="1:9" ht="12.7" x14ac:dyDescent="0.4">
      <c r="A806" s="2">
        <f ca="1">IFERROR(__xludf.DUMMYFUNCTION("""COMPUTED_VALUE"""),45640.7151455092)</f>
        <v>45640.715145509203</v>
      </c>
      <c r="B806" s="1" t="str">
        <f ca="1">IFERROR(__xludf.DUMMYFUNCTION("""COMPUTED_VALUE"""),"庫存調整")</f>
        <v>庫存調整</v>
      </c>
      <c r="C806" s="1" t="str">
        <f ca="1">IFERROR(__xludf.DUMMYFUNCTION("""COMPUTED_VALUE"""),"ME0020000562")</f>
        <v>ME0020000562</v>
      </c>
      <c r="D806" s="1" t="str">
        <f ca="1">IFERROR(__xludf.DUMMYFUNCTION("""COMPUTED_VALUE"""),"All/共用")</f>
        <v>All/共用</v>
      </c>
      <c r="E806" s="1" t="str">
        <f ca="1">IFERROR(__xludf.DUMMYFUNCTION("""COMPUTED_VALUE"""),"p1/庫存")</f>
        <v>p1/庫存</v>
      </c>
      <c r="F806" s="1">
        <f ca="1">IFERROR(__xludf.DUMMYFUNCTION("""COMPUTED_VALUE"""),1)</f>
        <v>1</v>
      </c>
      <c r="G806" s="1"/>
      <c r="H806" s="1" t="str">
        <f ca="1">IFERROR(__xludf.DUMMYFUNCTION("""COMPUTED_VALUE"""),"P1")</f>
        <v>P1</v>
      </c>
      <c r="I806" s="1" t="str">
        <f ca="1">IFERROR(__xludf.DUMMYFUNCTION("""COMPUTED_VALUE"""),"Simon")</f>
        <v>Simon</v>
      </c>
    </row>
    <row r="807" spans="1:9" ht="12.7" x14ac:dyDescent="0.4">
      <c r="A807" s="2">
        <f ca="1">IFERROR(__xludf.DUMMYFUNCTION("""COMPUTED_VALUE"""),45640.716747905)</f>
        <v>45640.716747904997</v>
      </c>
      <c r="B807" s="1" t="str">
        <f ca="1">IFERROR(__xludf.DUMMYFUNCTION("""COMPUTED_VALUE"""),"庫存調整")</f>
        <v>庫存調整</v>
      </c>
      <c r="C807" s="1" t="str">
        <f ca="1">IFERROR(__xludf.DUMMYFUNCTION("""COMPUTED_VALUE"""),"ME0050000184")</f>
        <v>ME0050000184</v>
      </c>
      <c r="D807" s="1" t="str">
        <f ca="1">IFERROR(__xludf.DUMMYFUNCTION("""COMPUTED_VALUE"""),"All/COLOR")</f>
        <v>All/COLOR</v>
      </c>
      <c r="E807" s="1" t="str">
        <f ca="1">IFERROR(__xludf.DUMMYFUNCTION("""COMPUTED_VALUE"""),"p1/庫存")</f>
        <v>p1/庫存</v>
      </c>
      <c r="F807" s="1">
        <f ca="1">IFERROR(__xludf.DUMMYFUNCTION("""COMPUTED_VALUE"""),3)</f>
        <v>3</v>
      </c>
      <c r="G807" s="1"/>
      <c r="H807" s="1" t="str">
        <f ca="1">IFERROR(__xludf.DUMMYFUNCTION("""COMPUTED_VALUE"""),"P1")</f>
        <v>P1</v>
      </c>
      <c r="I807" s="1" t="str">
        <f ca="1">IFERROR(__xludf.DUMMYFUNCTION("""COMPUTED_VALUE"""),"Simon")</f>
        <v>Simon</v>
      </c>
    </row>
    <row r="808" spans="1:9" ht="12.7" x14ac:dyDescent="0.4">
      <c r="A808" s="2">
        <f ca="1">IFERROR(__xludf.DUMMYFUNCTION("""COMPUTED_VALUE"""),45640.717796412)</f>
        <v>45640.717796411998</v>
      </c>
      <c r="B808" s="1" t="str">
        <f ca="1">IFERROR(__xludf.DUMMYFUNCTION("""COMPUTED_VALUE"""),"庫存調整")</f>
        <v>庫存調整</v>
      </c>
      <c r="C808" s="1" t="str">
        <f ca="1">IFERROR(__xludf.DUMMYFUNCTION("""COMPUTED_VALUE"""),"ME0060000270")</f>
        <v>ME0060000270</v>
      </c>
      <c r="D808" s="1" t="str">
        <f ca="1">IFERROR(__xludf.DUMMYFUNCTION("""COMPUTED_VALUE"""),"All/共用")</f>
        <v>All/共用</v>
      </c>
      <c r="E808" s="1" t="str">
        <f ca="1">IFERROR(__xludf.DUMMYFUNCTION("""COMPUTED_VALUE"""),"p1/庫存")</f>
        <v>p1/庫存</v>
      </c>
      <c r="F808" s="1">
        <f ca="1">IFERROR(__xludf.DUMMYFUNCTION("""COMPUTED_VALUE"""),1)</f>
        <v>1</v>
      </c>
      <c r="G808" s="1"/>
      <c r="H808" s="1" t="str">
        <f ca="1">IFERROR(__xludf.DUMMYFUNCTION("""COMPUTED_VALUE"""),"P1")</f>
        <v>P1</v>
      </c>
      <c r="I808" s="1" t="str">
        <f ca="1">IFERROR(__xludf.DUMMYFUNCTION("""COMPUTED_VALUE"""),"Simon")</f>
        <v>Simon</v>
      </c>
    </row>
    <row r="809" spans="1:9" ht="12.7" x14ac:dyDescent="0.4">
      <c r="A809" s="2">
        <f ca="1">IFERROR(__xludf.DUMMYFUNCTION("""COMPUTED_VALUE"""),45640.7188015277)</f>
        <v>45640.718801527699</v>
      </c>
      <c r="B809" s="1" t="str">
        <f ca="1">IFERROR(__xludf.DUMMYFUNCTION("""COMPUTED_VALUE"""),"庫存調整")</f>
        <v>庫存調整</v>
      </c>
      <c r="C809" s="1" t="str">
        <f ca="1">IFERROR(__xludf.DUMMYFUNCTION("""COMPUTED_VALUE"""),"ME0270001309")</f>
        <v>ME0270001309</v>
      </c>
      <c r="D809" s="1" t="str">
        <f ca="1">IFERROR(__xludf.DUMMYFUNCTION("""COMPUTED_VALUE"""),"All/SB")</f>
        <v>All/SB</v>
      </c>
      <c r="E809" s="1" t="str">
        <f ca="1">IFERROR(__xludf.DUMMYFUNCTION("""COMPUTED_VALUE"""),"p2/庫存")</f>
        <v>p2/庫存</v>
      </c>
      <c r="F809" s="1">
        <f ca="1">IFERROR(__xludf.DUMMYFUNCTION("""COMPUTED_VALUE"""),1)</f>
        <v>1</v>
      </c>
      <c r="G809" s="1"/>
      <c r="H809" s="1" t="str">
        <f ca="1">IFERROR(__xludf.DUMMYFUNCTION("""COMPUTED_VALUE"""),"P2")</f>
        <v>P2</v>
      </c>
      <c r="I809" s="1" t="str">
        <f ca="1">IFERROR(__xludf.DUMMYFUNCTION("""COMPUTED_VALUE"""),"Chiao Yu")</f>
        <v>Chiao Yu</v>
      </c>
    </row>
    <row r="810" spans="1:9" ht="12.7" x14ac:dyDescent="0.4">
      <c r="A810" s="2">
        <f ca="1">IFERROR(__xludf.DUMMYFUNCTION("""COMPUTED_VALUE"""),45640.7191401736)</f>
        <v>45640.719140173598</v>
      </c>
      <c r="B810" s="1" t="str">
        <f ca="1">IFERROR(__xludf.DUMMYFUNCTION("""COMPUTED_VALUE"""),"庫存調整")</f>
        <v>庫存調整</v>
      </c>
      <c r="C810" s="1" t="str">
        <f ca="1">IFERROR(__xludf.DUMMYFUNCTION("""COMPUTED_VALUE"""),"ME0060000278")</f>
        <v>ME0060000278</v>
      </c>
      <c r="D810" s="1" t="str">
        <f ca="1">IFERROR(__xludf.DUMMYFUNCTION("""COMPUTED_VALUE"""),"All/共用")</f>
        <v>All/共用</v>
      </c>
      <c r="E810" s="1" t="str">
        <f ca="1">IFERROR(__xludf.DUMMYFUNCTION("""COMPUTED_VALUE"""),"p1/庫存")</f>
        <v>p1/庫存</v>
      </c>
      <c r="F810" s="1">
        <f ca="1">IFERROR(__xludf.DUMMYFUNCTION("""COMPUTED_VALUE"""),-3)</f>
        <v>-3</v>
      </c>
      <c r="G810" s="1"/>
      <c r="H810" s="1" t="str">
        <f ca="1">IFERROR(__xludf.DUMMYFUNCTION("""COMPUTED_VALUE"""),"P1")</f>
        <v>P1</v>
      </c>
      <c r="I810" s="1" t="str">
        <f ca="1">IFERROR(__xludf.DUMMYFUNCTION("""COMPUTED_VALUE"""),"Simon")</f>
        <v>Simon</v>
      </c>
    </row>
    <row r="811" spans="1:9" ht="12.7" x14ac:dyDescent="0.4">
      <c r="A811" s="2">
        <f ca="1">IFERROR(__xludf.DUMMYFUNCTION("""COMPUTED_VALUE"""),45640.7204512384)</f>
        <v>45640.720451238398</v>
      </c>
      <c r="B811" s="1" t="str">
        <f ca="1">IFERROR(__xludf.DUMMYFUNCTION("""COMPUTED_VALUE"""),"庫存調整")</f>
        <v>庫存調整</v>
      </c>
      <c r="C811" s="1" t="str">
        <f ca="1">IFERROR(__xludf.DUMMYFUNCTION("""COMPUTED_VALUE"""),"ME0160000130")</f>
        <v>ME0160000130</v>
      </c>
      <c r="D811" s="1" t="str">
        <f ca="1">IFERROR(__xludf.DUMMYFUNCTION("""COMPUTED_VALUE"""),"All/BA")</f>
        <v>All/BA</v>
      </c>
      <c r="E811" s="1" t="str">
        <f ca="1">IFERROR(__xludf.DUMMYFUNCTION("""COMPUTED_VALUE"""),"p1/庫存")</f>
        <v>p1/庫存</v>
      </c>
      <c r="F811" s="1">
        <f ca="1">IFERROR(__xludf.DUMMYFUNCTION("""COMPUTED_VALUE"""),1)</f>
        <v>1</v>
      </c>
      <c r="G811" s="1"/>
      <c r="H811" s="1" t="str">
        <f ca="1">IFERROR(__xludf.DUMMYFUNCTION("""COMPUTED_VALUE"""),"P1")</f>
        <v>P1</v>
      </c>
      <c r="I811" s="1" t="str">
        <f ca="1">IFERROR(__xludf.DUMMYFUNCTION("""COMPUTED_VALUE"""),"Simon")</f>
        <v>Simon</v>
      </c>
    </row>
    <row r="812" spans="1:9" ht="12.7" x14ac:dyDescent="0.4">
      <c r="A812" s="2">
        <f ca="1">IFERROR(__xludf.DUMMYFUNCTION("""COMPUTED_VALUE"""),45640.7218382291)</f>
        <v>45640.721838229103</v>
      </c>
      <c r="B812" s="1" t="str">
        <f ca="1">IFERROR(__xludf.DUMMYFUNCTION("""COMPUTED_VALUE"""),"庫存調整")</f>
        <v>庫存調整</v>
      </c>
      <c r="C812" s="1" t="str">
        <f ca="1">IFERROR(__xludf.DUMMYFUNCTION("""COMPUTED_VALUE"""),"ME0270001045")</f>
        <v>ME0270001045</v>
      </c>
      <c r="D812" s="1" t="str">
        <f ca="1">IFERROR(__xludf.DUMMYFUNCTION("""COMPUTED_VALUE"""),"All/共用")</f>
        <v>All/共用</v>
      </c>
      <c r="E812" s="1" t="str">
        <f ca="1">IFERROR(__xludf.DUMMYFUNCTION("""COMPUTED_VALUE"""),"p1/庫存")</f>
        <v>p1/庫存</v>
      </c>
      <c r="F812" s="1">
        <f ca="1">IFERROR(__xludf.DUMMYFUNCTION("""COMPUTED_VALUE"""),1)</f>
        <v>1</v>
      </c>
      <c r="G812" s="1"/>
      <c r="H812" s="1" t="str">
        <f ca="1">IFERROR(__xludf.DUMMYFUNCTION("""COMPUTED_VALUE"""),"P1")</f>
        <v>P1</v>
      </c>
      <c r="I812" s="1" t="str">
        <f ca="1">IFERROR(__xludf.DUMMYFUNCTION("""COMPUTED_VALUE"""),"Simon")</f>
        <v>Simon</v>
      </c>
    </row>
    <row r="813" spans="1:9" ht="12.7" x14ac:dyDescent="0.4">
      <c r="A813" s="2">
        <f ca="1">IFERROR(__xludf.DUMMYFUNCTION("""COMPUTED_VALUE"""),45640.7253305787)</f>
        <v>45640.725330578702</v>
      </c>
      <c r="B813" s="1" t="str">
        <f ca="1">IFERROR(__xludf.DUMMYFUNCTION("""COMPUTED_VALUE"""),"庫存調整")</f>
        <v>庫存調整</v>
      </c>
      <c r="C813" s="1" t="str">
        <f ca="1">IFERROR(__xludf.DUMMYFUNCTION("""COMPUTED_VALUE"""),"ME0270001234")</f>
        <v>ME0270001234</v>
      </c>
      <c r="D813" s="1" t="str">
        <f ca="1">IFERROR(__xludf.DUMMYFUNCTION("""COMPUTED_VALUE"""),"All/BA")</f>
        <v>All/BA</v>
      </c>
      <c r="E813" s="1" t="str">
        <f ca="1">IFERROR(__xludf.DUMMYFUNCTION("""COMPUTED_VALUE"""),"p1/庫存")</f>
        <v>p1/庫存</v>
      </c>
      <c r="F813" s="1">
        <f ca="1">IFERROR(__xludf.DUMMYFUNCTION("""COMPUTED_VALUE"""),3)</f>
        <v>3</v>
      </c>
      <c r="G813" s="1"/>
      <c r="H813" s="1" t="str">
        <f ca="1">IFERROR(__xludf.DUMMYFUNCTION("""COMPUTED_VALUE"""),"P1")</f>
        <v>P1</v>
      </c>
      <c r="I813" s="1" t="str">
        <f ca="1">IFERROR(__xludf.DUMMYFUNCTION("""COMPUTED_VALUE"""),"Simon")</f>
        <v>Simon</v>
      </c>
    </row>
    <row r="814" spans="1:9" ht="12.7" x14ac:dyDescent="0.4">
      <c r="A814" s="2">
        <f ca="1">IFERROR(__xludf.DUMMYFUNCTION("""COMPUTED_VALUE"""),45640.7287899652)</f>
        <v>45640.7287899652</v>
      </c>
      <c r="B814" s="1" t="str">
        <f ca="1">IFERROR(__xludf.DUMMYFUNCTION("""COMPUTED_VALUE"""),"庫存調整")</f>
        <v>庫存調整</v>
      </c>
      <c r="C814" s="1" t="str">
        <f ca="1">IFERROR(__xludf.DUMMYFUNCTION("""COMPUTED_VALUE"""),"ME0050000178")</f>
        <v>ME0050000178</v>
      </c>
      <c r="D814" s="1" t="str">
        <f ca="1">IFERROR(__xludf.DUMMYFUNCTION("""COMPUTED_VALUE"""),"All/COLOR")</f>
        <v>All/COLOR</v>
      </c>
      <c r="E814" s="1" t="str">
        <f ca="1">IFERROR(__xludf.DUMMYFUNCTION("""COMPUTED_VALUE"""),"p1/庫存")</f>
        <v>p1/庫存</v>
      </c>
      <c r="F814" s="1">
        <f ca="1">IFERROR(__xludf.DUMMYFUNCTION("""COMPUTED_VALUE"""),3)</f>
        <v>3</v>
      </c>
      <c r="G814" s="1"/>
      <c r="H814" s="1" t="str">
        <f ca="1">IFERROR(__xludf.DUMMYFUNCTION("""COMPUTED_VALUE"""),"P1")</f>
        <v>P1</v>
      </c>
      <c r="I814" s="1" t="str">
        <f ca="1">IFERROR(__xludf.DUMMYFUNCTION("""COMPUTED_VALUE"""),"Simon")</f>
        <v>Simon</v>
      </c>
    </row>
    <row r="815" spans="1:9" ht="12.7" x14ac:dyDescent="0.4">
      <c r="A815" s="2">
        <f ca="1">IFERROR(__xludf.DUMMYFUNCTION("""COMPUTED_VALUE"""),45642.3644695601)</f>
        <v>45642.364469560103</v>
      </c>
      <c r="B815" s="1" t="str">
        <f ca="1">IFERROR(__xludf.DUMMYFUNCTION("""COMPUTED_VALUE"""),"領料")</f>
        <v>領料</v>
      </c>
      <c r="C815" s="1" t="str">
        <f ca="1">IFERROR(__xludf.DUMMYFUNCTION("""COMPUTED_VALUE"""),"A00700000482")</f>
        <v>A00700000482</v>
      </c>
      <c r="D815" s="1" t="str">
        <f ca="1">IFERROR(__xludf.DUMMYFUNCTION("""COMPUTED_VALUE"""),"All/SB")</f>
        <v>All/SB</v>
      </c>
      <c r="E815" s="1" t="str">
        <f ca="1">IFERROR(__xludf.DUMMYFUNCTION("""COMPUTED_VALUE"""),"p2/庫存")</f>
        <v>p2/庫存</v>
      </c>
      <c r="F815" s="1">
        <f ca="1">IFERROR(__xludf.DUMMYFUNCTION("""COMPUTED_VALUE"""),3)</f>
        <v>3</v>
      </c>
      <c r="G815" s="1"/>
      <c r="H815" s="1" t="str">
        <f ca="1">IFERROR(__xludf.DUMMYFUNCTION("""COMPUTED_VALUE"""),"P2_4003")</f>
        <v>P2_4003</v>
      </c>
      <c r="I815" s="1" t="str">
        <f ca="1">IFERROR(__xludf.DUMMYFUNCTION("""COMPUTED_VALUE"""),"Barry")</f>
        <v>Barry</v>
      </c>
    </row>
    <row r="816" spans="1:9" ht="12.7" x14ac:dyDescent="0.4">
      <c r="A816" s="2">
        <f ca="1">IFERROR(__xludf.DUMMYFUNCTION("""COMPUTED_VALUE"""),45642.6340861226)</f>
        <v>45642.634086122598</v>
      </c>
      <c r="B816" s="1" t="str">
        <f ca="1">IFERROR(__xludf.DUMMYFUNCTION("""COMPUTED_VALUE"""),"返修")</f>
        <v>返修</v>
      </c>
      <c r="C816" s="1" t="str">
        <f ca="1">IFERROR(__xludf.DUMMYFUNCTION("""COMPUTED_VALUE"""),"A00100000731")</f>
        <v>A00100000731</v>
      </c>
      <c r="D816" s="1" t="str">
        <f ca="1">IFERROR(__xludf.DUMMYFUNCTION("""COMPUTED_VALUE"""),"All/BA")</f>
        <v>All/BA</v>
      </c>
      <c r="E816" s="1" t="str">
        <f ca="1">IFERROR(__xludf.DUMMYFUNCTION("""COMPUTED_VALUE"""),"p1/庫存")</f>
        <v>p1/庫存</v>
      </c>
      <c r="F816" s="1">
        <f ca="1">IFERROR(__xludf.DUMMYFUNCTION("""COMPUTED_VALUE"""),1)</f>
        <v>1</v>
      </c>
      <c r="G816" s="1" t="str">
        <f ca="1">IFERROR(__xludf.DUMMYFUNCTION("""COMPUTED_VALUE"""),"04F389")</f>
        <v>04F389</v>
      </c>
      <c r="H816" s="1" t="str">
        <f ca="1">IFERROR(__xludf.DUMMYFUNCTION("""COMPUTED_VALUE"""),"P1")</f>
        <v>P1</v>
      </c>
      <c r="I816" s="1" t="str">
        <f ca="1">IFERROR(__xludf.DUMMYFUNCTION("""COMPUTED_VALUE"""),"Simon")</f>
        <v>Simon</v>
      </c>
    </row>
    <row r="817" spans="1:9" ht="12.7" x14ac:dyDescent="0.4">
      <c r="A817" s="2">
        <f ca="1">IFERROR(__xludf.DUMMYFUNCTION("""COMPUTED_VALUE"""),45643.2990317592)</f>
        <v>45643.299031759198</v>
      </c>
      <c r="B817" s="1" t="str">
        <f ca="1">IFERROR(__xludf.DUMMYFUNCTION("""COMPUTED_VALUE"""),"送修")</f>
        <v>送修</v>
      </c>
      <c r="C817" s="1" t="str">
        <f ca="1">IFERROR(__xludf.DUMMYFUNCTION("""COMPUTED_VALUE"""),"A00100000731")</f>
        <v>A00100000731</v>
      </c>
      <c r="D817" s="1" t="str">
        <f ca="1">IFERROR(__xludf.DUMMYFUNCTION("""COMPUTED_VALUE"""),"All/BA")</f>
        <v>All/BA</v>
      </c>
      <c r="E817" s="1" t="str">
        <f ca="1">IFERROR(__xludf.DUMMYFUNCTION("""COMPUTED_VALUE"""),"p1/庫存")</f>
        <v>p1/庫存</v>
      </c>
      <c r="F817" s="1">
        <f ca="1">IFERROR(__xludf.DUMMYFUNCTION("""COMPUTED_VALUE"""),1)</f>
        <v>1</v>
      </c>
      <c r="G817" s="1" t="str">
        <f ca="1">IFERROR(__xludf.DUMMYFUNCTION("""COMPUTED_VALUE"""),"06F149")</f>
        <v>06F149</v>
      </c>
      <c r="H817" s="1" t="str">
        <f ca="1">IFERROR(__xludf.DUMMYFUNCTION("""COMPUTED_VALUE"""),"P2_052")</f>
        <v>P2_052</v>
      </c>
      <c r="I817" s="1" t="str">
        <f ca="1">IFERROR(__xludf.DUMMYFUNCTION("""COMPUTED_VALUE"""),"Jason")</f>
        <v>Jason</v>
      </c>
    </row>
    <row r="818" spans="1:9" ht="12.7" x14ac:dyDescent="0.4">
      <c r="A818" s="2">
        <f ca="1">IFERROR(__xludf.DUMMYFUNCTION("""COMPUTED_VALUE"""),45644.3602316319)</f>
        <v>45644.360231631901</v>
      </c>
      <c r="B818" s="1" t="str">
        <f ca="1">IFERROR(__xludf.DUMMYFUNCTION("""COMPUTED_VALUE"""),"領料")</f>
        <v>領料</v>
      </c>
      <c r="C818" s="1" t="str">
        <f ca="1">IFERROR(__xludf.DUMMYFUNCTION("""COMPUTED_VALUE"""),"MM0260000157")</f>
        <v>MM0260000157</v>
      </c>
      <c r="D818" s="1" t="str">
        <f ca="1">IFERROR(__xludf.DUMMYFUNCTION("""COMPUTED_VALUE"""),"All/BA")</f>
        <v>All/BA</v>
      </c>
      <c r="E818" s="1" t="str">
        <f ca="1">IFERROR(__xludf.DUMMYFUNCTION("""COMPUTED_VALUE"""),"p2/庫存")</f>
        <v>p2/庫存</v>
      </c>
      <c r="F818" s="1">
        <f ca="1">IFERROR(__xludf.DUMMYFUNCTION("""COMPUTED_VALUE"""),2)</f>
        <v>2</v>
      </c>
      <c r="G818" s="1"/>
      <c r="H818" s="1" t="str">
        <f ca="1">IFERROR(__xludf.DUMMYFUNCTION("""COMPUTED_VALUE"""),"P2_033")</f>
        <v>P2_033</v>
      </c>
      <c r="I818" s="1" t="str">
        <f ca="1">IFERROR(__xludf.DUMMYFUNCTION("""COMPUTED_VALUE"""),"Chiao Yu")</f>
        <v>Chiao Yu</v>
      </c>
    </row>
    <row r="819" spans="1:9" ht="12.7" x14ac:dyDescent="0.4">
      <c r="A819" s="2">
        <f ca="1">IFERROR(__xludf.DUMMYFUNCTION("""COMPUTED_VALUE"""),45644.4696182291)</f>
        <v>45644.469618229101</v>
      </c>
      <c r="B819" s="1" t="str">
        <f ca="1">IFERROR(__xludf.DUMMYFUNCTION("""COMPUTED_VALUE"""),"庫存調整")</f>
        <v>庫存調整</v>
      </c>
      <c r="C819" s="1" t="str">
        <f ca="1">IFERROR(__xludf.DUMMYFUNCTION("""COMPUTED_VALUE"""),"MM0010000272")</f>
        <v>MM0010000272</v>
      </c>
      <c r="D819" s="1" t="str">
        <f ca="1">IFERROR(__xludf.DUMMYFUNCTION("""COMPUTED_VALUE"""),"All/RL")</f>
        <v>All/RL</v>
      </c>
      <c r="E819" s="1" t="str">
        <f ca="1">IFERROR(__xludf.DUMMYFUNCTION("""COMPUTED_VALUE"""),"p2/庫存")</f>
        <v>p2/庫存</v>
      </c>
      <c r="F819" s="1">
        <f ca="1">IFERROR(__xludf.DUMMYFUNCTION("""COMPUTED_VALUE"""),1)</f>
        <v>1</v>
      </c>
      <c r="G819" s="1"/>
      <c r="H819" s="1" t="str">
        <f ca="1">IFERROR(__xludf.DUMMYFUNCTION("""COMPUTED_VALUE"""),"P2")</f>
        <v>P2</v>
      </c>
      <c r="I819" s="1" t="str">
        <f ca="1">IFERROR(__xludf.DUMMYFUNCTION("""COMPUTED_VALUE"""),"Chiao Yu")</f>
        <v>Chiao Yu</v>
      </c>
    </row>
    <row r="820" spans="1:9" ht="12.7" x14ac:dyDescent="0.4">
      <c r="A820" s="2">
        <f ca="1">IFERROR(__xludf.DUMMYFUNCTION("""COMPUTED_VALUE"""),45645.6844091203)</f>
        <v>45645.684409120302</v>
      </c>
      <c r="B820" s="1" t="str">
        <f ca="1">IFERROR(__xludf.DUMMYFUNCTION("""COMPUTED_VALUE"""),"進貨")</f>
        <v>進貨</v>
      </c>
      <c r="C820" s="1" t="str">
        <f ca="1">IFERROR(__xludf.DUMMYFUNCTION("""COMPUTED_VALUE"""),"ME0300000028")</f>
        <v>ME0300000028</v>
      </c>
      <c r="D820" s="1" t="str">
        <f ca="1">IFERROR(__xludf.DUMMYFUNCTION("""COMPUTED_VALUE"""),"All/SB")</f>
        <v>All/SB</v>
      </c>
      <c r="E820" s="1" t="str">
        <f ca="1">IFERROR(__xludf.DUMMYFUNCTION("""COMPUTED_VALUE"""),"p1/庫存")</f>
        <v>p1/庫存</v>
      </c>
      <c r="F820" s="1">
        <f ca="1">IFERROR(__xludf.DUMMYFUNCTION("""COMPUTED_VALUE"""),1)</f>
        <v>1</v>
      </c>
      <c r="G820" s="1"/>
      <c r="H820" s="1" t="str">
        <f ca="1">IFERROR(__xludf.DUMMYFUNCTION("""COMPUTED_VALUE"""),"P1")</f>
        <v>P1</v>
      </c>
      <c r="I820" s="1" t="str">
        <f ca="1">IFERROR(__xludf.DUMMYFUNCTION("""COMPUTED_VALUE"""),"Chiao Yu")</f>
        <v>Chiao Yu</v>
      </c>
    </row>
    <row r="821" spans="1:9" ht="12.7" x14ac:dyDescent="0.4">
      <c r="A821" s="2">
        <f ca="1">IFERROR(__xludf.DUMMYFUNCTION("""COMPUTED_VALUE"""),45645.6855340972)</f>
        <v>45645.685534097203</v>
      </c>
      <c r="B821" s="1" t="str">
        <f ca="1">IFERROR(__xludf.DUMMYFUNCTION("""COMPUTED_VALUE"""),"進貨")</f>
        <v>進貨</v>
      </c>
      <c r="C821" s="1" t="str">
        <f ca="1">IFERROR(__xludf.DUMMYFUNCTION("""COMPUTED_VALUE"""),"ME0300000028")</f>
        <v>ME0300000028</v>
      </c>
      <c r="D821" s="1" t="str">
        <f ca="1">IFERROR(__xludf.DUMMYFUNCTION("""COMPUTED_VALUE"""),"All/SB")</f>
        <v>All/SB</v>
      </c>
      <c r="E821" s="1" t="str">
        <f ca="1">IFERROR(__xludf.DUMMYFUNCTION("""COMPUTED_VALUE"""),"p2/庫存")</f>
        <v>p2/庫存</v>
      </c>
      <c r="F821" s="1">
        <f ca="1">IFERROR(__xludf.DUMMYFUNCTION("""COMPUTED_VALUE"""),1)</f>
        <v>1</v>
      </c>
      <c r="G821" s="1"/>
      <c r="H821" s="1" t="str">
        <f ca="1">IFERROR(__xludf.DUMMYFUNCTION("""COMPUTED_VALUE"""),"P2")</f>
        <v>P2</v>
      </c>
      <c r="I821" s="1" t="str">
        <f ca="1">IFERROR(__xludf.DUMMYFUNCTION("""COMPUTED_VALUE"""),"Chiao Yu")</f>
        <v>Chiao Yu</v>
      </c>
    </row>
    <row r="822" spans="1:9" ht="12.7" x14ac:dyDescent="0.4">
      <c r="A822" s="2">
        <f ca="1">IFERROR(__xludf.DUMMYFUNCTION("""COMPUTED_VALUE"""),45645.6866378703)</f>
        <v>45645.686637870298</v>
      </c>
      <c r="B822" s="1" t="str">
        <f ca="1">IFERROR(__xludf.DUMMYFUNCTION("""COMPUTED_VALUE"""),"進貨")</f>
        <v>進貨</v>
      </c>
      <c r="C822" s="1" t="str">
        <f ca="1">IFERROR(__xludf.DUMMYFUNCTION("""COMPUTED_VALUE"""),"ME0100000086")</f>
        <v>ME0100000086</v>
      </c>
      <c r="D822" s="1" t="str">
        <f ca="1">IFERROR(__xludf.DUMMYFUNCTION("""COMPUTED_VALUE"""),"All/SB")</f>
        <v>All/SB</v>
      </c>
      <c r="E822" s="1" t="str">
        <f ca="1">IFERROR(__xludf.DUMMYFUNCTION("""COMPUTED_VALUE"""),"p1/庫存")</f>
        <v>p1/庫存</v>
      </c>
      <c r="F822" s="1">
        <f ca="1">IFERROR(__xludf.DUMMYFUNCTION("""COMPUTED_VALUE"""),1)</f>
        <v>1</v>
      </c>
      <c r="G822" s="1"/>
      <c r="H822" s="1" t="str">
        <f ca="1">IFERROR(__xludf.DUMMYFUNCTION("""COMPUTED_VALUE"""),"P1")</f>
        <v>P1</v>
      </c>
      <c r="I822" s="1" t="str">
        <f ca="1">IFERROR(__xludf.DUMMYFUNCTION("""COMPUTED_VALUE"""),"Chiao Yu")</f>
        <v>Chiao Yu</v>
      </c>
    </row>
    <row r="823" spans="1:9" ht="12.7" x14ac:dyDescent="0.4">
      <c r="A823" s="2">
        <f ca="1">IFERROR(__xludf.DUMMYFUNCTION("""COMPUTED_VALUE"""),45645.6871274652)</f>
        <v>45645.6871274652</v>
      </c>
      <c r="B823" s="1" t="str">
        <f ca="1">IFERROR(__xludf.DUMMYFUNCTION("""COMPUTED_VALUE"""),"進貨")</f>
        <v>進貨</v>
      </c>
      <c r="C823" s="1" t="str">
        <f ca="1">IFERROR(__xludf.DUMMYFUNCTION("""COMPUTED_VALUE"""),"ME0100000086")</f>
        <v>ME0100000086</v>
      </c>
      <c r="D823" s="1" t="str">
        <f ca="1">IFERROR(__xludf.DUMMYFUNCTION("""COMPUTED_VALUE"""),"All/SB")</f>
        <v>All/SB</v>
      </c>
      <c r="E823" s="1" t="str">
        <f ca="1">IFERROR(__xludf.DUMMYFUNCTION("""COMPUTED_VALUE"""),"p2/庫存")</f>
        <v>p2/庫存</v>
      </c>
      <c r="F823" s="1">
        <f ca="1">IFERROR(__xludf.DUMMYFUNCTION("""COMPUTED_VALUE"""),1)</f>
        <v>1</v>
      </c>
      <c r="G823" s="1"/>
      <c r="H823" s="1" t="str">
        <f ca="1">IFERROR(__xludf.DUMMYFUNCTION("""COMPUTED_VALUE"""),"P2")</f>
        <v>P2</v>
      </c>
      <c r="I823" s="1" t="str">
        <f ca="1">IFERROR(__xludf.DUMMYFUNCTION("""COMPUTED_VALUE"""),"Chiao Yu")</f>
        <v>Chiao Yu</v>
      </c>
    </row>
    <row r="824" spans="1:9" ht="12.7" x14ac:dyDescent="0.4">
      <c r="A824" s="2">
        <f ca="1">IFERROR(__xludf.DUMMYFUNCTION("""COMPUTED_VALUE"""),45645.6933826388)</f>
        <v>45645.693382638798</v>
      </c>
      <c r="B824" s="1" t="str">
        <f ca="1">IFERROR(__xludf.DUMMYFUNCTION("""COMPUTED_VALUE"""),"進貨")</f>
        <v>進貨</v>
      </c>
      <c r="C824" s="1" t="str">
        <f ca="1">IFERROR(__xludf.DUMMYFUNCTION("""COMPUTED_VALUE"""),"ME0100000087")</f>
        <v>ME0100000087</v>
      </c>
      <c r="D824" s="1" t="str">
        <f ca="1">IFERROR(__xludf.DUMMYFUNCTION("""COMPUTED_VALUE"""),"All/SB")</f>
        <v>All/SB</v>
      </c>
      <c r="E824" s="1" t="str">
        <f ca="1">IFERROR(__xludf.DUMMYFUNCTION("""COMPUTED_VALUE"""),"p1/庫存")</f>
        <v>p1/庫存</v>
      </c>
      <c r="F824" s="1">
        <f ca="1">IFERROR(__xludf.DUMMYFUNCTION("""COMPUTED_VALUE"""),1)</f>
        <v>1</v>
      </c>
      <c r="G824" s="1"/>
      <c r="H824" s="1" t="str">
        <f ca="1">IFERROR(__xludf.DUMMYFUNCTION("""COMPUTED_VALUE"""),"P1")</f>
        <v>P1</v>
      </c>
      <c r="I824" s="1" t="str">
        <f ca="1">IFERROR(__xludf.DUMMYFUNCTION("""COMPUTED_VALUE"""),"Chiao Yu")</f>
        <v>Chiao Yu</v>
      </c>
    </row>
    <row r="825" spans="1:9" ht="12.7" x14ac:dyDescent="0.4">
      <c r="A825" s="2">
        <f ca="1">IFERROR(__xludf.DUMMYFUNCTION("""COMPUTED_VALUE"""),45645.6953735879)</f>
        <v>45645.6953735879</v>
      </c>
      <c r="B825" s="1" t="str">
        <f ca="1">IFERROR(__xludf.DUMMYFUNCTION("""COMPUTED_VALUE"""),"進貨")</f>
        <v>進貨</v>
      </c>
      <c r="C825" s="1" t="str">
        <f ca="1">IFERROR(__xludf.DUMMYFUNCTION("""COMPUTED_VALUE"""),"ME0100000087")</f>
        <v>ME0100000087</v>
      </c>
      <c r="D825" s="1" t="str">
        <f ca="1">IFERROR(__xludf.DUMMYFUNCTION("""COMPUTED_VALUE"""),"All/SB")</f>
        <v>All/SB</v>
      </c>
      <c r="E825" s="1" t="str">
        <f ca="1">IFERROR(__xludf.DUMMYFUNCTION("""COMPUTED_VALUE"""),"p2/庫存")</f>
        <v>p2/庫存</v>
      </c>
      <c r="F825" s="1">
        <f ca="1">IFERROR(__xludf.DUMMYFUNCTION("""COMPUTED_VALUE"""),1)</f>
        <v>1</v>
      </c>
      <c r="G825" s="1"/>
      <c r="H825" s="1" t="str">
        <f ca="1">IFERROR(__xludf.DUMMYFUNCTION("""COMPUTED_VALUE"""),"P2")</f>
        <v>P2</v>
      </c>
      <c r="I825" s="1" t="str">
        <f ca="1">IFERROR(__xludf.DUMMYFUNCTION("""COMPUTED_VALUE"""),"Chiao Yu")</f>
        <v>Chiao Yu</v>
      </c>
    </row>
    <row r="826" spans="1:9" ht="12.7" x14ac:dyDescent="0.4">
      <c r="A826" s="2">
        <f ca="1">IFERROR(__xludf.DUMMYFUNCTION("""COMPUTED_VALUE"""),45645.6965503356)</f>
        <v>45645.696550335597</v>
      </c>
      <c r="B826" s="1" t="str">
        <f ca="1">IFERROR(__xludf.DUMMYFUNCTION("""COMPUTED_VALUE"""),"進貨")</f>
        <v>進貨</v>
      </c>
      <c r="C826" s="1" t="str">
        <f ca="1">IFERROR(__xludf.DUMMYFUNCTION("""COMPUTED_VALUE"""),"ME0100000077")</f>
        <v>ME0100000077</v>
      </c>
      <c r="D826" s="1" t="str">
        <f ca="1">IFERROR(__xludf.DUMMYFUNCTION("""COMPUTED_VALUE"""),"All/COLOR")</f>
        <v>All/COLOR</v>
      </c>
      <c r="E826" s="1" t="str">
        <f ca="1">IFERROR(__xludf.DUMMYFUNCTION("""COMPUTED_VALUE"""),"p1/庫存")</f>
        <v>p1/庫存</v>
      </c>
      <c r="F826" s="1">
        <f ca="1">IFERROR(__xludf.DUMMYFUNCTION("""COMPUTED_VALUE"""),1)</f>
        <v>1</v>
      </c>
      <c r="G826" s="1"/>
      <c r="H826" s="1" t="str">
        <f ca="1">IFERROR(__xludf.DUMMYFUNCTION("""COMPUTED_VALUE"""),"P1")</f>
        <v>P1</v>
      </c>
      <c r="I826" s="1" t="str">
        <f ca="1">IFERROR(__xludf.DUMMYFUNCTION("""COMPUTED_VALUE"""),"Chiao Yu")</f>
        <v>Chiao Yu</v>
      </c>
    </row>
    <row r="827" spans="1:9" ht="12.7" x14ac:dyDescent="0.4">
      <c r="A827" s="2">
        <f ca="1">IFERROR(__xludf.DUMMYFUNCTION("""COMPUTED_VALUE"""),45645.6969862615)</f>
        <v>45645.696986261501</v>
      </c>
      <c r="B827" s="1" t="str">
        <f ca="1">IFERROR(__xludf.DUMMYFUNCTION("""COMPUTED_VALUE"""),"進貨")</f>
        <v>進貨</v>
      </c>
      <c r="C827" s="1" t="str">
        <f ca="1">IFERROR(__xludf.DUMMYFUNCTION("""COMPUTED_VALUE"""),"ME0100000077")</f>
        <v>ME0100000077</v>
      </c>
      <c r="D827" s="1" t="str">
        <f ca="1">IFERROR(__xludf.DUMMYFUNCTION("""COMPUTED_VALUE"""),"All/COLOR")</f>
        <v>All/COLOR</v>
      </c>
      <c r="E827" s="1" t="str">
        <f ca="1">IFERROR(__xludf.DUMMYFUNCTION("""COMPUTED_VALUE"""),"p2/庫存")</f>
        <v>p2/庫存</v>
      </c>
      <c r="F827" s="1">
        <f ca="1">IFERROR(__xludf.DUMMYFUNCTION("""COMPUTED_VALUE"""),1)</f>
        <v>1</v>
      </c>
      <c r="G827" s="1"/>
      <c r="H827" s="1" t="str">
        <f ca="1">IFERROR(__xludf.DUMMYFUNCTION("""COMPUTED_VALUE"""),"P2")</f>
        <v>P2</v>
      </c>
      <c r="I827" s="1" t="str">
        <f ca="1">IFERROR(__xludf.DUMMYFUNCTION("""COMPUTED_VALUE"""),"Chiao Yu")</f>
        <v>Chiao Yu</v>
      </c>
    </row>
    <row r="828" spans="1:9" ht="12.7" x14ac:dyDescent="0.4">
      <c r="A828" s="2">
        <f ca="1">IFERROR(__xludf.DUMMYFUNCTION("""COMPUTED_VALUE"""),45645.6974795486)</f>
        <v>45645.697479548602</v>
      </c>
      <c r="B828" s="1" t="str">
        <f ca="1">IFERROR(__xludf.DUMMYFUNCTION("""COMPUTED_VALUE"""),"進貨")</f>
        <v>進貨</v>
      </c>
      <c r="C828" s="1" t="str">
        <f ca="1">IFERROR(__xludf.DUMMYFUNCTION("""COMPUTED_VALUE"""),"ME0100000078")</f>
        <v>ME0100000078</v>
      </c>
      <c r="D828" s="1" t="str">
        <f ca="1">IFERROR(__xludf.DUMMYFUNCTION("""COMPUTED_VALUE"""),"All/COLOR")</f>
        <v>All/COLOR</v>
      </c>
      <c r="E828" s="1" t="str">
        <f ca="1">IFERROR(__xludf.DUMMYFUNCTION("""COMPUTED_VALUE"""),"p1/庫存")</f>
        <v>p1/庫存</v>
      </c>
      <c r="F828" s="1">
        <f ca="1">IFERROR(__xludf.DUMMYFUNCTION("""COMPUTED_VALUE"""),1)</f>
        <v>1</v>
      </c>
      <c r="G828" s="1"/>
      <c r="H828" s="1" t="str">
        <f ca="1">IFERROR(__xludf.DUMMYFUNCTION("""COMPUTED_VALUE"""),"P1")</f>
        <v>P1</v>
      </c>
      <c r="I828" s="1" t="str">
        <f ca="1">IFERROR(__xludf.DUMMYFUNCTION("""COMPUTED_VALUE"""),"Chiao Yu")</f>
        <v>Chiao Yu</v>
      </c>
    </row>
    <row r="829" spans="1:9" ht="12.7" x14ac:dyDescent="0.4">
      <c r="A829" s="2">
        <f ca="1">IFERROR(__xludf.DUMMYFUNCTION("""COMPUTED_VALUE"""),45645.6981450925)</f>
        <v>45645.698145092501</v>
      </c>
      <c r="B829" s="1" t="str">
        <f ca="1">IFERROR(__xludf.DUMMYFUNCTION("""COMPUTED_VALUE"""),"進貨")</f>
        <v>進貨</v>
      </c>
      <c r="C829" s="1" t="str">
        <f ca="1">IFERROR(__xludf.DUMMYFUNCTION("""COMPUTED_VALUE"""),"ME0100000078")</f>
        <v>ME0100000078</v>
      </c>
      <c r="D829" s="1" t="str">
        <f ca="1">IFERROR(__xludf.DUMMYFUNCTION("""COMPUTED_VALUE"""),"All/COLOR")</f>
        <v>All/COLOR</v>
      </c>
      <c r="E829" s="1" t="str">
        <f ca="1">IFERROR(__xludf.DUMMYFUNCTION("""COMPUTED_VALUE"""),"p2/庫存")</f>
        <v>p2/庫存</v>
      </c>
      <c r="F829" s="1">
        <f ca="1">IFERROR(__xludf.DUMMYFUNCTION("""COMPUTED_VALUE"""),1)</f>
        <v>1</v>
      </c>
      <c r="G829" s="1"/>
      <c r="H829" s="1" t="str">
        <f ca="1">IFERROR(__xludf.DUMMYFUNCTION("""COMPUTED_VALUE"""),"P2")</f>
        <v>P2</v>
      </c>
      <c r="I829" s="1" t="str">
        <f ca="1">IFERROR(__xludf.DUMMYFUNCTION("""COMPUTED_VALUE"""),"Chiao Yu")</f>
        <v>Chiao Yu</v>
      </c>
    </row>
    <row r="830" spans="1:9" ht="12.7" x14ac:dyDescent="0.4">
      <c r="A830" s="2">
        <f ca="1">IFERROR(__xludf.DUMMYFUNCTION("""COMPUTED_VALUE"""),45645.6985592824)</f>
        <v>45645.698559282398</v>
      </c>
      <c r="B830" s="1" t="str">
        <f ca="1">IFERROR(__xludf.DUMMYFUNCTION("""COMPUTED_VALUE"""),"進貨")</f>
        <v>進貨</v>
      </c>
      <c r="C830" s="1" t="str">
        <f ca="1">IFERROR(__xludf.DUMMYFUNCTION("""COMPUTED_VALUE"""),"ME0100000079")</f>
        <v>ME0100000079</v>
      </c>
      <c r="D830" s="1" t="str">
        <f ca="1">IFERROR(__xludf.DUMMYFUNCTION("""COMPUTED_VALUE"""),"All/COLOR")</f>
        <v>All/COLOR</v>
      </c>
      <c r="E830" s="1" t="str">
        <f ca="1">IFERROR(__xludf.DUMMYFUNCTION("""COMPUTED_VALUE"""),"p1/庫存")</f>
        <v>p1/庫存</v>
      </c>
      <c r="F830" s="1">
        <f ca="1">IFERROR(__xludf.DUMMYFUNCTION("""COMPUTED_VALUE"""),1)</f>
        <v>1</v>
      </c>
      <c r="G830" s="1"/>
      <c r="H830" s="1" t="str">
        <f ca="1">IFERROR(__xludf.DUMMYFUNCTION("""COMPUTED_VALUE"""),"P1")</f>
        <v>P1</v>
      </c>
      <c r="I830" s="1" t="str">
        <f ca="1">IFERROR(__xludf.DUMMYFUNCTION("""COMPUTED_VALUE"""),"Chiao Yu")</f>
        <v>Chiao Yu</v>
      </c>
    </row>
    <row r="831" spans="1:9" ht="12.7" x14ac:dyDescent="0.4">
      <c r="A831" s="2">
        <f ca="1">IFERROR(__xludf.DUMMYFUNCTION("""COMPUTED_VALUE"""),45645.6997692939)</f>
        <v>45645.699769293897</v>
      </c>
      <c r="B831" s="1" t="str">
        <f ca="1">IFERROR(__xludf.DUMMYFUNCTION("""COMPUTED_VALUE"""),"進貨")</f>
        <v>進貨</v>
      </c>
      <c r="C831" s="1" t="str">
        <f ca="1">IFERROR(__xludf.DUMMYFUNCTION("""COMPUTED_VALUE"""),"ME0100000079")</f>
        <v>ME0100000079</v>
      </c>
      <c r="D831" s="1" t="str">
        <f ca="1">IFERROR(__xludf.DUMMYFUNCTION("""COMPUTED_VALUE"""),"All/COLOR")</f>
        <v>All/COLOR</v>
      </c>
      <c r="E831" s="1" t="str">
        <f ca="1">IFERROR(__xludf.DUMMYFUNCTION("""COMPUTED_VALUE"""),"p2/庫存")</f>
        <v>p2/庫存</v>
      </c>
      <c r="F831" s="1">
        <f ca="1">IFERROR(__xludf.DUMMYFUNCTION("""COMPUTED_VALUE"""),1)</f>
        <v>1</v>
      </c>
      <c r="G831" s="1"/>
      <c r="H831" s="1" t="str">
        <f ca="1">IFERROR(__xludf.DUMMYFUNCTION("""COMPUTED_VALUE"""),"P2")</f>
        <v>P2</v>
      </c>
      <c r="I831" s="1" t="str">
        <f ca="1">IFERROR(__xludf.DUMMYFUNCTION("""COMPUTED_VALUE"""),"Chiao Yu")</f>
        <v>Chiao Yu</v>
      </c>
    </row>
    <row r="832" spans="1:9" ht="12.7" x14ac:dyDescent="0.4">
      <c r="A832" s="2">
        <f ca="1">IFERROR(__xludf.DUMMYFUNCTION("""COMPUTED_VALUE"""),45645.7005181481)</f>
        <v>45645.7005181481</v>
      </c>
      <c r="B832" s="1" t="str">
        <f ca="1">IFERROR(__xludf.DUMMYFUNCTION("""COMPUTED_VALUE"""),"進貨")</f>
        <v>進貨</v>
      </c>
      <c r="C832" s="1" t="str">
        <f ca="1">IFERROR(__xludf.DUMMYFUNCTION("""COMPUTED_VALUE"""),"ME0100000081")</f>
        <v>ME0100000081</v>
      </c>
      <c r="D832" s="1" t="str">
        <f ca="1">IFERROR(__xludf.DUMMYFUNCTION("""COMPUTED_VALUE"""),"All/COLOR")</f>
        <v>All/COLOR</v>
      </c>
      <c r="E832" s="1" t="str">
        <f ca="1">IFERROR(__xludf.DUMMYFUNCTION("""COMPUTED_VALUE"""),"p1/庫存")</f>
        <v>p1/庫存</v>
      </c>
      <c r="F832" s="1">
        <f ca="1">IFERROR(__xludf.DUMMYFUNCTION("""COMPUTED_VALUE"""),1)</f>
        <v>1</v>
      </c>
      <c r="G832" s="1"/>
      <c r="H832" s="1" t="str">
        <f ca="1">IFERROR(__xludf.DUMMYFUNCTION("""COMPUTED_VALUE"""),"P1")</f>
        <v>P1</v>
      </c>
      <c r="I832" s="1" t="str">
        <f ca="1">IFERROR(__xludf.DUMMYFUNCTION("""COMPUTED_VALUE"""),"Chiao Yu")</f>
        <v>Chiao Yu</v>
      </c>
    </row>
    <row r="833" spans="1:9" ht="12.7" x14ac:dyDescent="0.4">
      <c r="A833" s="2">
        <f ca="1">IFERROR(__xludf.DUMMYFUNCTION("""COMPUTED_VALUE"""),45645.7008507754)</f>
        <v>45645.7008507754</v>
      </c>
      <c r="B833" s="1" t="str">
        <f ca="1">IFERROR(__xludf.DUMMYFUNCTION("""COMPUTED_VALUE"""),"進貨")</f>
        <v>進貨</v>
      </c>
      <c r="C833" s="1" t="str">
        <f ca="1">IFERROR(__xludf.DUMMYFUNCTION("""COMPUTED_VALUE"""),"ME0100000081")</f>
        <v>ME0100000081</v>
      </c>
      <c r="D833" s="1" t="str">
        <f ca="1">IFERROR(__xludf.DUMMYFUNCTION("""COMPUTED_VALUE"""),"All/COLOR")</f>
        <v>All/COLOR</v>
      </c>
      <c r="E833" s="1" t="str">
        <f ca="1">IFERROR(__xludf.DUMMYFUNCTION("""COMPUTED_VALUE"""),"p2/庫存")</f>
        <v>p2/庫存</v>
      </c>
      <c r="F833" s="1">
        <f ca="1">IFERROR(__xludf.DUMMYFUNCTION("""COMPUTED_VALUE"""),1)</f>
        <v>1</v>
      </c>
      <c r="G833" s="1"/>
      <c r="H833" s="1" t="str">
        <f ca="1">IFERROR(__xludf.DUMMYFUNCTION("""COMPUTED_VALUE"""),"P2")</f>
        <v>P2</v>
      </c>
      <c r="I833" s="1" t="str">
        <f ca="1">IFERROR(__xludf.DUMMYFUNCTION("""COMPUTED_VALUE"""),"Chiao Yu")</f>
        <v>Chiao Yu</v>
      </c>
    </row>
    <row r="834" spans="1:9" ht="12.7" x14ac:dyDescent="0.4">
      <c r="A834" s="2">
        <f ca="1">IFERROR(__xludf.DUMMYFUNCTION("""COMPUTED_VALUE"""),45645.7012899884)</f>
        <v>45645.701289988399</v>
      </c>
      <c r="B834" s="1" t="str">
        <f ca="1">IFERROR(__xludf.DUMMYFUNCTION("""COMPUTED_VALUE"""),"進貨")</f>
        <v>進貨</v>
      </c>
      <c r="C834" s="1" t="str">
        <f ca="1">IFERROR(__xludf.DUMMYFUNCTION("""COMPUTED_VALUE"""),"ME0100000082")</f>
        <v>ME0100000082</v>
      </c>
      <c r="D834" s="1" t="str">
        <f ca="1">IFERROR(__xludf.DUMMYFUNCTION("""COMPUTED_VALUE"""),"All/COLOR")</f>
        <v>All/COLOR</v>
      </c>
      <c r="E834" s="1" t="str">
        <f ca="1">IFERROR(__xludf.DUMMYFUNCTION("""COMPUTED_VALUE"""),"p1/庫存")</f>
        <v>p1/庫存</v>
      </c>
      <c r="F834" s="1">
        <f ca="1">IFERROR(__xludf.DUMMYFUNCTION("""COMPUTED_VALUE"""),1)</f>
        <v>1</v>
      </c>
      <c r="G834" s="1"/>
      <c r="H834" s="1" t="str">
        <f ca="1">IFERROR(__xludf.DUMMYFUNCTION("""COMPUTED_VALUE"""),"P1")</f>
        <v>P1</v>
      </c>
      <c r="I834" s="1" t="str">
        <f ca="1">IFERROR(__xludf.DUMMYFUNCTION("""COMPUTED_VALUE"""),"Chiao Yu")</f>
        <v>Chiao Yu</v>
      </c>
    </row>
    <row r="835" spans="1:9" ht="12.7" x14ac:dyDescent="0.4">
      <c r="A835" s="2">
        <f ca="1">IFERROR(__xludf.DUMMYFUNCTION("""COMPUTED_VALUE"""),45645.7016587847)</f>
        <v>45645.701658784703</v>
      </c>
      <c r="B835" s="1" t="str">
        <f ca="1">IFERROR(__xludf.DUMMYFUNCTION("""COMPUTED_VALUE"""),"進貨")</f>
        <v>進貨</v>
      </c>
      <c r="C835" s="1" t="str">
        <f ca="1">IFERROR(__xludf.DUMMYFUNCTION("""COMPUTED_VALUE"""),"ME0100000082")</f>
        <v>ME0100000082</v>
      </c>
      <c r="D835" s="1" t="str">
        <f ca="1">IFERROR(__xludf.DUMMYFUNCTION("""COMPUTED_VALUE"""),"All/COLOR")</f>
        <v>All/COLOR</v>
      </c>
      <c r="E835" s="1" t="str">
        <f ca="1">IFERROR(__xludf.DUMMYFUNCTION("""COMPUTED_VALUE"""),"p2/庫存")</f>
        <v>p2/庫存</v>
      </c>
      <c r="F835" s="1">
        <f ca="1">IFERROR(__xludf.DUMMYFUNCTION("""COMPUTED_VALUE"""),1)</f>
        <v>1</v>
      </c>
      <c r="G835" s="1"/>
      <c r="H835" s="1" t="str">
        <f ca="1">IFERROR(__xludf.DUMMYFUNCTION("""COMPUTED_VALUE"""),"P2")</f>
        <v>P2</v>
      </c>
      <c r="I835" s="1" t="str">
        <f ca="1">IFERROR(__xludf.DUMMYFUNCTION("""COMPUTED_VALUE"""),"Chiao Yu")</f>
        <v>Chiao Yu</v>
      </c>
    </row>
    <row r="836" spans="1:9" ht="12.7" x14ac:dyDescent="0.4">
      <c r="A836" s="2">
        <f ca="1">IFERROR(__xludf.DUMMYFUNCTION("""COMPUTED_VALUE"""),45645.7021071064)</f>
        <v>45645.702107106401</v>
      </c>
      <c r="B836" s="1" t="str">
        <f ca="1">IFERROR(__xludf.DUMMYFUNCTION("""COMPUTED_VALUE"""),"進貨")</f>
        <v>進貨</v>
      </c>
      <c r="C836" s="1" t="str">
        <f ca="1">IFERROR(__xludf.DUMMYFUNCTION("""COMPUTED_VALUE"""),"ME0100000083")</f>
        <v>ME0100000083</v>
      </c>
      <c r="D836" s="1" t="str">
        <f ca="1">IFERROR(__xludf.DUMMYFUNCTION("""COMPUTED_VALUE"""),"All/COLOR")</f>
        <v>All/COLOR</v>
      </c>
      <c r="E836" s="1" t="str">
        <f ca="1">IFERROR(__xludf.DUMMYFUNCTION("""COMPUTED_VALUE"""),"p1/庫存")</f>
        <v>p1/庫存</v>
      </c>
      <c r="F836" s="1">
        <f ca="1">IFERROR(__xludf.DUMMYFUNCTION("""COMPUTED_VALUE"""),1)</f>
        <v>1</v>
      </c>
      <c r="G836" s="1"/>
      <c r="H836" s="1" t="str">
        <f ca="1">IFERROR(__xludf.DUMMYFUNCTION("""COMPUTED_VALUE"""),"P1")</f>
        <v>P1</v>
      </c>
      <c r="I836" s="1" t="str">
        <f ca="1">IFERROR(__xludf.DUMMYFUNCTION("""COMPUTED_VALUE"""),"Chiao Yu")</f>
        <v>Chiao Yu</v>
      </c>
    </row>
    <row r="837" spans="1:9" ht="12.7" x14ac:dyDescent="0.4">
      <c r="A837" s="2">
        <f ca="1">IFERROR(__xludf.DUMMYFUNCTION("""COMPUTED_VALUE"""),45645.702410868)</f>
        <v>45645.702410867998</v>
      </c>
      <c r="B837" s="1" t="str">
        <f ca="1">IFERROR(__xludf.DUMMYFUNCTION("""COMPUTED_VALUE"""),"進貨")</f>
        <v>進貨</v>
      </c>
      <c r="C837" s="1" t="str">
        <f ca="1">IFERROR(__xludf.DUMMYFUNCTION("""COMPUTED_VALUE"""),"ME0100000083")</f>
        <v>ME0100000083</v>
      </c>
      <c r="D837" s="1" t="str">
        <f ca="1">IFERROR(__xludf.DUMMYFUNCTION("""COMPUTED_VALUE"""),"All/COLOR")</f>
        <v>All/COLOR</v>
      </c>
      <c r="E837" s="1" t="str">
        <f ca="1">IFERROR(__xludf.DUMMYFUNCTION("""COMPUTED_VALUE"""),"p2/庫存")</f>
        <v>p2/庫存</v>
      </c>
      <c r="F837" s="1">
        <f ca="1">IFERROR(__xludf.DUMMYFUNCTION("""COMPUTED_VALUE"""),1)</f>
        <v>1</v>
      </c>
      <c r="G837" s="1"/>
      <c r="H837" s="1" t="str">
        <f ca="1">IFERROR(__xludf.DUMMYFUNCTION("""COMPUTED_VALUE"""),"P2")</f>
        <v>P2</v>
      </c>
      <c r="I837" s="1" t="str">
        <f ca="1">IFERROR(__xludf.DUMMYFUNCTION("""COMPUTED_VALUE"""),"Chiao Yu")</f>
        <v>Chiao Yu</v>
      </c>
    </row>
    <row r="838" spans="1:9" ht="12.7" x14ac:dyDescent="0.4">
      <c r="A838" s="2">
        <f ca="1">IFERROR(__xludf.DUMMYFUNCTION("""COMPUTED_VALUE"""),45645.7028553935)</f>
        <v>45645.702855393502</v>
      </c>
      <c r="B838" s="1" t="str">
        <f ca="1">IFERROR(__xludf.DUMMYFUNCTION("""COMPUTED_VALUE"""),"進貨")</f>
        <v>進貨</v>
      </c>
      <c r="C838" s="1" t="str">
        <f ca="1">IFERROR(__xludf.DUMMYFUNCTION("""COMPUTED_VALUE"""),"ME0100000084")</f>
        <v>ME0100000084</v>
      </c>
      <c r="D838" s="1" t="str">
        <f ca="1">IFERROR(__xludf.DUMMYFUNCTION("""COMPUTED_VALUE"""),"All/COLOR")</f>
        <v>All/COLOR</v>
      </c>
      <c r="E838" s="1" t="str">
        <f ca="1">IFERROR(__xludf.DUMMYFUNCTION("""COMPUTED_VALUE"""),"p1/庫存")</f>
        <v>p1/庫存</v>
      </c>
      <c r="F838" s="1">
        <f ca="1">IFERROR(__xludf.DUMMYFUNCTION("""COMPUTED_VALUE"""),1)</f>
        <v>1</v>
      </c>
      <c r="G838" s="1"/>
      <c r="H838" s="1" t="str">
        <f ca="1">IFERROR(__xludf.DUMMYFUNCTION("""COMPUTED_VALUE"""),"P1")</f>
        <v>P1</v>
      </c>
      <c r="I838" s="1" t="str">
        <f ca="1">IFERROR(__xludf.DUMMYFUNCTION("""COMPUTED_VALUE"""),"Chiao Yu")</f>
        <v>Chiao Yu</v>
      </c>
    </row>
    <row r="839" spans="1:9" ht="12.7" x14ac:dyDescent="0.4">
      <c r="A839" s="2">
        <f ca="1">IFERROR(__xludf.DUMMYFUNCTION("""COMPUTED_VALUE"""),45645.7039140972)</f>
        <v>45645.703914097197</v>
      </c>
      <c r="B839" s="1" t="str">
        <f ca="1">IFERROR(__xludf.DUMMYFUNCTION("""COMPUTED_VALUE"""),"進貨")</f>
        <v>進貨</v>
      </c>
      <c r="C839" s="1" t="str">
        <f ca="1">IFERROR(__xludf.DUMMYFUNCTION("""COMPUTED_VALUE"""),"ME0100000084")</f>
        <v>ME0100000084</v>
      </c>
      <c r="D839" s="1" t="str">
        <f ca="1">IFERROR(__xludf.DUMMYFUNCTION("""COMPUTED_VALUE"""),"All/COLOR")</f>
        <v>All/COLOR</v>
      </c>
      <c r="E839" s="1" t="str">
        <f ca="1">IFERROR(__xludf.DUMMYFUNCTION("""COMPUTED_VALUE"""),"p2/庫存")</f>
        <v>p2/庫存</v>
      </c>
      <c r="F839" s="1">
        <f ca="1">IFERROR(__xludf.DUMMYFUNCTION("""COMPUTED_VALUE"""),1)</f>
        <v>1</v>
      </c>
      <c r="G839" s="1"/>
      <c r="H839" s="1" t="str">
        <f ca="1">IFERROR(__xludf.DUMMYFUNCTION("""COMPUTED_VALUE"""),"P2")</f>
        <v>P2</v>
      </c>
      <c r="I839" s="1" t="str">
        <f ca="1">IFERROR(__xludf.DUMMYFUNCTION("""COMPUTED_VALUE"""),"Chiao Yu")</f>
        <v>Chiao Yu</v>
      </c>
    </row>
    <row r="840" spans="1:9" ht="12.7" x14ac:dyDescent="0.4">
      <c r="A840" s="2">
        <f ca="1">IFERROR(__xludf.DUMMYFUNCTION("""COMPUTED_VALUE"""),45645.7052062152)</f>
        <v>45645.7052062152</v>
      </c>
      <c r="B840" s="1" t="str">
        <f ca="1">IFERROR(__xludf.DUMMYFUNCTION("""COMPUTED_VALUE"""),"進貨")</f>
        <v>進貨</v>
      </c>
      <c r="C840" s="1" t="str">
        <f ca="1">IFERROR(__xludf.DUMMYFUNCTION("""COMPUTED_VALUE"""),"ME0100000085")</f>
        <v>ME0100000085</v>
      </c>
      <c r="D840" s="1" t="str">
        <f ca="1">IFERROR(__xludf.DUMMYFUNCTION("""COMPUTED_VALUE"""),"All/COLOR")</f>
        <v>All/COLOR</v>
      </c>
      <c r="E840" s="1" t="str">
        <f ca="1">IFERROR(__xludf.DUMMYFUNCTION("""COMPUTED_VALUE"""),"p1/庫存")</f>
        <v>p1/庫存</v>
      </c>
      <c r="F840" s="1">
        <f ca="1">IFERROR(__xludf.DUMMYFUNCTION("""COMPUTED_VALUE"""),1)</f>
        <v>1</v>
      </c>
      <c r="G840" s="1"/>
      <c r="H840" s="1" t="str">
        <f ca="1">IFERROR(__xludf.DUMMYFUNCTION("""COMPUTED_VALUE"""),"P1")</f>
        <v>P1</v>
      </c>
      <c r="I840" s="1" t="str">
        <f ca="1">IFERROR(__xludf.DUMMYFUNCTION("""COMPUTED_VALUE"""),"Chiao Yu")</f>
        <v>Chiao Yu</v>
      </c>
    </row>
    <row r="841" spans="1:9" ht="12.7" x14ac:dyDescent="0.4">
      <c r="A841" s="2">
        <f ca="1">IFERROR(__xludf.DUMMYFUNCTION("""COMPUTED_VALUE"""),45645.705905405)</f>
        <v>45645.705905404997</v>
      </c>
      <c r="B841" s="1" t="str">
        <f ca="1">IFERROR(__xludf.DUMMYFUNCTION("""COMPUTED_VALUE"""),"進貨")</f>
        <v>進貨</v>
      </c>
      <c r="C841" s="1" t="str">
        <f ca="1">IFERROR(__xludf.DUMMYFUNCTION("""COMPUTED_VALUE"""),"ME0100000085")</f>
        <v>ME0100000085</v>
      </c>
      <c r="D841" s="1" t="str">
        <f ca="1">IFERROR(__xludf.DUMMYFUNCTION("""COMPUTED_VALUE"""),"All/COLOR")</f>
        <v>All/COLOR</v>
      </c>
      <c r="E841" s="1" t="str">
        <f ca="1">IFERROR(__xludf.DUMMYFUNCTION("""COMPUTED_VALUE"""),"p2/庫存")</f>
        <v>p2/庫存</v>
      </c>
      <c r="F841" s="1">
        <f ca="1">IFERROR(__xludf.DUMMYFUNCTION("""COMPUTED_VALUE"""),1)</f>
        <v>1</v>
      </c>
      <c r="G841" s="1"/>
      <c r="H841" s="1" t="str">
        <f ca="1">IFERROR(__xludf.DUMMYFUNCTION("""COMPUTED_VALUE"""),"P2")</f>
        <v>P2</v>
      </c>
      <c r="I841" s="1" t="str">
        <f ca="1">IFERROR(__xludf.DUMMYFUNCTION("""COMPUTED_VALUE"""),"Chiao Yu")</f>
        <v>Chiao Yu</v>
      </c>
    </row>
    <row r="842" spans="1:9" ht="12.7" x14ac:dyDescent="0.4">
      <c r="A842" s="2">
        <f ca="1">IFERROR(__xludf.DUMMYFUNCTION("""COMPUTED_VALUE"""),45645.7066385069)</f>
        <v>45645.706638506897</v>
      </c>
      <c r="B842" s="1" t="str">
        <f ca="1">IFERROR(__xludf.DUMMYFUNCTION("""COMPUTED_VALUE"""),"進貨")</f>
        <v>進貨</v>
      </c>
      <c r="C842" s="1" t="str">
        <f ca="1">IFERROR(__xludf.DUMMYFUNCTION("""COMPUTED_VALUE"""),"ME0300000019")</f>
        <v>ME0300000019</v>
      </c>
      <c r="D842" s="1" t="str">
        <f ca="1">IFERROR(__xludf.DUMMYFUNCTION("""COMPUTED_VALUE"""),"All/COLOR")</f>
        <v>All/COLOR</v>
      </c>
      <c r="E842" s="1" t="str">
        <f ca="1">IFERROR(__xludf.DUMMYFUNCTION("""COMPUTED_VALUE"""),"p1/庫存")</f>
        <v>p1/庫存</v>
      </c>
      <c r="F842" s="1">
        <f ca="1">IFERROR(__xludf.DUMMYFUNCTION("""COMPUTED_VALUE"""),1)</f>
        <v>1</v>
      </c>
      <c r="G842" s="1"/>
      <c r="H842" s="1" t="str">
        <f ca="1">IFERROR(__xludf.DUMMYFUNCTION("""COMPUTED_VALUE"""),"P1")</f>
        <v>P1</v>
      </c>
      <c r="I842" s="1" t="str">
        <f ca="1">IFERROR(__xludf.DUMMYFUNCTION("""COMPUTED_VALUE"""),"Chiao Yu")</f>
        <v>Chiao Yu</v>
      </c>
    </row>
    <row r="843" spans="1:9" ht="12.7" x14ac:dyDescent="0.4">
      <c r="A843" s="2">
        <f ca="1">IFERROR(__xludf.DUMMYFUNCTION("""COMPUTED_VALUE"""),45645.7069435648)</f>
        <v>45645.706943564801</v>
      </c>
      <c r="B843" s="1" t="str">
        <f ca="1">IFERROR(__xludf.DUMMYFUNCTION("""COMPUTED_VALUE"""),"進貨")</f>
        <v>進貨</v>
      </c>
      <c r="C843" s="1" t="str">
        <f ca="1">IFERROR(__xludf.DUMMYFUNCTION("""COMPUTED_VALUE"""),"ME0300000019")</f>
        <v>ME0300000019</v>
      </c>
      <c r="D843" s="1" t="str">
        <f ca="1">IFERROR(__xludf.DUMMYFUNCTION("""COMPUTED_VALUE"""),"All/COLOR")</f>
        <v>All/COLOR</v>
      </c>
      <c r="E843" s="1" t="str">
        <f ca="1">IFERROR(__xludf.DUMMYFUNCTION("""COMPUTED_VALUE"""),"p2/庫存")</f>
        <v>p2/庫存</v>
      </c>
      <c r="F843" s="1">
        <f ca="1">IFERROR(__xludf.DUMMYFUNCTION("""COMPUTED_VALUE"""),1)</f>
        <v>1</v>
      </c>
      <c r="G843" s="1"/>
      <c r="H843" s="1" t="str">
        <f ca="1">IFERROR(__xludf.DUMMYFUNCTION("""COMPUTED_VALUE"""),"P2")</f>
        <v>P2</v>
      </c>
      <c r="I843" s="1" t="str">
        <f ca="1">IFERROR(__xludf.DUMMYFUNCTION("""COMPUTED_VALUE"""),"Chiao Yu")</f>
        <v>Chiao Yu</v>
      </c>
    </row>
    <row r="844" spans="1:9" ht="12.7" x14ac:dyDescent="0.4">
      <c r="A844" s="2">
        <f ca="1">IFERROR(__xludf.DUMMYFUNCTION("""COMPUTED_VALUE"""),45645.7073396875)</f>
        <v>45645.707339687498</v>
      </c>
      <c r="B844" s="1" t="str">
        <f ca="1">IFERROR(__xludf.DUMMYFUNCTION("""COMPUTED_VALUE"""),"進貨")</f>
        <v>進貨</v>
      </c>
      <c r="C844" s="1" t="str">
        <f ca="1">IFERROR(__xludf.DUMMYFUNCTION("""COMPUTED_VALUE"""),"ME0300000020")</f>
        <v>ME0300000020</v>
      </c>
      <c r="D844" s="1" t="str">
        <f ca="1">IFERROR(__xludf.DUMMYFUNCTION("""COMPUTED_VALUE"""),"All/COLOR")</f>
        <v>All/COLOR</v>
      </c>
      <c r="E844" s="1" t="str">
        <f ca="1">IFERROR(__xludf.DUMMYFUNCTION("""COMPUTED_VALUE"""),"p1/庫存")</f>
        <v>p1/庫存</v>
      </c>
      <c r="F844" s="1">
        <f ca="1">IFERROR(__xludf.DUMMYFUNCTION("""COMPUTED_VALUE"""),1)</f>
        <v>1</v>
      </c>
      <c r="G844" s="1"/>
      <c r="H844" s="1" t="str">
        <f ca="1">IFERROR(__xludf.DUMMYFUNCTION("""COMPUTED_VALUE"""),"P1")</f>
        <v>P1</v>
      </c>
      <c r="I844" s="1" t="str">
        <f ca="1">IFERROR(__xludf.DUMMYFUNCTION("""COMPUTED_VALUE"""),"Chiao Yu")</f>
        <v>Chiao Yu</v>
      </c>
    </row>
    <row r="845" spans="1:9" ht="12.7" x14ac:dyDescent="0.4">
      <c r="A845" s="2">
        <f ca="1">IFERROR(__xludf.DUMMYFUNCTION("""COMPUTED_VALUE"""),45645.7079043055)</f>
        <v>45645.707904305498</v>
      </c>
      <c r="B845" s="1" t="str">
        <f ca="1">IFERROR(__xludf.DUMMYFUNCTION("""COMPUTED_VALUE"""),"進貨")</f>
        <v>進貨</v>
      </c>
      <c r="C845" s="1" t="str">
        <f ca="1">IFERROR(__xludf.DUMMYFUNCTION("""COMPUTED_VALUE"""),"ME0300000020")</f>
        <v>ME0300000020</v>
      </c>
      <c r="D845" s="1" t="str">
        <f ca="1">IFERROR(__xludf.DUMMYFUNCTION("""COMPUTED_VALUE"""),"All/COLOR")</f>
        <v>All/COLOR</v>
      </c>
      <c r="E845" s="1" t="str">
        <f ca="1">IFERROR(__xludf.DUMMYFUNCTION("""COMPUTED_VALUE"""),"p2/庫存")</f>
        <v>p2/庫存</v>
      </c>
      <c r="F845" s="1">
        <f ca="1">IFERROR(__xludf.DUMMYFUNCTION("""COMPUTED_VALUE"""),1)</f>
        <v>1</v>
      </c>
      <c r="G845" s="1"/>
      <c r="H845" s="1" t="str">
        <f ca="1">IFERROR(__xludf.DUMMYFUNCTION("""COMPUTED_VALUE"""),"P2")</f>
        <v>P2</v>
      </c>
      <c r="I845" s="1" t="str">
        <f ca="1">IFERROR(__xludf.DUMMYFUNCTION("""COMPUTED_VALUE"""),"Chiao Yu")</f>
        <v>Chiao Yu</v>
      </c>
    </row>
    <row r="846" spans="1:9" ht="12.7" x14ac:dyDescent="0.4">
      <c r="A846" s="2">
        <f ca="1">IFERROR(__xludf.DUMMYFUNCTION("""COMPUTED_VALUE"""),45645.7085449074)</f>
        <v>45645.7085449074</v>
      </c>
      <c r="B846" s="1" t="str">
        <f ca="1">IFERROR(__xludf.DUMMYFUNCTION("""COMPUTED_VALUE"""),"進貨")</f>
        <v>進貨</v>
      </c>
      <c r="C846" s="1" t="str">
        <f ca="1">IFERROR(__xludf.DUMMYFUNCTION("""COMPUTED_VALUE"""),"ME0300000021")</f>
        <v>ME0300000021</v>
      </c>
      <c r="D846" s="1" t="str">
        <f ca="1">IFERROR(__xludf.DUMMYFUNCTION("""COMPUTED_VALUE"""),"All/COLOR")</f>
        <v>All/COLOR</v>
      </c>
      <c r="E846" s="1" t="str">
        <f ca="1">IFERROR(__xludf.DUMMYFUNCTION("""COMPUTED_VALUE"""),"p1/庫存")</f>
        <v>p1/庫存</v>
      </c>
      <c r="F846" s="1">
        <f ca="1">IFERROR(__xludf.DUMMYFUNCTION("""COMPUTED_VALUE"""),1)</f>
        <v>1</v>
      </c>
      <c r="G846" s="1"/>
      <c r="H846" s="1" t="str">
        <f ca="1">IFERROR(__xludf.DUMMYFUNCTION("""COMPUTED_VALUE"""),"P1")</f>
        <v>P1</v>
      </c>
      <c r="I846" s="1" t="str">
        <f ca="1">IFERROR(__xludf.DUMMYFUNCTION("""COMPUTED_VALUE"""),"Chiao Yu")</f>
        <v>Chiao Yu</v>
      </c>
    </row>
    <row r="847" spans="1:9" ht="12.7" x14ac:dyDescent="0.4">
      <c r="A847" s="2">
        <f ca="1">IFERROR(__xludf.DUMMYFUNCTION("""COMPUTED_VALUE"""),45645.7089096643)</f>
        <v>45645.708909664303</v>
      </c>
      <c r="B847" s="1" t="str">
        <f ca="1">IFERROR(__xludf.DUMMYFUNCTION("""COMPUTED_VALUE"""),"進貨")</f>
        <v>進貨</v>
      </c>
      <c r="C847" s="1" t="str">
        <f ca="1">IFERROR(__xludf.DUMMYFUNCTION("""COMPUTED_VALUE"""),"ME0300000021")</f>
        <v>ME0300000021</v>
      </c>
      <c r="D847" s="1" t="str">
        <f ca="1">IFERROR(__xludf.DUMMYFUNCTION("""COMPUTED_VALUE"""),"All/COLOR")</f>
        <v>All/COLOR</v>
      </c>
      <c r="E847" s="1" t="str">
        <f ca="1">IFERROR(__xludf.DUMMYFUNCTION("""COMPUTED_VALUE"""),"p2/庫存")</f>
        <v>p2/庫存</v>
      </c>
      <c r="F847" s="1">
        <f ca="1">IFERROR(__xludf.DUMMYFUNCTION("""COMPUTED_VALUE"""),1)</f>
        <v>1</v>
      </c>
      <c r="G847" s="1"/>
      <c r="H847" s="1" t="str">
        <f ca="1">IFERROR(__xludf.DUMMYFUNCTION("""COMPUTED_VALUE"""),"P2")</f>
        <v>P2</v>
      </c>
      <c r="I847" s="1" t="str">
        <f ca="1">IFERROR(__xludf.DUMMYFUNCTION("""COMPUTED_VALUE"""),"Chiao Yu")</f>
        <v>Chiao Yu</v>
      </c>
    </row>
    <row r="848" spans="1:9" ht="12.7" x14ac:dyDescent="0.4">
      <c r="A848" s="2">
        <f ca="1">IFERROR(__xludf.DUMMYFUNCTION("""COMPUTED_VALUE"""),45645.7093337615)</f>
        <v>45645.709333761501</v>
      </c>
      <c r="B848" s="1" t="str">
        <f ca="1">IFERROR(__xludf.DUMMYFUNCTION("""COMPUTED_VALUE"""),"進貨")</f>
        <v>進貨</v>
      </c>
      <c r="C848" s="1" t="str">
        <f ca="1">IFERROR(__xludf.DUMMYFUNCTION("""COMPUTED_VALUE"""),"ME0300000022")</f>
        <v>ME0300000022</v>
      </c>
      <c r="D848" s="1" t="str">
        <f ca="1">IFERROR(__xludf.DUMMYFUNCTION("""COMPUTED_VALUE"""),"All/COLOR")</f>
        <v>All/COLOR</v>
      </c>
      <c r="E848" s="1" t="str">
        <f ca="1">IFERROR(__xludf.DUMMYFUNCTION("""COMPUTED_VALUE"""),"p1/庫存")</f>
        <v>p1/庫存</v>
      </c>
      <c r="F848" s="1">
        <f ca="1">IFERROR(__xludf.DUMMYFUNCTION("""COMPUTED_VALUE"""),1)</f>
        <v>1</v>
      </c>
      <c r="G848" s="1"/>
      <c r="H848" s="1" t="str">
        <f ca="1">IFERROR(__xludf.DUMMYFUNCTION("""COMPUTED_VALUE"""),"P1")</f>
        <v>P1</v>
      </c>
      <c r="I848" s="1" t="str">
        <f ca="1">IFERROR(__xludf.DUMMYFUNCTION("""COMPUTED_VALUE"""),"Chiao Yu")</f>
        <v>Chiao Yu</v>
      </c>
    </row>
    <row r="849" spans="1:9" ht="12.7" x14ac:dyDescent="0.4">
      <c r="A849" s="2">
        <f ca="1">IFERROR(__xludf.DUMMYFUNCTION("""COMPUTED_VALUE"""),45645.7096867708)</f>
        <v>45645.709686770802</v>
      </c>
      <c r="B849" s="1" t="str">
        <f ca="1">IFERROR(__xludf.DUMMYFUNCTION("""COMPUTED_VALUE"""),"進貨")</f>
        <v>進貨</v>
      </c>
      <c r="C849" s="1" t="str">
        <f ca="1">IFERROR(__xludf.DUMMYFUNCTION("""COMPUTED_VALUE"""),"ME0300000022")</f>
        <v>ME0300000022</v>
      </c>
      <c r="D849" s="1" t="str">
        <f ca="1">IFERROR(__xludf.DUMMYFUNCTION("""COMPUTED_VALUE"""),"All/COLOR")</f>
        <v>All/COLOR</v>
      </c>
      <c r="E849" s="1" t="str">
        <f ca="1">IFERROR(__xludf.DUMMYFUNCTION("""COMPUTED_VALUE"""),"p2/庫存")</f>
        <v>p2/庫存</v>
      </c>
      <c r="F849" s="1">
        <f ca="1">IFERROR(__xludf.DUMMYFUNCTION("""COMPUTED_VALUE"""),1)</f>
        <v>1</v>
      </c>
      <c r="G849" s="1"/>
      <c r="H849" s="1" t="str">
        <f ca="1">IFERROR(__xludf.DUMMYFUNCTION("""COMPUTED_VALUE"""),"P2")</f>
        <v>P2</v>
      </c>
      <c r="I849" s="1" t="str">
        <f ca="1">IFERROR(__xludf.DUMMYFUNCTION("""COMPUTED_VALUE"""),"Chiao Yu")</f>
        <v>Chiao Yu</v>
      </c>
    </row>
    <row r="850" spans="1:9" ht="12.7" x14ac:dyDescent="0.4">
      <c r="A850" s="2">
        <f ca="1">IFERROR(__xludf.DUMMYFUNCTION("""COMPUTED_VALUE"""),45645.7101522569)</f>
        <v>45645.710152256899</v>
      </c>
      <c r="B850" s="1" t="str">
        <f ca="1">IFERROR(__xludf.DUMMYFUNCTION("""COMPUTED_VALUE"""),"進貨")</f>
        <v>進貨</v>
      </c>
      <c r="C850" s="1" t="str">
        <f ca="1">IFERROR(__xludf.DUMMYFUNCTION("""COMPUTED_VALUE"""),"ME0300000023")</f>
        <v>ME0300000023</v>
      </c>
      <c r="D850" s="1" t="str">
        <f ca="1">IFERROR(__xludf.DUMMYFUNCTION("""COMPUTED_VALUE"""),"All/COLOR")</f>
        <v>All/COLOR</v>
      </c>
      <c r="E850" s="1" t="str">
        <f ca="1">IFERROR(__xludf.DUMMYFUNCTION("""COMPUTED_VALUE"""),"p1/庫存")</f>
        <v>p1/庫存</v>
      </c>
      <c r="F850" s="1">
        <f ca="1">IFERROR(__xludf.DUMMYFUNCTION("""COMPUTED_VALUE"""),1)</f>
        <v>1</v>
      </c>
      <c r="G850" s="1"/>
      <c r="H850" s="1" t="str">
        <f ca="1">IFERROR(__xludf.DUMMYFUNCTION("""COMPUTED_VALUE"""),"P1")</f>
        <v>P1</v>
      </c>
      <c r="I850" s="1" t="str">
        <f ca="1">IFERROR(__xludf.DUMMYFUNCTION("""COMPUTED_VALUE"""),"Chiao Yu")</f>
        <v>Chiao Yu</v>
      </c>
    </row>
    <row r="851" spans="1:9" ht="12.7" x14ac:dyDescent="0.4">
      <c r="A851" s="2">
        <f ca="1">IFERROR(__xludf.DUMMYFUNCTION("""COMPUTED_VALUE"""),45645.7104578935)</f>
        <v>45645.710457893503</v>
      </c>
      <c r="B851" s="1" t="str">
        <f ca="1">IFERROR(__xludf.DUMMYFUNCTION("""COMPUTED_VALUE"""),"進貨")</f>
        <v>進貨</v>
      </c>
      <c r="C851" s="1" t="str">
        <f ca="1">IFERROR(__xludf.DUMMYFUNCTION("""COMPUTED_VALUE"""),"ME0300000023")</f>
        <v>ME0300000023</v>
      </c>
      <c r="D851" s="1" t="str">
        <f ca="1">IFERROR(__xludf.DUMMYFUNCTION("""COMPUTED_VALUE"""),"All/COLOR")</f>
        <v>All/COLOR</v>
      </c>
      <c r="E851" s="1" t="str">
        <f ca="1">IFERROR(__xludf.DUMMYFUNCTION("""COMPUTED_VALUE"""),"p2/庫存")</f>
        <v>p2/庫存</v>
      </c>
      <c r="F851" s="1">
        <f ca="1">IFERROR(__xludf.DUMMYFUNCTION("""COMPUTED_VALUE"""),1)</f>
        <v>1</v>
      </c>
      <c r="G851" s="1"/>
      <c r="H851" s="1" t="str">
        <f ca="1">IFERROR(__xludf.DUMMYFUNCTION("""COMPUTED_VALUE"""),"P2")</f>
        <v>P2</v>
      </c>
      <c r="I851" s="1" t="str">
        <f ca="1">IFERROR(__xludf.DUMMYFUNCTION("""COMPUTED_VALUE"""),"Chiao Yu")</f>
        <v>Chiao Yu</v>
      </c>
    </row>
    <row r="852" spans="1:9" ht="12.7" x14ac:dyDescent="0.4">
      <c r="A852" s="2">
        <f ca="1">IFERROR(__xludf.DUMMYFUNCTION("""COMPUTED_VALUE"""),45645.7109453819)</f>
        <v>45645.710945381899</v>
      </c>
      <c r="B852" s="1" t="str">
        <f ca="1">IFERROR(__xludf.DUMMYFUNCTION("""COMPUTED_VALUE"""),"進貨")</f>
        <v>進貨</v>
      </c>
      <c r="C852" s="1" t="str">
        <f ca="1">IFERROR(__xludf.DUMMYFUNCTION("""COMPUTED_VALUE"""),"ME0300000024")</f>
        <v>ME0300000024</v>
      </c>
      <c r="D852" s="1" t="str">
        <f ca="1">IFERROR(__xludf.DUMMYFUNCTION("""COMPUTED_VALUE"""),"All/COLOR")</f>
        <v>All/COLOR</v>
      </c>
      <c r="E852" s="1" t="str">
        <f ca="1">IFERROR(__xludf.DUMMYFUNCTION("""COMPUTED_VALUE"""),"p1/庫存")</f>
        <v>p1/庫存</v>
      </c>
      <c r="F852" s="1">
        <f ca="1">IFERROR(__xludf.DUMMYFUNCTION("""COMPUTED_VALUE"""),1)</f>
        <v>1</v>
      </c>
      <c r="G852" s="1"/>
      <c r="H852" s="1" t="str">
        <f ca="1">IFERROR(__xludf.DUMMYFUNCTION("""COMPUTED_VALUE"""),"P1")</f>
        <v>P1</v>
      </c>
      <c r="I852" s="1" t="str">
        <f ca="1">IFERROR(__xludf.DUMMYFUNCTION("""COMPUTED_VALUE"""),"Chiao Yu")</f>
        <v>Chiao Yu</v>
      </c>
    </row>
    <row r="853" spans="1:9" ht="12.7" x14ac:dyDescent="0.4">
      <c r="A853" s="2">
        <f ca="1">IFERROR(__xludf.DUMMYFUNCTION("""COMPUTED_VALUE"""),45645.7113423379)</f>
        <v>45645.711342337898</v>
      </c>
      <c r="B853" s="1" t="str">
        <f ca="1">IFERROR(__xludf.DUMMYFUNCTION("""COMPUTED_VALUE"""),"進貨")</f>
        <v>進貨</v>
      </c>
      <c r="C853" s="1" t="str">
        <f ca="1">IFERROR(__xludf.DUMMYFUNCTION("""COMPUTED_VALUE"""),"ME0300000024")</f>
        <v>ME0300000024</v>
      </c>
      <c r="D853" s="1" t="str">
        <f ca="1">IFERROR(__xludf.DUMMYFUNCTION("""COMPUTED_VALUE"""),"All/COLOR")</f>
        <v>All/COLOR</v>
      </c>
      <c r="E853" s="1" t="str">
        <f ca="1">IFERROR(__xludf.DUMMYFUNCTION("""COMPUTED_VALUE"""),"p2/庫存")</f>
        <v>p2/庫存</v>
      </c>
      <c r="F853" s="1">
        <f ca="1">IFERROR(__xludf.DUMMYFUNCTION("""COMPUTED_VALUE"""),1)</f>
        <v>1</v>
      </c>
      <c r="G853" s="1"/>
      <c r="H853" s="1" t="str">
        <f ca="1">IFERROR(__xludf.DUMMYFUNCTION("""COMPUTED_VALUE"""),"P2")</f>
        <v>P2</v>
      </c>
      <c r="I853" s="1" t="str">
        <f ca="1">IFERROR(__xludf.DUMMYFUNCTION("""COMPUTED_VALUE"""),"Chiao Yu")</f>
        <v>Chiao Yu</v>
      </c>
    </row>
    <row r="854" spans="1:9" ht="12.7" x14ac:dyDescent="0.4">
      <c r="A854" s="2">
        <f ca="1">IFERROR(__xludf.DUMMYFUNCTION("""COMPUTED_VALUE"""),45645.7117473263)</f>
        <v>45645.711747326299</v>
      </c>
      <c r="B854" s="1" t="str">
        <f ca="1">IFERROR(__xludf.DUMMYFUNCTION("""COMPUTED_VALUE"""),"進貨")</f>
        <v>進貨</v>
      </c>
      <c r="C854" s="1" t="str">
        <f ca="1">IFERROR(__xludf.DUMMYFUNCTION("""COMPUTED_VALUE"""),"ME0300000026")</f>
        <v>ME0300000026</v>
      </c>
      <c r="D854" s="1" t="str">
        <f ca="1">IFERROR(__xludf.DUMMYFUNCTION("""COMPUTED_VALUE"""),"All/COLOR")</f>
        <v>All/COLOR</v>
      </c>
      <c r="E854" s="1" t="str">
        <f ca="1">IFERROR(__xludf.DUMMYFUNCTION("""COMPUTED_VALUE"""),"p1/庫存")</f>
        <v>p1/庫存</v>
      </c>
      <c r="F854" s="1">
        <f ca="1">IFERROR(__xludf.DUMMYFUNCTION("""COMPUTED_VALUE"""),1)</f>
        <v>1</v>
      </c>
      <c r="G854" s="1"/>
      <c r="H854" s="1" t="str">
        <f ca="1">IFERROR(__xludf.DUMMYFUNCTION("""COMPUTED_VALUE"""),"P1")</f>
        <v>P1</v>
      </c>
      <c r="I854" s="1" t="str">
        <f ca="1">IFERROR(__xludf.DUMMYFUNCTION("""COMPUTED_VALUE"""),"Chiao Yu")</f>
        <v>Chiao Yu</v>
      </c>
    </row>
    <row r="855" spans="1:9" ht="12.7" x14ac:dyDescent="0.4">
      <c r="A855" s="2">
        <f ca="1">IFERROR(__xludf.DUMMYFUNCTION("""COMPUTED_VALUE"""),45645.7129997569)</f>
        <v>45645.712999756899</v>
      </c>
      <c r="B855" s="1" t="str">
        <f ca="1">IFERROR(__xludf.DUMMYFUNCTION("""COMPUTED_VALUE"""),"進貨")</f>
        <v>進貨</v>
      </c>
      <c r="C855" s="1" t="str">
        <f ca="1">IFERROR(__xludf.DUMMYFUNCTION("""COMPUTED_VALUE"""),"ME0300000026")</f>
        <v>ME0300000026</v>
      </c>
      <c r="D855" s="1" t="str">
        <f ca="1">IFERROR(__xludf.DUMMYFUNCTION("""COMPUTED_VALUE"""),"All/COLOR")</f>
        <v>All/COLOR</v>
      </c>
      <c r="E855" s="1" t="str">
        <f ca="1">IFERROR(__xludf.DUMMYFUNCTION("""COMPUTED_VALUE"""),"p2/庫存")</f>
        <v>p2/庫存</v>
      </c>
      <c r="F855" s="1">
        <f ca="1">IFERROR(__xludf.DUMMYFUNCTION("""COMPUTED_VALUE"""),1)</f>
        <v>1</v>
      </c>
      <c r="G855" s="1"/>
      <c r="H855" s="1" t="str">
        <f ca="1">IFERROR(__xludf.DUMMYFUNCTION("""COMPUTED_VALUE"""),"P2")</f>
        <v>P2</v>
      </c>
      <c r="I855" s="1" t="str">
        <f ca="1">IFERROR(__xludf.DUMMYFUNCTION("""COMPUTED_VALUE"""),"Chiao Yu")</f>
        <v>Chiao Yu</v>
      </c>
    </row>
    <row r="856" spans="1:9" ht="12.7" x14ac:dyDescent="0.4">
      <c r="A856" s="2">
        <f ca="1">IFERROR(__xludf.DUMMYFUNCTION("""COMPUTED_VALUE"""),45645.7149424189)</f>
        <v>45645.714942418897</v>
      </c>
      <c r="B856" s="1" t="str">
        <f ca="1">IFERROR(__xludf.DUMMYFUNCTION("""COMPUTED_VALUE"""),"進貨")</f>
        <v>進貨</v>
      </c>
      <c r="C856" s="1" t="str">
        <f ca="1">IFERROR(__xludf.DUMMYFUNCTION("""COMPUTED_VALUE"""),"ME0270001323")</f>
        <v>ME0270001323</v>
      </c>
      <c r="D856" s="1" t="str">
        <f ca="1">IFERROR(__xludf.DUMMYFUNCTION("""COMPUTED_VALUE"""),"All/COLOR")</f>
        <v>All/COLOR</v>
      </c>
      <c r="E856" s="1" t="str">
        <f ca="1">IFERROR(__xludf.DUMMYFUNCTION("""COMPUTED_VALUE"""),"p1/庫存")</f>
        <v>p1/庫存</v>
      </c>
      <c r="F856" s="1">
        <f ca="1">IFERROR(__xludf.DUMMYFUNCTION("""COMPUTED_VALUE"""),1)</f>
        <v>1</v>
      </c>
      <c r="G856" s="1"/>
      <c r="H856" s="1" t="str">
        <f ca="1">IFERROR(__xludf.DUMMYFUNCTION("""COMPUTED_VALUE"""),"P1")</f>
        <v>P1</v>
      </c>
      <c r="I856" s="1" t="str">
        <f ca="1">IFERROR(__xludf.DUMMYFUNCTION("""COMPUTED_VALUE"""),"Chiao Yu")</f>
        <v>Chiao Yu</v>
      </c>
    </row>
    <row r="857" spans="1:9" ht="12.7" x14ac:dyDescent="0.4">
      <c r="A857" s="2">
        <f ca="1">IFERROR(__xludf.DUMMYFUNCTION("""COMPUTED_VALUE"""),45645.7151957523)</f>
        <v>45645.715195752302</v>
      </c>
      <c r="B857" s="1" t="str">
        <f ca="1">IFERROR(__xludf.DUMMYFUNCTION("""COMPUTED_VALUE"""),"進貨")</f>
        <v>進貨</v>
      </c>
      <c r="C857" s="1" t="str">
        <f ca="1">IFERROR(__xludf.DUMMYFUNCTION("""COMPUTED_VALUE"""),"ME0270001323")</f>
        <v>ME0270001323</v>
      </c>
      <c r="D857" s="1" t="str">
        <f ca="1">IFERROR(__xludf.DUMMYFUNCTION("""COMPUTED_VALUE"""),"All/COLOR")</f>
        <v>All/COLOR</v>
      </c>
      <c r="E857" s="1" t="str">
        <f ca="1">IFERROR(__xludf.DUMMYFUNCTION("""COMPUTED_VALUE"""),"p2/庫存")</f>
        <v>p2/庫存</v>
      </c>
      <c r="F857" s="1">
        <f ca="1">IFERROR(__xludf.DUMMYFUNCTION("""COMPUTED_VALUE"""),1)</f>
        <v>1</v>
      </c>
      <c r="G857" s="1"/>
      <c r="H857" s="1" t="str">
        <f ca="1">IFERROR(__xludf.DUMMYFUNCTION("""COMPUTED_VALUE"""),"P2")</f>
        <v>P2</v>
      </c>
      <c r="I857" s="1" t="str">
        <f ca="1">IFERROR(__xludf.DUMMYFUNCTION("""COMPUTED_VALUE"""),"Chiao Yu")</f>
        <v>Chiao Yu</v>
      </c>
    </row>
    <row r="858" spans="1:9" ht="12.7" x14ac:dyDescent="0.4">
      <c r="A858" s="2">
        <f ca="1">IFERROR(__xludf.DUMMYFUNCTION("""COMPUTED_VALUE"""),45645.7154924189)</f>
        <v>45645.715492418902</v>
      </c>
      <c r="B858" s="1" t="str">
        <f ca="1">IFERROR(__xludf.DUMMYFUNCTION("""COMPUTED_VALUE"""),"進貨")</f>
        <v>進貨</v>
      </c>
      <c r="C858" s="1" t="str">
        <f ca="1">IFERROR(__xludf.DUMMYFUNCTION("""COMPUTED_VALUE"""),"ME0270001324")</f>
        <v>ME0270001324</v>
      </c>
      <c r="D858" s="1" t="str">
        <f ca="1">IFERROR(__xludf.DUMMYFUNCTION("""COMPUTED_VALUE"""),"All/COLOR")</f>
        <v>All/COLOR</v>
      </c>
      <c r="E858" s="1" t="str">
        <f ca="1">IFERROR(__xludf.DUMMYFUNCTION("""COMPUTED_VALUE"""),"p1/庫存")</f>
        <v>p1/庫存</v>
      </c>
      <c r="F858" s="1">
        <f ca="1">IFERROR(__xludf.DUMMYFUNCTION("""COMPUTED_VALUE"""),1)</f>
        <v>1</v>
      </c>
      <c r="G858" s="1"/>
      <c r="H858" s="1" t="str">
        <f ca="1">IFERROR(__xludf.DUMMYFUNCTION("""COMPUTED_VALUE"""),"P1")</f>
        <v>P1</v>
      </c>
      <c r="I858" s="1" t="str">
        <f ca="1">IFERROR(__xludf.DUMMYFUNCTION("""COMPUTED_VALUE"""),"Chiao Yu")</f>
        <v>Chiao Yu</v>
      </c>
    </row>
    <row r="859" spans="1:9" ht="12.7" x14ac:dyDescent="0.4">
      <c r="A859" s="2">
        <f ca="1">IFERROR(__xludf.DUMMYFUNCTION("""COMPUTED_VALUE"""),45645.7158132407)</f>
        <v>45645.715813240698</v>
      </c>
      <c r="B859" s="1" t="str">
        <f ca="1">IFERROR(__xludf.DUMMYFUNCTION("""COMPUTED_VALUE"""),"進貨")</f>
        <v>進貨</v>
      </c>
      <c r="C859" s="1" t="str">
        <f ca="1">IFERROR(__xludf.DUMMYFUNCTION("""COMPUTED_VALUE"""),"ME0270001324")</f>
        <v>ME0270001324</v>
      </c>
      <c r="D859" s="1" t="str">
        <f ca="1">IFERROR(__xludf.DUMMYFUNCTION("""COMPUTED_VALUE"""),"All/COLOR")</f>
        <v>All/COLOR</v>
      </c>
      <c r="E859" s="1" t="str">
        <f ca="1">IFERROR(__xludf.DUMMYFUNCTION("""COMPUTED_VALUE"""),"p2/庫存")</f>
        <v>p2/庫存</v>
      </c>
      <c r="F859" s="1">
        <f ca="1">IFERROR(__xludf.DUMMYFUNCTION("""COMPUTED_VALUE"""),1)</f>
        <v>1</v>
      </c>
      <c r="G859" s="1"/>
      <c r="H859" s="1" t="str">
        <f ca="1">IFERROR(__xludf.DUMMYFUNCTION("""COMPUTED_VALUE"""),"P2")</f>
        <v>P2</v>
      </c>
      <c r="I859" s="1" t="str">
        <f ca="1">IFERROR(__xludf.DUMMYFUNCTION("""COMPUTED_VALUE"""),"Chiao Yu")</f>
        <v>Chiao Yu</v>
      </c>
    </row>
    <row r="860" spans="1:9" ht="12.7" x14ac:dyDescent="0.4">
      <c r="A860" s="2">
        <f ca="1">IFERROR(__xludf.DUMMYFUNCTION("""COMPUTED_VALUE"""),45649.6350743055)</f>
        <v>45649.635074305501</v>
      </c>
      <c r="B860" s="1" t="str">
        <f ca="1">IFERROR(__xludf.DUMMYFUNCTION("""COMPUTED_VALUE"""),"庫存調整")</f>
        <v>庫存調整</v>
      </c>
      <c r="C860" s="1" t="str">
        <f ca="1">IFERROR(__xludf.DUMMYFUNCTION("""COMPUTED_VALUE"""),"ME0050000181")</f>
        <v>ME0050000181</v>
      </c>
      <c r="D860" s="1" t="str">
        <f ca="1">IFERROR(__xludf.DUMMYFUNCTION("""COMPUTED_VALUE"""),"All/COLOR")</f>
        <v>All/COLOR</v>
      </c>
      <c r="E860" s="1" t="str">
        <f ca="1">IFERROR(__xludf.DUMMYFUNCTION("""COMPUTED_VALUE"""),"p1/庫存")</f>
        <v>p1/庫存</v>
      </c>
      <c r="F860" s="1">
        <f ca="1">IFERROR(__xludf.DUMMYFUNCTION("""COMPUTED_VALUE"""),3)</f>
        <v>3</v>
      </c>
      <c r="G860" s="1"/>
      <c r="H860" s="1" t="str">
        <f ca="1">IFERROR(__xludf.DUMMYFUNCTION("""COMPUTED_VALUE"""),"P1")</f>
        <v>P1</v>
      </c>
      <c r="I860" s="1" t="str">
        <f ca="1">IFERROR(__xludf.DUMMYFUNCTION("""COMPUTED_VALUE"""),"Simon")</f>
        <v>Simon</v>
      </c>
    </row>
    <row r="861" spans="1:9" ht="12.7" x14ac:dyDescent="0.4">
      <c r="A861" s="2">
        <f ca="1">IFERROR(__xludf.DUMMYFUNCTION("""COMPUTED_VALUE"""),45649.6370359838)</f>
        <v>45649.637035983797</v>
      </c>
      <c r="B861" s="1" t="str">
        <f ca="1">IFERROR(__xludf.DUMMYFUNCTION("""COMPUTED_VALUE"""),"庫存調整")</f>
        <v>庫存調整</v>
      </c>
      <c r="C861" s="1" t="str">
        <f ca="1">IFERROR(__xludf.DUMMYFUNCTION("""COMPUTED_VALUE"""),"ME0050000178")</f>
        <v>ME0050000178</v>
      </c>
      <c r="D861" s="1" t="str">
        <f ca="1">IFERROR(__xludf.DUMMYFUNCTION("""COMPUTED_VALUE"""),"All/SB")</f>
        <v>All/SB</v>
      </c>
      <c r="E861" s="1" t="str">
        <f ca="1">IFERROR(__xludf.DUMMYFUNCTION("""COMPUTED_VALUE"""),"p1/庫存")</f>
        <v>p1/庫存</v>
      </c>
      <c r="F861" s="1">
        <f ca="1">IFERROR(__xludf.DUMMYFUNCTION("""COMPUTED_VALUE"""),-3)</f>
        <v>-3</v>
      </c>
      <c r="G861" s="1"/>
      <c r="H861" s="1" t="str">
        <f ca="1">IFERROR(__xludf.DUMMYFUNCTION("""COMPUTED_VALUE"""),"P1")</f>
        <v>P1</v>
      </c>
      <c r="I861" s="1" t="str">
        <f ca="1">IFERROR(__xludf.DUMMYFUNCTION("""COMPUTED_VALUE"""),"Simon")</f>
        <v>Simon</v>
      </c>
    </row>
    <row r="862" spans="1:9" ht="12.7" x14ac:dyDescent="0.4">
      <c r="A862" s="2">
        <f ca="1">IFERROR(__xludf.DUMMYFUNCTION("""COMPUTED_VALUE"""),45649.6395394907)</f>
        <v>45649.639539490701</v>
      </c>
      <c r="B862" s="1" t="str">
        <f ca="1">IFERROR(__xludf.DUMMYFUNCTION("""COMPUTED_VALUE"""),"領料")</f>
        <v>領料</v>
      </c>
      <c r="C862" s="1" t="str">
        <f ca="1">IFERROR(__xludf.DUMMYFUNCTION("""COMPUTED_VALUE"""),"AGT000000005")</f>
        <v>AGT000000005</v>
      </c>
      <c r="D862" s="1" t="str">
        <f ca="1">IFERROR(__xludf.DUMMYFUNCTION("""COMPUTED_VALUE"""),"All/共用")</f>
        <v>All/共用</v>
      </c>
      <c r="E862" s="1" t="str">
        <f ca="1">IFERROR(__xludf.DUMMYFUNCTION("""COMPUTED_VALUE"""),"p1/庫存")</f>
        <v>p1/庫存</v>
      </c>
      <c r="F862" s="1">
        <f ca="1">IFERROR(__xludf.DUMMYFUNCTION("""COMPUTED_VALUE"""),1)</f>
        <v>1</v>
      </c>
      <c r="G862" s="1"/>
      <c r="H862" s="1" t="str">
        <f ca="1">IFERROR(__xludf.DUMMYFUNCTION("""COMPUTED_VALUE"""),"P1_007")</f>
        <v>P1_007</v>
      </c>
      <c r="I862" s="1" t="str">
        <f ca="1">IFERROR(__xludf.DUMMYFUNCTION("""COMPUTED_VALUE"""),"Barry")</f>
        <v>Barry</v>
      </c>
    </row>
    <row r="863" spans="1:9" ht="12.7" x14ac:dyDescent="0.4">
      <c r="A863" s="2">
        <f ca="1">IFERROR(__xludf.DUMMYFUNCTION("""COMPUTED_VALUE"""),45649.7523578703)</f>
        <v>45649.752357870297</v>
      </c>
      <c r="B863" s="1" t="str">
        <f ca="1">IFERROR(__xludf.DUMMYFUNCTION("""COMPUTED_VALUE"""),"領料")</f>
        <v>領料</v>
      </c>
      <c r="C863" s="1" t="str">
        <f ca="1">IFERROR(__xludf.DUMMYFUNCTION("""COMPUTED_VALUE"""),"MM0090000047")</f>
        <v>MM0090000047</v>
      </c>
      <c r="D863" s="1" t="str">
        <f ca="1">IFERROR(__xludf.DUMMYFUNCTION("""COMPUTED_VALUE"""),"All/BA")</f>
        <v>All/BA</v>
      </c>
      <c r="E863" s="1" t="str">
        <f ca="1">IFERROR(__xludf.DUMMYFUNCTION("""COMPUTED_VALUE"""),"p1/庫存")</f>
        <v>p1/庫存</v>
      </c>
      <c r="F863" s="1">
        <f ca="1">IFERROR(__xludf.DUMMYFUNCTION("""COMPUTED_VALUE"""),16)</f>
        <v>16</v>
      </c>
      <c r="G863" s="1"/>
      <c r="H863" s="1" t="str">
        <f ca="1">IFERROR(__xludf.DUMMYFUNCTION("""COMPUTED_VALUE"""),"P1")</f>
        <v>P1</v>
      </c>
      <c r="I863" s="1" t="str">
        <f ca="1">IFERROR(__xludf.DUMMYFUNCTION("""COMPUTED_VALUE"""),"Feng")</f>
        <v>Feng</v>
      </c>
    </row>
    <row r="864" spans="1:9" ht="12.7" x14ac:dyDescent="0.4">
      <c r="A864" s="2">
        <f ca="1">IFERROR(__xludf.DUMMYFUNCTION("""COMPUTED_VALUE"""),45650.73296125)</f>
        <v>45650.732961250003</v>
      </c>
      <c r="B864" s="1" t="str">
        <f ca="1">IFERROR(__xludf.DUMMYFUNCTION("""COMPUTED_VALUE"""),"送修")</f>
        <v>送修</v>
      </c>
      <c r="C864" s="1" t="str">
        <f ca="1">IFERROR(__xludf.DUMMYFUNCTION("""COMPUTED_VALUE"""),"ME0300000017")</f>
        <v>ME0300000017</v>
      </c>
      <c r="D864" s="1" t="str">
        <f ca="1">IFERROR(__xludf.DUMMYFUNCTION("""COMPUTED_VALUE"""),"All/RL")</f>
        <v>All/RL</v>
      </c>
      <c r="E864" s="1" t="str">
        <f ca="1">IFERROR(__xludf.DUMMYFUNCTION("""COMPUTED_VALUE"""),"p2/庫存")</f>
        <v>p2/庫存</v>
      </c>
      <c r="F864" s="1">
        <f ca="1">IFERROR(__xludf.DUMMYFUNCTION("""COMPUTED_VALUE"""),1)</f>
        <v>1</v>
      </c>
      <c r="G864" s="1"/>
      <c r="H864" s="1" t="str">
        <f ca="1">IFERROR(__xludf.DUMMYFUNCTION("""COMPUTED_VALUE"""),"P2")</f>
        <v>P2</v>
      </c>
      <c r="I864" s="1" t="str">
        <f ca="1">IFERROR(__xludf.DUMMYFUNCTION("""COMPUTED_VALUE"""),"Chiao Yu")</f>
        <v>Chiao Yu</v>
      </c>
    </row>
    <row r="865" spans="1:9" ht="12.7" x14ac:dyDescent="0.4">
      <c r="A865" s="2">
        <f ca="1">IFERROR(__xludf.DUMMYFUNCTION("""COMPUTED_VALUE"""),45651.5000293865)</f>
        <v>45651.500029386501</v>
      </c>
      <c r="B865" s="1" t="str">
        <f ca="1">IFERROR(__xludf.DUMMYFUNCTION("""COMPUTED_VALUE"""),"送修")</f>
        <v>送修</v>
      </c>
      <c r="C865" s="1" t="str">
        <f ca="1">IFERROR(__xludf.DUMMYFUNCTION("""COMPUTED_VALUE"""),"ME0300000017")</f>
        <v>ME0300000017</v>
      </c>
      <c r="D865" s="1" t="str">
        <f ca="1">IFERROR(__xludf.DUMMYFUNCTION("""COMPUTED_VALUE"""),"All/RL")</f>
        <v>All/RL</v>
      </c>
      <c r="E865" s="1" t="str">
        <f ca="1">IFERROR(__xludf.DUMMYFUNCTION("""COMPUTED_VALUE"""),"p2/庫存")</f>
        <v>p2/庫存</v>
      </c>
      <c r="F865" s="1">
        <f ca="1">IFERROR(__xludf.DUMMYFUNCTION("""COMPUTED_VALUE"""),1)</f>
        <v>1</v>
      </c>
      <c r="G865" s="1"/>
      <c r="H865" s="1" t="str">
        <f ca="1">IFERROR(__xludf.DUMMYFUNCTION("""COMPUTED_VALUE"""),"P2_1005")</f>
        <v>P2_1005</v>
      </c>
      <c r="I865" s="1" t="str">
        <f ca="1">IFERROR(__xludf.DUMMYFUNCTION("""COMPUTED_VALUE"""),"Chiao Yu")</f>
        <v>Chiao Yu</v>
      </c>
    </row>
    <row r="866" spans="1:9" ht="12.7" x14ac:dyDescent="0.4">
      <c r="A866" s="2">
        <f ca="1">IFERROR(__xludf.DUMMYFUNCTION("""COMPUTED_VALUE"""),45651.5009268171)</f>
        <v>45651.500926817098</v>
      </c>
      <c r="B866" s="1" t="str">
        <f ca="1">IFERROR(__xludf.DUMMYFUNCTION("""COMPUTED_VALUE"""),"送修")</f>
        <v>送修</v>
      </c>
      <c r="C866" s="1" t="str">
        <f ca="1">IFERROR(__xludf.DUMMYFUNCTION("""COMPUTED_VALUE"""),"ME0300000016")</f>
        <v>ME0300000016</v>
      </c>
      <c r="D866" s="1" t="str">
        <f ca="1">IFERROR(__xludf.DUMMYFUNCTION("""COMPUTED_VALUE"""),"All/RL")</f>
        <v>All/RL</v>
      </c>
      <c r="E866" s="1" t="str">
        <f ca="1">IFERROR(__xludf.DUMMYFUNCTION("""COMPUTED_VALUE"""),"p2/庫存")</f>
        <v>p2/庫存</v>
      </c>
      <c r="F866" s="1">
        <f ca="1">IFERROR(__xludf.DUMMYFUNCTION("""COMPUTED_VALUE"""),1)</f>
        <v>1</v>
      </c>
      <c r="G866" s="1"/>
      <c r="H866" s="1" t="str">
        <f ca="1">IFERROR(__xludf.DUMMYFUNCTION("""COMPUTED_VALUE"""),"P2_1005")</f>
        <v>P2_1005</v>
      </c>
      <c r="I866" s="1" t="str">
        <f ca="1">IFERROR(__xludf.DUMMYFUNCTION("""COMPUTED_VALUE"""),"Chiao Yu")</f>
        <v>Chiao Yu</v>
      </c>
    </row>
    <row r="867" spans="1:9" ht="12.7" x14ac:dyDescent="0.4">
      <c r="A867" s="2">
        <f ca="1">IFERROR(__xludf.DUMMYFUNCTION("""COMPUTED_VALUE"""),45652.6911134259)</f>
        <v>45652.691113425899</v>
      </c>
      <c r="B867" s="1" t="str">
        <f ca="1">IFERROR(__xludf.DUMMYFUNCTION("""COMPUTED_VALUE"""),"領料")</f>
        <v>領料</v>
      </c>
      <c r="C867" s="1" t="str">
        <f ca="1">IFERROR(__xludf.DUMMYFUNCTION("""COMPUTED_VALUE"""),"MM0090000047")</f>
        <v>MM0090000047</v>
      </c>
      <c r="D867" s="1" t="str">
        <f ca="1">IFERROR(__xludf.DUMMYFUNCTION("""COMPUTED_VALUE"""),"All/BA")</f>
        <v>All/BA</v>
      </c>
      <c r="E867" s="1" t="str">
        <f ca="1">IFERROR(__xludf.DUMMYFUNCTION("""COMPUTED_VALUE"""),"p1/庫存")</f>
        <v>p1/庫存</v>
      </c>
      <c r="F867" s="1">
        <f ca="1">IFERROR(__xludf.DUMMYFUNCTION("""COMPUTED_VALUE"""),17)</f>
        <v>17</v>
      </c>
      <c r="G867" s="1"/>
      <c r="H867" s="1" t="str">
        <f ca="1">IFERROR(__xludf.DUMMYFUNCTION("""COMPUTED_VALUE"""),"P1")</f>
        <v>P1</v>
      </c>
      <c r="I867" s="1" t="str">
        <f ca="1">IFERROR(__xludf.DUMMYFUNCTION("""COMPUTED_VALUE"""),"Simon")</f>
        <v>Simon</v>
      </c>
    </row>
    <row r="868" spans="1:9" ht="12.7" x14ac:dyDescent="0.4">
      <c r="A868" s="2">
        <f ca="1">IFERROR(__xludf.DUMMYFUNCTION("""COMPUTED_VALUE"""),45652.8082573842)</f>
        <v>45652.808257384197</v>
      </c>
      <c r="B868" s="1" t="str">
        <f ca="1">IFERROR(__xludf.DUMMYFUNCTION("""COMPUTED_VALUE"""),"庫存調整")</f>
        <v>庫存調整</v>
      </c>
      <c r="C868" s="1" t="str">
        <f ca="1">IFERROR(__xludf.DUMMYFUNCTION("""COMPUTED_VALUE"""),"ME0050000167")</f>
        <v>ME0050000167</v>
      </c>
      <c r="D868" s="1" t="str">
        <f ca="1">IFERROR(__xludf.DUMMYFUNCTION("""COMPUTED_VALUE"""),"All/共用")</f>
        <v>All/共用</v>
      </c>
      <c r="E868" s="1" t="str">
        <f ca="1">IFERROR(__xludf.DUMMYFUNCTION("""COMPUTED_VALUE"""),"p1/庫存")</f>
        <v>p1/庫存</v>
      </c>
      <c r="F868" s="1">
        <f ca="1">IFERROR(__xludf.DUMMYFUNCTION("""COMPUTED_VALUE"""),1)</f>
        <v>1</v>
      </c>
      <c r="G868" s="1"/>
      <c r="H868" s="1" t="str">
        <f ca="1">IFERROR(__xludf.DUMMYFUNCTION("""COMPUTED_VALUE"""),"P1")</f>
        <v>P1</v>
      </c>
      <c r="I868" s="1" t="str">
        <f ca="1">IFERROR(__xludf.DUMMYFUNCTION("""COMPUTED_VALUE"""),"Chiao Yu")</f>
        <v>Chiao Yu</v>
      </c>
    </row>
    <row r="869" spans="1:9" ht="12.7" x14ac:dyDescent="0.4">
      <c r="A869" s="2">
        <f ca="1">IFERROR(__xludf.DUMMYFUNCTION("""COMPUTED_VALUE"""),45652.8090621296)</f>
        <v>45652.8090621296</v>
      </c>
      <c r="B869" s="1" t="str">
        <f ca="1">IFERROR(__xludf.DUMMYFUNCTION("""COMPUTED_VALUE"""),"庫存調整")</f>
        <v>庫存調整</v>
      </c>
      <c r="C869" s="1" t="str">
        <f ca="1">IFERROR(__xludf.DUMMYFUNCTION("""COMPUTED_VALUE"""),"ME0050000168")</f>
        <v>ME0050000168</v>
      </c>
      <c r="D869" s="1" t="str">
        <f ca="1">IFERROR(__xludf.DUMMYFUNCTION("""COMPUTED_VALUE"""),"All/共用")</f>
        <v>All/共用</v>
      </c>
      <c r="E869" s="1" t="str">
        <f ca="1">IFERROR(__xludf.DUMMYFUNCTION("""COMPUTED_VALUE"""),"p1/庫存")</f>
        <v>p1/庫存</v>
      </c>
      <c r="F869" s="1">
        <f ca="1">IFERROR(__xludf.DUMMYFUNCTION("""COMPUTED_VALUE"""),1)</f>
        <v>1</v>
      </c>
      <c r="G869" s="1"/>
      <c r="H869" s="1" t="str">
        <f ca="1">IFERROR(__xludf.DUMMYFUNCTION("""COMPUTED_VALUE"""),"P1")</f>
        <v>P1</v>
      </c>
      <c r="I869" s="1" t="str">
        <f ca="1">IFERROR(__xludf.DUMMYFUNCTION("""COMPUTED_VALUE"""),"Chiao Yu")</f>
        <v>Chiao Yu</v>
      </c>
    </row>
    <row r="870" spans="1:9" ht="12.7" x14ac:dyDescent="0.4">
      <c r="A870" s="2">
        <f ca="1">IFERROR(__xludf.DUMMYFUNCTION("""COMPUTED_VALUE"""),45652.8097401157)</f>
        <v>45652.809740115699</v>
      </c>
      <c r="B870" s="1" t="str">
        <f ca="1">IFERROR(__xludf.DUMMYFUNCTION("""COMPUTED_VALUE"""),"庫存調整")</f>
        <v>庫存調整</v>
      </c>
      <c r="C870" s="1" t="str">
        <f ca="1">IFERROR(__xludf.DUMMYFUNCTION("""COMPUTED_VALUE"""),"ME0060000277")</f>
        <v>ME0060000277</v>
      </c>
      <c r="D870" s="1" t="str">
        <f ca="1">IFERROR(__xludf.DUMMYFUNCTION("""COMPUTED_VALUE"""),"All/共用")</f>
        <v>All/共用</v>
      </c>
      <c r="E870" s="1" t="str">
        <f ca="1">IFERROR(__xludf.DUMMYFUNCTION("""COMPUTED_VALUE"""),"p1/庫存")</f>
        <v>p1/庫存</v>
      </c>
      <c r="F870" s="1">
        <f ca="1">IFERROR(__xludf.DUMMYFUNCTION("""COMPUTED_VALUE"""),1)</f>
        <v>1</v>
      </c>
      <c r="G870" s="1"/>
      <c r="H870" s="1" t="str">
        <f ca="1">IFERROR(__xludf.DUMMYFUNCTION("""COMPUTED_VALUE"""),"P1")</f>
        <v>P1</v>
      </c>
      <c r="I870" s="1" t="str">
        <f ca="1">IFERROR(__xludf.DUMMYFUNCTION("""COMPUTED_VALUE"""),"Chiao Yu")</f>
        <v>Chiao Yu</v>
      </c>
    </row>
    <row r="871" spans="1:9" ht="12.7" x14ac:dyDescent="0.4">
      <c r="A871" s="2">
        <f ca="1">IFERROR(__xludf.DUMMYFUNCTION("""COMPUTED_VALUE"""),45652.8103875)</f>
        <v>45652.810387500002</v>
      </c>
      <c r="B871" s="1" t="str">
        <f ca="1">IFERROR(__xludf.DUMMYFUNCTION("""COMPUTED_VALUE"""),"庫存調整")</f>
        <v>庫存調整</v>
      </c>
      <c r="C871" s="1" t="str">
        <f ca="1">IFERROR(__xludf.DUMMYFUNCTION("""COMPUTED_VALUE"""),"ME0060000278")</f>
        <v>ME0060000278</v>
      </c>
      <c r="D871" s="1" t="str">
        <f ca="1">IFERROR(__xludf.DUMMYFUNCTION("""COMPUTED_VALUE"""),"All/共用")</f>
        <v>All/共用</v>
      </c>
      <c r="E871" s="1" t="str">
        <f ca="1">IFERROR(__xludf.DUMMYFUNCTION("""COMPUTED_VALUE"""),"p1/庫存")</f>
        <v>p1/庫存</v>
      </c>
      <c r="F871" s="1">
        <f ca="1">IFERROR(__xludf.DUMMYFUNCTION("""COMPUTED_VALUE"""),1)</f>
        <v>1</v>
      </c>
      <c r="G871" s="1"/>
      <c r="H871" s="1" t="str">
        <f ca="1">IFERROR(__xludf.DUMMYFUNCTION("""COMPUTED_VALUE"""),"P1")</f>
        <v>P1</v>
      </c>
      <c r="I871" s="1" t="str">
        <f ca="1">IFERROR(__xludf.DUMMYFUNCTION("""COMPUTED_VALUE"""),"Chiao Yu")</f>
        <v>Chiao Yu</v>
      </c>
    </row>
    <row r="872" spans="1:9" ht="12.7" x14ac:dyDescent="0.4">
      <c r="A872" s="2">
        <f ca="1">IFERROR(__xludf.DUMMYFUNCTION("""COMPUTED_VALUE"""),45652.8108673263)</f>
        <v>45652.810867326298</v>
      </c>
      <c r="B872" s="1" t="str">
        <f ca="1">IFERROR(__xludf.DUMMYFUNCTION("""COMPUTED_VALUE"""),"庫存調整")</f>
        <v>庫存調整</v>
      </c>
      <c r="C872" s="1" t="str">
        <f ca="1">IFERROR(__xludf.DUMMYFUNCTION("""COMPUTED_VALUE"""),"AGT000000005")</f>
        <v>AGT000000005</v>
      </c>
      <c r="D872" s="1" t="str">
        <f ca="1">IFERROR(__xludf.DUMMYFUNCTION("""COMPUTED_VALUE"""),"All/共用")</f>
        <v>All/共用</v>
      </c>
      <c r="E872" s="1" t="str">
        <f ca="1">IFERROR(__xludf.DUMMYFUNCTION("""COMPUTED_VALUE"""),"p1/庫存")</f>
        <v>p1/庫存</v>
      </c>
      <c r="F872" s="1">
        <f ca="1">IFERROR(__xludf.DUMMYFUNCTION("""COMPUTED_VALUE"""),1)</f>
        <v>1</v>
      </c>
      <c r="G872" s="1"/>
      <c r="H872" s="1" t="str">
        <f ca="1">IFERROR(__xludf.DUMMYFUNCTION("""COMPUTED_VALUE"""),"P1")</f>
        <v>P1</v>
      </c>
      <c r="I872" s="1" t="str">
        <f ca="1">IFERROR(__xludf.DUMMYFUNCTION("""COMPUTED_VALUE"""),"Chiao Yu")</f>
        <v>Chiao Yu</v>
      </c>
    </row>
    <row r="873" spans="1:9" ht="12.7" x14ac:dyDescent="0.4">
      <c r="A873" s="2">
        <f ca="1">IFERROR(__xludf.DUMMYFUNCTION("""COMPUTED_VALUE"""),45652.8116945254)</f>
        <v>45652.811694525401</v>
      </c>
      <c r="B873" s="1" t="str">
        <f ca="1">IFERROR(__xludf.DUMMYFUNCTION("""COMPUTED_VALUE"""),"庫存調整")</f>
        <v>庫存調整</v>
      </c>
      <c r="C873" s="1" t="str">
        <f ca="1">IFERROR(__xludf.DUMMYFUNCTION("""COMPUTED_VALUE"""),"MM0220000039")</f>
        <v>MM0220000039</v>
      </c>
      <c r="D873" s="1" t="str">
        <f ca="1">IFERROR(__xludf.DUMMYFUNCTION("""COMPUTED_VALUE"""),"All/共用")</f>
        <v>All/共用</v>
      </c>
      <c r="E873" s="1" t="str">
        <f ca="1">IFERROR(__xludf.DUMMYFUNCTION("""COMPUTED_VALUE"""),"p1/庫存")</f>
        <v>p1/庫存</v>
      </c>
      <c r="F873" s="1">
        <f ca="1">IFERROR(__xludf.DUMMYFUNCTION("""COMPUTED_VALUE"""),1)</f>
        <v>1</v>
      </c>
      <c r="G873" s="1"/>
      <c r="H873" s="1" t="str">
        <f ca="1">IFERROR(__xludf.DUMMYFUNCTION("""COMPUTED_VALUE"""),"P1")</f>
        <v>P1</v>
      </c>
      <c r="I873" s="1" t="str">
        <f ca="1">IFERROR(__xludf.DUMMYFUNCTION("""COMPUTED_VALUE"""),"Chiao Yu")</f>
        <v>Chiao Yu</v>
      </c>
    </row>
    <row r="874" spans="1:9" ht="12.7" x14ac:dyDescent="0.4">
      <c r="A874" s="2">
        <f ca="1">IFERROR(__xludf.DUMMYFUNCTION("""COMPUTED_VALUE"""),45652.8125649537)</f>
        <v>45652.812564953703</v>
      </c>
      <c r="B874" s="1" t="str">
        <f ca="1">IFERROR(__xludf.DUMMYFUNCTION("""COMPUTED_VALUE"""),"庫存調整")</f>
        <v>庫存調整</v>
      </c>
      <c r="C874" s="1" t="str">
        <f ca="1">IFERROR(__xludf.DUMMYFUNCTION("""COMPUTED_VALUE"""),"ME0010000385")</f>
        <v>ME0010000385</v>
      </c>
      <c r="D874" s="1" t="str">
        <f ca="1">IFERROR(__xludf.DUMMYFUNCTION("""COMPUTED_VALUE"""),"All/共用")</f>
        <v>All/共用</v>
      </c>
      <c r="E874" s="1" t="str">
        <f ca="1">IFERROR(__xludf.DUMMYFUNCTION("""COMPUTED_VALUE"""),"p1/庫存")</f>
        <v>p1/庫存</v>
      </c>
      <c r="F874" s="1">
        <f ca="1">IFERROR(__xludf.DUMMYFUNCTION("""COMPUTED_VALUE"""),1)</f>
        <v>1</v>
      </c>
      <c r="G874" s="1"/>
      <c r="H874" s="1" t="str">
        <f ca="1">IFERROR(__xludf.DUMMYFUNCTION("""COMPUTED_VALUE"""),"P1")</f>
        <v>P1</v>
      </c>
      <c r="I874" s="1" t="str">
        <f ca="1">IFERROR(__xludf.DUMMYFUNCTION("""COMPUTED_VALUE"""),"Chiao Yu")</f>
        <v>Chiao Yu</v>
      </c>
    </row>
    <row r="875" spans="1:9" ht="12.7" x14ac:dyDescent="0.4">
      <c r="A875" s="2">
        <f ca="1">IFERROR(__xludf.DUMMYFUNCTION("""COMPUTED_VALUE"""),45652.8133240856)</f>
        <v>45652.813324085597</v>
      </c>
      <c r="B875" s="1" t="str">
        <f ca="1">IFERROR(__xludf.DUMMYFUNCTION("""COMPUTED_VALUE"""),"庫存調整")</f>
        <v>庫存調整</v>
      </c>
      <c r="C875" s="1" t="str">
        <f ca="1">IFERROR(__xludf.DUMMYFUNCTION("""COMPUTED_VALUE"""),"ME0020000560")</f>
        <v>ME0020000560</v>
      </c>
      <c r="D875" s="1" t="str">
        <f ca="1">IFERROR(__xludf.DUMMYFUNCTION("""COMPUTED_VALUE"""),"All/共用")</f>
        <v>All/共用</v>
      </c>
      <c r="E875" s="1" t="str">
        <f ca="1">IFERROR(__xludf.DUMMYFUNCTION("""COMPUTED_VALUE"""),"p1/庫存")</f>
        <v>p1/庫存</v>
      </c>
      <c r="F875" s="1">
        <f ca="1">IFERROR(__xludf.DUMMYFUNCTION("""COMPUTED_VALUE"""),2)</f>
        <v>2</v>
      </c>
      <c r="G875" s="1"/>
      <c r="H875" s="1" t="str">
        <f ca="1">IFERROR(__xludf.DUMMYFUNCTION("""COMPUTED_VALUE"""),"P1")</f>
        <v>P1</v>
      </c>
      <c r="I875" s="1" t="str">
        <f ca="1">IFERROR(__xludf.DUMMYFUNCTION("""COMPUTED_VALUE"""),"Chiao Yu")</f>
        <v>Chiao Yu</v>
      </c>
    </row>
    <row r="876" spans="1:9" ht="12.7" x14ac:dyDescent="0.4">
      <c r="A876" s="2">
        <f ca="1">IFERROR(__xludf.DUMMYFUNCTION("""COMPUTED_VALUE"""),45652.8145802083)</f>
        <v>45652.814580208302</v>
      </c>
      <c r="B876" s="1" t="str">
        <f ca="1">IFERROR(__xludf.DUMMYFUNCTION("""COMPUTED_VALUE"""),"庫存調整")</f>
        <v>庫存調整</v>
      </c>
      <c r="C876" s="1" t="str">
        <f ca="1">IFERROR(__xludf.DUMMYFUNCTION("""COMPUTED_VALUE"""),"A00900000618")</f>
        <v>A00900000618</v>
      </c>
      <c r="D876" s="1" t="str">
        <f ca="1">IFERROR(__xludf.DUMMYFUNCTION("""COMPUTED_VALUE"""),"All/共用")</f>
        <v>All/共用</v>
      </c>
      <c r="E876" s="1" t="str">
        <f ca="1">IFERROR(__xludf.DUMMYFUNCTION("""COMPUTED_VALUE"""),"p1/庫存")</f>
        <v>p1/庫存</v>
      </c>
      <c r="F876" s="1">
        <f ca="1">IFERROR(__xludf.DUMMYFUNCTION("""COMPUTED_VALUE"""),1)</f>
        <v>1</v>
      </c>
      <c r="G876" s="1"/>
      <c r="H876" s="1" t="str">
        <f ca="1">IFERROR(__xludf.DUMMYFUNCTION("""COMPUTED_VALUE"""),"P1")</f>
        <v>P1</v>
      </c>
      <c r="I876" s="1" t="str">
        <f ca="1">IFERROR(__xludf.DUMMYFUNCTION("""COMPUTED_VALUE"""),"Chiao Yu")</f>
        <v>Chiao Yu</v>
      </c>
    </row>
    <row r="877" spans="1:9" ht="12.7" x14ac:dyDescent="0.4">
      <c r="A877" s="2">
        <f ca="1">IFERROR(__xludf.DUMMYFUNCTION("""COMPUTED_VALUE"""),45652.8153736342)</f>
        <v>45652.815373634199</v>
      </c>
      <c r="B877" s="1" t="str">
        <f ca="1">IFERROR(__xludf.DUMMYFUNCTION("""COMPUTED_VALUE"""),"庫存調整")</f>
        <v>庫存調整</v>
      </c>
      <c r="C877" s="1" t="str">
        <f ca="1">IFERROR(__xludf.DUMMYFUNCTION("""COMPUTED_VALUE"""),"MM0220000048")</f>
        <v>MM0220000048</v>
      </c>
      <c r="D877" s="1" t="str">
        <f ca="1">IFERROR(__xludf.DUMMYFUNCTION("""COMPUTED_VALUE"""),"All/共用")</f>
        <v>All/共用</v>
      </c>
      <c r="E877" s="1" t="str">
        <f ca="1">IFERROR(__xludf.DUMMYFUNCTION("""COMPUTED_VALUE"""),"p1/庫存")</f>
        <v>p1/庫存</v>
      </c>
      <c r="F877" s="1">
        <f ca="1">IFERROR(__xludf.DUMMYFUNCTION("""COMPUTED_VALUE"""),1)</f>
        <v>1</v>
      </c>
      <c r="G877" s="1"/>
      <c r="H877" s="1" t="str">
        <f ca="1">IFERROR(__xludf.DUMMYFUNCTION("""COMPUTED_VALUE"""),"P1")</f>
        <v>P1</v>
      </c>
      <c r="I877" s="1" t="str">
        <f ca="1">IFERROR(__xludf.DUMMYFUNCTION("""COMPUTED_VALUE"""),"Chiao Yu")</f>
        <v>Chiao Yu</v>
      </c>
    </row>
    <row r="878" spans="1:9" ht="12.7" x14ac:dyDescent="0.4">
      <c r="A878" s="2">
        <f ca="1">IFERROR(__xludf.DUMMYFUNCTION("""COMPUTED_VALUE"""),45652.816084537)</f>
        <v>45652.816084537</v>
      </c>
      <c r="B878" s="1" t="str">
        <f ca="1">IFERROR(__xludf.DUMMYFUNCTION("""COMPUTED_VALUE"""),"領料")</f>
        <v>領料</v>
      </c>
      <c r="C878" s="1" t="str">
        <f ca="1">IFERROR(__xludf.DUMMYFUNCTION("""COMPUTED_VALUE"""),"MM0220000046")</f>
        <v>MM0220000046</v>
      </c>
      <c r="D878" s="1" t="str">
        <f ca="1">IFERROR(__xludf.DUMMYFUNCTION("""COMPUTED_VALUE"""),"All/共用")</f>
        <v>All/共用</v>
      </c>
      <c r="E878" s="1" t="str">
        <f ca="1">IFERROR(__xludf.DUMMYFUNCTION("""COMPUTED_VALUE"""),"p1/庫存")</f>
        <v>p1/庫存</v>
      </c>
      <c r="F878" s="1">
        <f ca="1">IFERROR(__xludf.DUMMYFUNCTION("""COMPUTED_VALUE"""),2)</f>
        <v>2</v>
      </c>
      <c r="G878" s="1"/>
      <c r="H878" s="1" t="str">
        <f ca="1">IFERROR(__xludf.DUMMYFUNCTION("""COMPUTED_VALUE"""),"P1")</f>
        <v>P1</v>
      </c>
      <c r="I878" s="1" t="str">
        <f ca="1">IFERROR(__xludf.DUMMYFUNCTION("""COMPUTED_VALUE"""),"Chiao Yu")</f>
        <v>Chiao Yu</v>
      </c>
    </row>
    <row r="879" spans="1:9" ht="12.7" x14ac:dyDescent="0.4">
      <c r="A879" s="2">
        <f ca="1">IFERROR(__xludf.DUMMYFUNCTION("""COMPUTED_VALUE"""),45652.8165766898)</f>
        <v>45652.816576689802</v>
      </c>
      <c r="B879" s="1" t="str">
        <f ca="1">IFERROR(__xludf.DUMMYFUNCTION("""COMPUTED_VALUE"""),"領料")</f>
        <v>領料</v>
      </c>
      <c r="C879" s="1" t="str">
        <f ca="1">IFERROR(__xludf.DUMMYFUNCTION("""COMPUTED_VALUE"""),"ME0270001045")</f>
        <v>ME0270001045</v>
      </c>
      <c r="D879" s="1" t="str">
        <f ca="1">IFERROR(__xludf.DUMMYFUNCTION("""COMPUTED_VALUE"""),"All/共用")</f>
        <v>All/共用</v>
      </c>
      <c r="E879" s="1" t="str">
        <f ca="1">IFERROR(__xludf.DUMMYFUNCTION("""COMPUTED_VALUE"""),"p1/庫存")</f>
        <v>p1/庫存</v>
      </c>
      <c r="F879" s="1">
        <f ca="1">IFERROR(__xludf.DUMMYFUNCTION("""COMPUTED_VALUE"""),1)</f>
        <v>1</v>
      </c>
      <c r="G879" s="1"/>
      <c r="H879" s="1" t="str">
        <f ca="1">IFERROR(__xludf.DUMMYFUNCTION("""COMPUTED_VALUE"""),"P1")</f>
        <v>P1</v>
      </c>
      <c r="I879" s="1" t="str">
        <f ca="1">IFERROR(__xludf.DUMMYFUNCTION("""COMPUTED_VALUE"""),"Chiao Yu")</f>
        <v>Chiao Yu</v>
      </c>
    </row>
    <row r="880" spans="1:9" ht="12.7" x14ac:dyDescent="0.4">
      <c r="A880" s="2">
        <f ca="1">IFERROR(__xludf.DUMMYFUNCTION("""COMPUTED_VALUE"""),45652.8180521412)</f>
        <v>45652.8180521412</v>
      </c>
      <c r="B880" s="1" t="str">
        <f ca="1">IFERROR(__xludf.DUMMYFUNCTION("""COMPUTED_VALUE"""),"庫存調整")</f>
        <v>庫存調整</v>
      </c>
      <c r="C880" s="1" t="str">
        <f ca="1">IFERROR(__xludf.DUMMYFUNCTION("""COMPUTED_VALUE"""),"MM0220000040")</f>
        <v>MM0220000040</v>
      </c>
      <c r="D880" s="1" t="str">
        <f ca="1">IFERROR(__xludf.DUMMYFUNCTION("""COMPUTED_VALUE"""),"All/共用")</f>
        <v>All/共用</v>
      </c>
      <c r="E880" s="1" t="str">
        <f ca="1">IFERROR(__xludf.DUMMYFUNCTION("""COMPUTED_VALUE"""),"p1/庫存")</f>
        <v>p1/庫存</v>
      </c>
      <c r="F880" s="1">
        <f ca="1">IFERROR(__xludf.DUMMYFUNCTION("""COMPUTED_VALUE"""),2)</f>
        <v>2</v>
      </c>
      <c r="G880" s="1"/>
      <c r="H880" s="1" t="str">
        <f ca="1">IFERROR(__xludf.DUMMYFUNCTION("""COMPUTED_VALUE"""),"P1")</f>
        <v>P1</v>
      </c>
      <c r="I880" s="1" t="str">
        <f ca="1">IFERROR(__xludf.DUMMYFUNCTION("""COMPUTED_VALUE"""),"Chiao Yu")</f>
        <v>Chiao Yu</v>
      </c>
    </row>
    <row r="881" spans="1:9" ht="12.7" x14ac:dyDescent="0.4">
      <c r="A881" s="2">
        <f ca="1">IFERROR(__xludf.DUMMYFUNCTION("""COMPUTED_VALUE"""),45652.8195967013)</f>
        <v>45652.819596701302</v>
      </c>
      <c r="B881" s="1" t="str">
        <f ca="1">IFERROR(__xludf.DUMMYFUNCTION("""COMPUTED_VALUE"""),"領料")</f>
        <v>領料</v>
      </c>
      <c r="C881" s="1" t="str">
        <f ca="1">IFERROR(__xludf.DUMMYFUNCTION("""COMPUTED_VALUE"""),"ME0020000425")</f>
        <v>ME0020000425</v>
      </c>
      <c r="D881" s="1" t="str">
        <f ca="1">IFERROR(__xludf.DUMMYFUNCTION("""COMPUTED_VALUE"""),"All/共用")</f>
        <v>All/共用</v>
      </c>
      <c r="E881" s="1" t="str">
        <f ca="1">IFERROR(__xludf.DUMMYFUNCTION("""COMPUTED_VALUE"""),"p1/庫存")</f>
        <v>p1/庫存</v>
      </c>
      <c r="F881" s="1">
        <f ca="1">IFERROR(__xludf.DUMMYFUNCTION("""COMPUTED_VALUE"""),2)</f>
        <v>2</v>
      </c>
      <c r="G881" s="1"/>
      <c r="H881" s="1" t="str">
        <f ca="1">IFERROR(__xludf.DUMMYFUNCTION("""COMPUTED_VALUE"""),"P1")</f>
        <v>P1</v>
      </c>
      <c r="I881" s="1" t="str">
        <f ca="1">IFERROR(__xludf.DUMMYFUNCTION("""COMPUTED_VALUE"""),"Chiao Yu")</f>
        <v>Chiao Yu</v>
      </c>
    </row>
    <row r="882" spans="1:9" ht="12.7" x14ac:dyDescent="0.4">
      <c r="A882" s="2">
        <f ca="1">IFERROR(__xludf.DUMMYFUNCTION("""COMPUTED_VALUE"""),45653.6909494675)</f>
        <v>45653.690949467498</v>
      </c>
      <c r="B882" s="1" t="str">
        <f ca="1">IFERROR(__xludf.DUMMYFUNCTION("""COMPUTED_VALUE"""),"庫存調整")</f>
        <v>庫存調整</v>
      </c>
      <c r="C882" s="1" t="str">
        <f ca="1">IFERROR(__xludf.DUMMYFUNCTION("""COMPUTED_VALUE"""),"A00900000618")</f>
        <v>A00900000618</v>
      </c>
      <c r="D882" s="1" t="str">
        <f ca="1">IFERROR(__xludf.DUMMYFUNCTION("""COMPUTED_VALUE"""),"All/共用")</f>
        <v>All/共用</v>
      </c>
      <c r="E882" s="1" t="str">
        <f ca="1">IFERROR(__xludf.DUMMYFUNCTION("""COMPUTED_VALUE"""),"p2/庫存")</f>
        <v>p2/庫存</v>
      </c>
      <c r="F882" s="1">
        <f ca="1">IFERROR(__xludf.DUMMYFUNCTION("""COMPUTED_VALUE"""),2)</f>
        <v>2</v>
      </c>
      <c r="G882" s="1"/>
      <c r="H882" s="1" t="str">
        <f ca="1">IFERROR(__xludf.DUMMYFUNCTION("""COMPUTED_VALUE"""),"P2")</f>
        <v>P2</v>
      </c>
      <c r="I882" s="1" t="str">
        <f ca="1">IFERROR(__xludf.DUMMYFUNCTION("""COMPUTED_VALUE"""),"Chiao Yu")</f>
        <v>Chiao Yu</v>
      </c>
    </row>
    <row r="883" spans="1:9" ht="12.7" x14ac:dyDescent="0.4">
      <c r="A883" s="2">
        <f ca="1">IFERROR(__xludf.DUMMYFUNCTION("""COMPUTED_VALUE"""),45653.6917003009)</f>
        <v>45653.6917003009</v>
      </c>
      <c r="B883" s="1" t="str">
        <f ca="1">IFERROR(__xludf.DUMMYFUNCTION("""COMPUTED_VALUE"""),"領料")</f>
        <v>領料</v>
      </c>
      <c r="C883" s="1" t="str">
        <f ca="1">IFERROR(__xludf.DUMMYFUNCTION("""COMPUTED_VALUE"""),"A00900000618")</f>
        <v>A00900000618</v>
      </c>
      <c r="D883" s="1" t="str">
        <f ca="1">IFERROR(__xludf.DUMMYFUNCTION("""COMPUTED_VALUE"""),"All/共用")</f>
        <v>All/共用</v>
      </c>
      <c r="E883" s="1" t="str">
        <f ca="1">IFERROR(__xludf.DUMMYFUNCTION("""COMPUTED_VALUE"""),"p1/庫存")</f>
        <v>p1/庫存</v>
      </c>
      <c r="F883" s="1">
        <f ca="1">IFERROR(__xludf.DUMMYFUNCTION("""COMPUTED_VALUE"""),1)</f>
        <v>1</v>
      </c>
      <c r="G883" s="1"/>
      <c r="H883" s="1" t="str">
        <f ca="1">IFERROR(__xludf.DUMMYFUNCTION("""COMPUTED_VALUE"""),"P1_4007")</f>
        <v>P1_4007</v>
      </c>
      <c r="I883" s="1" t="str">
        <f ca="1">IFERROR(__xludf.DUMMYFUNCTION("""COMPUTED_VALUE"""),"Chiao Yu")</f>
        <v>Chiao Yu</v>
      </c>
    </row>
    <row r="884" spans="1:9" ht="12.7" x14ac:dyDescent="0.4">
      <c r="A884" s="2">
        <f ca="1">IFERROR(__xludf.DUMMYFUNCTION("""COMPUTED_VALUE"""),45653.6922540856)</f>
        <v>45653.692254085603</v>
      </c>
      <c r="B884" s="1" t="str">
        <f ca="1">IFERROR(__xludf.DUMMYFUNCTION("""COMPUTED_VALUE"""),"領料")</f>
        <v>領料</v>
      </c>
      <c r="C884" s="1" t="str">
        <f ca="1">IFERROR(__xludf.DUMMYFUNCTION("""COMPUTED_VALUE"""),"A00900000618")</f>
        <v>A00900000618</v>
      </c>
      <c r="D884" s="1" t="str">
        <f ca="1">IFERROR(__xludf.DUMMYFUNCTION("""COMPUTED_VALUE"""),"All/共用")</f>
        <v>All/共用</v>
      </c>
      <c r="E884" s="1" t="str">
        <f ca="1">IFERROR(__xludf.DUMMYFUNCTION("""COMPUTED_VALUE"""),"p2/庫存")</f>
        <v>p2/庫存</v>
      </c>
      <c r="F884" s="1">
        <f ca="1">IFERROR(__xludf.DUMMYFUNCTION("""COMPUTED_VALUE"""),1)</f>
        <v>1</v>
      </c>
      <c r="G884" s="1"/>
      <c r="H884" s="1" t="str">
        <f ca="1">IFERROR(__xludf.DUMMYFUNCTION("""COMPUTED_VALUE"""),"P1_4008")</f>
        <v>P1_4008</v>
      </c>
      <c r="I884" s="1" t="str">
        <f ca="1">IFERROR(__xludf.DUMMYFUNCTION("""COMPUTED_VALUE"""),"Chiao Yu")</f>
        <v>Chiao Yu</v>
      </c>
    </row>
    <row r="885" spans="1:9" ht="12.7" x14ac:dyDescent="0.4">
      <c r="A885" s="2">
        <f ca="1">IFERROR(__xludf.DUMMYFUNCTION("""COMPUTED_VALUE"""),45653.6934650115)</f>
        <v>45653.6934650115</v>
      </c>
      <c r="B885" s="1" t="str">
        <f ca="1">IFERROR(__xludf.DUMMYFUNCTION("""COMPUTED_VALUE"""),"領料")</f>
        <v>領料</v>
      </c>
      <c r="C885" s="1" t="str">
        <f ca="1">IFERROR(__xludf.DUMMYFUNCTION("""COMPUTED_VALUE"""),"ME0010000385")</f>
        <v>ME0010000385</v>
      </c>
      <c r="D885" s="1" t="str">
        <f ca="1">IFERROR(__xludf.DUMMYFUNCTION("""COMPUTED_VALUE"""),"All/共用")</f>
        <v>All/共用</v>
      </c>
      <c r="E885" s="1" t="str">
        <f ca="1">IFERROR(__xludf.DUMMYFUNCTION("""COMPUTED_VALUE"""),"p1/庫存")</f>
        <v>p1/庫存</v>
      </c>
      <c r="F885" s="1">
        <f ca="1">IFERROR(__xludf.DUMMYFUNCTION("""COMPUTED_VALUE"""),1)</f>
        <v>1</v>
      </c>
      <c r="G885" s="1"/>
      <c r="H885" s="1" t="str">
        <f ca="1">IFERROR(__xludf.DUMMYFUNCTION("""COMPUTED_VALUE"""),"P1_4007")</f>
        <v>P1_4007</v>
      </c>
      <c r="I885" s="1" t="str">
        <f ca="1">IFERROR(__xludf.DUMMYFUNCTION("""COMPUTED_VALUE"""),"Chiao Yu")</f>
        <v>Chiao Yu</v>
      </c>
    </row>
    <row r="886" spans="1:9" ht="12.7" x14ac:dyDescent="0.4">
      <c r="A886" s="2">
        <f ca="1">IFERROR(__xludf.DUMMYFUNCTION("""COMPUTED_VALUE"""),45653.6939174537)</f>
        <v>45653.693917453696</v>
      </c>
      <c r="B886" s="1" t="str">
        <f ca="1">IFERROR(__xludf.DUMMYFUNCTION("""COMPUTED_VALUE"""),"庫存調整")</f>
        <v>庫存調整</v>
      </c>
      <c r="C886" s="1" t="str">
        <f ca="1">IFERROR(__xludf.DUMMYFUNCTION("""COMPUTED_VALUE"""),"ME0010000385")</f>
        <v>ME0010000385</v>
      </c>
      <c r="D886" s="1" t="str">
        <f ca="1">IFERROR(__xludf.DUMMYFUNCTION("""COMPUTED_VALUE"""),"All/共用")</f>
        <v>All/共用</v>
      </c>
      <c r="E886" s="1" t="str">
        <f ca="1">IFERROR(__xludf.DUMMYFUNCTION("""COMPUTED_VALUE"""),"p2/庫存")</f>
        <v>p2/庫存</v>
      </c>
      <c r="F886" s="1">
        <f ca="1">IFERROR(__xludf.DUMMYFUNCTION("""COMPUTED_VALUE"""),2)</f>
        <v>2</v>
      </c>
      <c r="G886" s="1"/>
      <c r="H886" s="1" t="str">
        <f ca="1">IFERROR(__xludf.DUMMYFUNCTION("""COMPUTED_VALUE"""),"P2")</f>
        <v>P2</v>
      </c>
      <c r="I886" s="1" t="str">
        <f ca="1">IFERROR(__xludf.DUMMYFUNCTION("""COMPUTED_VALUE"""),"Chiao Yu")</f>
        <v>Chiao Yu</v>
      </c>
    </row>
    <row r="887" spans="1:9" ht="12.7" x14ac:dyDescent="0.4">
      <c r="A887" s="2">
        <f ca="1">IFERROR(__xludf.DUMMYFUNCTION("""COMPUTED_VALUE"""),45653.6944291666)</f>
        <v>45653.6944291666</v>
      </c>
      <c r="B887" s="1" t="str">
        <f ca="1">IFERROR(__xludf.DUMMYFUNCTION("""COMPUTED_VALUE"""),"領料")</f>
        <v>領料</v>
      </c>
      <c r="C887" s="1" t="str">
        <f ca="1">IFERROR(__xludf.DUMMYFUNCTION("""COMPUTED_VALUE"""),"ME0010000385")</f>
        <v>ME0010000385</v>
      </c>
      <c r="D887" s="1" t="str">
        <f ca="1">IFERROR(__xludf.DUMMYFUNCTION("""COMPUTED_VALUE"""),"All/共用")</f>
        <v>All/共用</v>
      </c>
      <c r="E887" s="1" t="str">
        <f ca="1">IFERROR(__xludf.DUMMYFUNCTION("""COMPUTED_VALUE"""),"p2/庫存")</f>
        <v>p2/庫存</v>
      </c>
      <c r="F887" s="1">
        <f ca="1">IFERROR(__xludf.DUMMYFUNCTION("""COMPUTED_VALUE"""),1)</f>
        <v>1</v>
      </c>
      <c r="G887" s="1"/>
      <c r="H887" s="1" t="str">
        <f ca="1">IFERROR(__xludf.DUMMYFUNCTION("""COMPUTED_VALUE"""),"P1_4008")</f>
        <v>P1_4008</v>
      </c>
      <c r="I887" s="1" t="str">
        <f ca="1">IFERROR(__xludf.DUMMYFUNCTION("""COMPUTED_VALUE"""),"Chiao Yu")</f>
        <v>Chiao Yu</v>
      </c>
    </row>
    <row r="888" spans="1:9" ht="12.7" x14ac:dyDescent="0.4">
      <c r="A888" s="2">
        <f ca="1">IFERROR(__xludf.DUMMYFUNCTION("""COMPUTED_VALUE"""),45653.6950911921)</f>
        <v>45653.695091192101</v>
      </c>
      <c r="B888" s="1" t="str">
        <f ca="1">IFERROR(__xludf.DUMMYFUNCTION("""COMPUTED_VALUE"""),"領料")</f>
        <v>領料</v>
      </c>
      <c r="C888" s="1" t="str">
        <f ca="1">IFERROR(__xludf.DUMMYFUNCTION("""COMPUTED_VALUE"""),"ME0030000076")</f>
        <v>ME0030000076</v>
      </c>
      <c r="D888" s="1" t="str">
        <f ca="1">IFERROR(__xludf.DUMMYFUNCTION("""COMPUTED_VALUE"""),"All/共用")</f>
        <v>All/共用</v>
      </c>
      <c r="E888" s="1" t="str">
        <f ca="1">IFERROR(__xludf.DUMMYFUNCTION("""COMPUTED_VALUE"""),"p1/庫存")</f>
        <v>p1/庫存</v>
      </c>
      <c r="F888" s="1">
        <f ca="1">IFERROR(__xludf.DUMMYFUNCTION("""COMPUTED_VALUE"""),1)</f>
        <v>1</v>
      </c>
      <c r="G888" s="1"/>
      <c r="H888" s="1" t="str">
        <f ca="1">IFERROR(__xludf.DUMMYFUNCTION("""COMPUTED_VALUE"""),"P1")</f>
        <v>P1</v>
      </c>
      <c r="I888" s="1" t="str">
        <f ca="1">IFERROR(__xludf.DUMMYFUNCTION("""COMPUTED_VALUE"""),"Chiao Yu")</f>
        <v>Chiao Yu</v>
      </c>
    </row>
    <row r="889" spans="1:9" ht="12.7" x14ac:dyDescent="0.4">
      <c r="A889" s="2">
        <f ca="1">IFERROR(__xludf.DUMMYFUNCTION("""COMPUTED_VALUE"""),45653.7011163888)</f>
        <v>45653.701116388802</v>
      </c>
      <c r="B889" s="1" t="str">
        <f ca="1">IFERROR(__xludf.DUMMYFUNCTION("""COMPUTED_VALUE"""),"領料")</f>
        <v>領料</v>
      </c>
      <c r="C889" s="1" t="str">
        <f ca="1">IFERROR(__xludf.DUMMYFUNCTION("""COMPUTED_VALUE"""),"ME0020000560")</f>
        <v>ME0020000560</v>
      </c>
      <c r="D889" s="1" t="str">
        <f ca="1">IFERROR(__xludf.DUMMYFUNCTION("""COMPUTED_VALUE"""),"All/共用")</f>
        <v>All/共用</v>
      </c>
      <c r="E889" s="1" t="str">
        <f ca="1">IFERROR(__xludf.DUMMYFUNCTION("""COMPUTED_VALUE"""),"p1/庫存")</f>
        <v>p1/庫存</v>
      </c>
      <c r="F889" s="1">
        <f ca="1">IFERROR(__xludf.DUMMYFUNCTION("""COMPUTED_VALUE"""),2)</f>
        <v>2</v>
      </c>
      <c r="G889" s="1"/>
      <c r="H889" s="1" t="str">
        <f ca="1">IFERROR(__xludf.DUMMYFUNCTION("""COMPUTED_VALUE"""),"P1")</f>
        <v>P1</v>
      </c>
      <c r="I889" s="1" t="str">
        <f ca="1">IFERROR(__xludf.DUMMYFUNCTION("""COMPUTED_VALUE"""),"Chiao Yu")</f>
        <v>Chiao Yu</v>
      </c>
    </row>
    <row r="890" spans="1:9" ht="12.7" x14ac:dyDescent="0.4">
      <c r="A890" s="2">
        <f ca="1">IFERROR(__xludf.DUMMYFUNCTION("""COMPUTED_VALUE"""),45656.3081395949)</f>
        <v>45656.308139594898</v>
      </c>
      <c r="B890" s="1" t="str">
        <f ca="1">IFERROR(__xludf.DUMMYFUNCTION("""COMPUTED_VALUE"""),"領料")</f>
        <v>領料</v>
      </c>
      <c r="C890" s="1" t="str">
        <f ca="1">IFERROR(__xludf.DUMMYFUNCTION("""COMPUTED_VALUE"""),"ME0120000048")</f>
        <v>ME0120000048</v>
      </c>
      <c r="D890" s="1" t="str">
        <f ca="1">IFERROR(__xludf.DUMMYFUNCTION("""COMPUTED_VALUE"""),"All/共用")</f>
        <v>All/共用</v>
      </c>
      <c r="E890" s="1" t="str">
        <f ca="1">IFERROR(__xludf.DUMMYFUNCTION("""COMPUTED_VALUE"""),"p1/庫存")</f>
        <v>p1/庫存</v>
      </c>
      <c r="F890" s="1">
        <f ca="1">IFERROR(__xludf.DUMMYFUNCTION("""COMPUTED_VALUE"""),2)</f>
        <v>2</v>
      </c>
      <c r="G890" s="1"/>
      <c r="H890" s="1" t="str">
        <f ca="1">IFERROR(__xludf.DUMMYFUNCTION("""COMPUTED_VALUE"""),"COLOR 跟 22桌 溫濕度傳感器")</f>
        <v>COLOR 跟 22桌 溫濕度傳感器</v>
      </c>
      <c r="I890" s="1" t="str">
        <f ca="1">IFERROR(__xludf.DUMMYFUNCTION("""COMPUTED_VALUE"""),"Jason")</f>
        <v>Jason</v>
      </c>
    </row>
    <row r="891" spans="1:9" ht="12.7" x14ac:dyDescent="0.4">
      <c r="A891" s="2">
        <f ca="1">IFERROR(__xludf.DUMMYFUNCTION("""COMPUTED_VALUE"""),45656.3111652199)</f>
        <v>45656.3111652199</v>
      </c>
      <c r="B891" s="1" t="str">
        <f ca="1">IFERROR(__xludf.DUMMYFUNCTION("""COMPUTED_VALUE"""),"領料")</f>
        <v>領料</v>
      </c>
      <c r="C891" s="1" t="str">
        <f ca="1">IFERROR(__xludf.DUMMYFUNCTION("""COMPUTED_VALUE"""),"AGT000000005")</f>
        <v>AGT000000005</v>
      </c>
      <c r="D891" s="1" t="str">
        <f ca="1">IFERROR(__xludf.DUMMYFUNCTION("""COMPUTED_VALUE"""),"All/共用")</f>
        <v>All/共用</v>
      </c>
      <c r="E891" s="1" t="str">
        <f ca="1">IFERROR(__xludf.DUMMYFUNCTION("""COMPUTED_VALUE"""),"p1/庫存")</f>
        <v>p1/庫存</v>
      </c>
      <c r="F891" s="1">
        <f ca="1">IFERROR(__xludf.DUMMYFUNCTION("""COMPUTED_VALUE"""),3)</f>
        <v>3</v>
      </c>
      <c r="G891" s="1"/>
      <c r="H891" s="1" t="str">
        <f ca="1">IFERROR(__xludf.DUMMYFUNCTION("""COMPUTED_VALUE"""),"P1_009、P1_019、P1_028")</f>
        <v>P1_009、P1_019、P1_028</v>
      </c>
      <c r="I891" s="1" t="str">
        <f ca="1">IFERROR(__xludf.DUMMYFUNCTION("""COMPUTED_VALUE"""),"Jason")</f>
        <v>Jason</v>
      </c>
    </row>
    <row r="892" spans="1:9" ht="12.7" x14ac:dyDescent="0.4">
      <c r="A892" s="2">
        <f ca="1">IFERROR(__xludf.DUMMYFUNCTION("""COMPUTED_VALUE"""),45658.3875402314)</f>
        <v>45658.387540231401</v>
      </c>
      <c r="B892" s="1" t="str">
        <f ca="1">IFERROR(__xludf.DUMMYFUNCTION("""COMPUTED_VALUE"""),"領料")</f>
        <v>領料</v>
      </c>
      <c r="C892" s="1" t="str">
        <f ca="1">IFERROR(__xludf.DUMMYFUNCTION("""COMPUTED_VALUE"""),"MM0260000157")</f>
        <v>MM0260000157</v>
      </c>
      <c r="D892" s="1" t="str">
        <f ca="1">IFERROR(__xludf.DUMMYFUNCTION("""COMPUTED_VALUE"""),"All/BA")</f>
        <v>All/BA</v>
      </c>
      <c r="E892" s="1" t="str">
        <f ca="1">IFERROR(__xludf.DUMMYFUNCTION("""COMPUTED_VALUE"""),"p1/庫存")</f>
        <v>p1/庫存</v>
      </c>
      <c r="F892" s="1">
        <f ca="1">IFERROR(__xludf.DUMMYFUNCTION("""COMPUTED_VALUE"""),2)</f>
        <v>2</v>
      </c>
      <c r="G892" s="1"/>
      <c r="H892" s="1" t="str">
        <f ca="1">IFERROR(__xludf.DUMMYFUNCTION("""COMPUTED_VALUE"""),"P1_022")</f>
        <v>P1_022</v>
      </c>
      <c r="I892" s="1" t="str">
        <f ca="1">IFERROR(__xludf.DUMMYFUNCTION("""COMPUTED_VALUE"""),"Chiao Yu")</f>
        <v>Chiao Yu</v>
      </c>
    </row>
    <row r="893" spans="1:9" ht="12.7" x14ac:dyDescent="0.4">
      <c r="A893" s="2">
        <f ca="1">IFERROR(__xludf.DUMMYFUNCTION("""COMPUTED_VALUE"""),45660.3759141666)</f>
        <v>45660.375914166601</v>
      </c>
      <c r="B893" s="1" t="str">
        <f ca="1">IFERROR(__xludf.DUMMYFUNCTION("""COMPUTED_VALUE"""),"進貨")</f>
        <v>進貨</v>
      </c>
      <c r="C893" s="1" t="str">
        <f ca="1">IFERROR(__xludf.DUMMYFUNCTION("""COMPUTED_VALUE"""),"ME0300000017")</f>
        <v>ME0300000017</v>
      </c>
      <c r="D893" s="1" t="str">
        <f ca="1">IFERROR(__xludf.DUMMYFUNCTION("""COMPUTED_VALUE"""),"All/RL")</f>
        <v>All/RL</v>
      </c>
      <c r="E893" s="1" t="str">
        <f ca="1">IFERROR(__xludf.DUMMYFUNCTION("""COMPUTED_VALUE"""),"p2/庫存")</f>
        <v>p2/庫存</v>
      </c>
      <c r="F893" s="1">
        <f ca="1">IFERROR(__xludf.DUMMYFUNCTION("""COMPUTED_VALUE"""),1)</f>
        <v>1</v>
      </c>
      <c r="G893" s="1"/>
      <c r="H893" s="1" t="str">
        <f ca="1">IFERROR(__xludf.DUMMYFUNCTION("""COMPUTED_VALUE"""),"P2")</f>
        <v>P2</v>
      </c>
      <c r="I893" s="1" t="str">
        <f ca="1">IFERROR(__xludf.DUMMYFUNCTION("""COMPUTED_VALUE"""),"Chiao Yu")</f>
        <v>Chiao Yu</v>
      </c>
    </row>
    <row r="894" spans="1:9" ht="12.7" x14ac:dyDescent="0.4">
      <c r="A894" s="2">
        <f ca="1">IFERROR(__xludf.DUMMYFUNCTION("""COMPUTED_VALUE"""),45660.3766545717)</f>
        <v>45660.376654571701</v>
      </c>
      <c r="B894" s="1" t="str">
        <f ca="1">IFERROR(__xludf.DUMMYFUNCTION("""COMPUTED_VALUE"""),"送修")</f>
        <v>送修</v>
      </c>
      <c r="C894" s="1" t="str">
        <f ca="1">IFERROR(__xludf.DUMMYFUNCTION("""COMPUTED_VALUE"""),"ME0300000017")</f>
        <v>ME0300000017</v>
      </c>
      <c r="D894" s="1" t="str">
        <f ca="1">IFERROR(__xludf.DUMMYFUNCTION("""COMPUTED_VALUE"""),"All/RL")</f>
        <v>All/RL</v>
      </c>
      <c r="E894" s="1" t="str">
        <f ca="1">IFERROR(__xludf.DUMMYFUNCTION("""COMPUTED_VALUE"""),"p2/庫存")</f>
        <v>p2/庫存</v>
      </c>
      <c r="F894" s="1">
        <f ca="1">IFERROR(__xludf.DUMMYFUNCTION("""COMPUTED_VALUE"""),1)</f>
        <v>1</v>
      </c>
      <c r="G894" s="1"/>
      <c r="H894" s="1" t="str">
        <f ca="1">IFERROR(__xludf.DUMMYFUNCTION("""COMPUTED_VALUE"""),"P2_1005")</f>
        <v>P2_1005</v>
      </c>
      <c r="I894" s="1" t="str">
        <f ca="1">IFERROR(__xludf.DUMMYFUNCTION("""COMPUTED_VALUE"""),"Chiao Yu")</f>
        <v>Chiao Yu</v>
      </c>
    </row>
    <row r="895" spans="1:9" ht="12.7" x14ac:dyDescent="0.4">
      <c r="A895" s="2">
        <f ca="1">IFERROR(__xludf.DUMMYFUNCTION("""COMPUTED_VALUE"""),45660.3793965509)</f>
        <v>45660.379396550903</v>
      </c>
      <c r="B895" s="1" t="str">
        <f ca="1">IFERROR(__xludf.DUMMYFUNCTION("""COMPUTED_VALUE"""),"進貨")</f>
        <v>進貨</v>
      </c>
      <c r="C895" s="1" t="str">
        <f ca="1">IFERROR(__xludf.DUMMYFUNCTION("""COMPUTED_VALUE"""),"MM0090000047")</f>
        <v>MM0090000047</v>
      </c>
      <c r="D895" s="1" t="str">
        <f ca="1">IFERROR(__xludf.DUMMYFUNCTION("""COMPUTED_VALUE"""),"All/BA")</f>
        <v>All/BA</v>
      </c>
      <c r="E895" s="1" t="str">
        <f ca="1">IFERROR(__xludf.DUMMYFUNCTION("""COMPUTED_VALUE"""),"p1/庫存")</f>
        <v>p1/庫存</v>
      </c>
      <c r="F895" s="1">
        <f ca="1">IFERROR(__xludf.DUMMYFUNCTION("""COMPUTED_VALUE"""),128)</f>
        <v>128</v>
      </c>
      <c r="G895" s="1"/>
      <c r="H895" s="1" t="str">
        <f ca="1">IFERROR(__xludf.DUMMYFUNCTION("""COMPUTED_VALUE"""),"P1")</f>
        <v>P1</v>
      </c>
      <c r="I895" s="1" t="str">
        <f ca="1">IFERROR(__xludf.DUMMYFUNCTION("""COMPUTED_VALUE"""),"Chiao Yu")</f>
        <v>Chiao Yu</v>
      </c>
    </row>
    <row r="896" spans="1:9" ht="12.7" x14ac:dyDescent="0.4">
      <c r="A896" s="2">
        <f ca="1">IFERROR(__xludf.DUMMYFUNCTION("""COMPUTED_VALUE"""),45661.2432620717)</f>
        <v>45661.243262071701</v>
      </c>
      <c r="B896" s="1" t="str">
        <f ca="1">IFERROR(__xludf.DUMMYFUNCTION("""COMPUTED_VALUE"""),"領料")</f>
        <v>領料</v>
      </c>
      <c r="C896" s="1" t="str">
        <f ca="1">IFERROR(__xludf.DUMMYFUNCTION("""COMPUTED_VALUE"""),"MM0010000125")</f>
        <v>MM0010000125</v>
      </c>
      <c r="D896" s="1" t="str">
        <f ca="1">IFERROR(__xludf.DUMMYFUNCTION("""COMPUTED_VALUE"""),"All/RL")</f>
        <v>All/RL</v>
      </c>
      <c r="E896" s="1" t="str">
        <f ca="1">IFERROR(__xludf.DUMMYFUNCTION("""COMPUTED_VALUE"""),"p2/庫存")</f>
        <v>p2/庫存</v>
      </c>
      <c r="F896" s="1">
        <f ca="1">IFERROR(__xludf.DUMMYFUNCTION("""COMPUTED_VALUE"""),1)</f>
        <v>1</v>
      </c>
      <c r="G896" s="1"/>
      <c r="H896" s="1" t="str">
        <f ca="1">IFERROR(__xludf.DUMMYFUNCTION("""COMPUTED_VALUE"""),"P2_1003")</f>
        <v>P2_1003</v>
      </c>
      <c r="I896" s="1" t="str">
        <f ca="1">IFERROR(__xludf.DUMMYFUNCTION("""COMPUTED_VALUE"""),"Jason")</f>
        <v>Jason</v>
      </c>
    </row>
    <row r="897" spans="1:9" ht="12.7" x14ac:dyDescent="0.4">
      <c r="A897" s="2">
        <f ca="1">IFERROR(__xludf.DUMMYFUNCTION("""COMPUTED_VALUE"""),45661.7640918634)</f>
        <v>45661.764091863399</v>
      </c>
      <c r="B897" s="1" t="str">
        <f ca="1">IFERROR(__xludf.DUMMYFUNCTION("""COMPUTED_VALUE"""),"送修")</f>
        <v>送修</v>
      </c>
      <c r="C897" s="1" t="str">
        <f ca="1">IFERROR(__xludf.DUMMYFUNCTION("""COMPUTED_VALUE"""),"ME0070000140")</f>
        <v>ME0070000140</v>
      </c>
      <c r="D897" s="1" t="str">
        <f ca="1">IFERROR(__xludf.DUMMYFUNCTION("""COMPUTED_VALUE"""),"All/BA")</f>
        <v>All/BA</v>
      </c>
      <c r="E897" s="1" t="str">
        <f ca="1">IFERROR(__xludf.DUMMYFUNCTION("""COMPUTED_VALUE"""),"p1/庫存")</f>
        <v>p1/庫存</v>
      </c>
      <c r="F897" s="1">
        <f ca="1">IFERROR(__xludf.DUMMYFUNCTION("""COMPUTED_VALUE"""),1)</f>
        <v>1</v>
      </c>
      <c r="G897" s="1" t="str">
        <f ca="1">IFERROR(__xludf.DUMMYFUNCTION("""COMPUTED_VALUE"""),"100A-2522C0038-2204")</f>
        <v>100A-2522C0038-2204</v>
      </c>
      <c r="H897" s="1" t="str">
        <f ca="1">IFERROR(__xludf.DUMMYFUNCTION("""COMPUTED_VALUE"""),"P1_013")</f>
        <v>P1_013</v>
      </c>
      <c r="I897" s="1" t="str">
        <f ca="1">IFERROR(__xludf.DUMMYFUNCTION("""COMPUTED_VALUE"""),"Chiao Yu")</f>
        <v>Chiao Yu</v>
      </c>
    </row>
    <row r="898" spans="1:9" ht="12.7" x14ac:dyDescent="0.4">
      <c r="A898" s="2">
        <f ca="1">IFERROR(__xludf.DUMMYFUNCTION("""COMPUTED_VALUE"""),45661.7651159374)</f>
        <v>45661.7651159374</v>
      </c>
      <c r="B898" s="1" t="str">
        <f ca="1">IFERROR(__xludf.DUMMYFUNCTION("""COMPUTED_VALUE"""),"料件上線時間")</f>
        <v>料件上線時間</v>
      </c>
      <c r="C898" s="1" t="str">
        <f ca="1">IFERROR(__xludf.DUMMYFUNCTION("""COMPUTED_VALUE"""),"ME0070000140")</f>
        <v>ME0070000140</v>
      </c>
      <c r="D898" s="1" t="str">
        <f ca="1">IFERROR(__xludf.DUMMYFUNCTION("""COMPUTED_VALUE"""),"All/BA")</f>
        <v>All/BA</v>
      </c>
      <c r="E898" s="1" t="str">
        <f ca="1">IFERROR(__xludf.DUMMYFUNCTION("""COMPUTED_VALUE"""),"p1/庫存")</f>
        <v>p1/庫存</v>
      </c>
      <c r="F898" s="1">
        <f ca="1">IFERROR(__xludf.DUMMYFUNCTION("""COMPUTED_VALUE"""),1)</f>
        <v>1</v>
      </c>
      <c r="G898" s="1" t="str">
        <f ca="1">IFERROR(__xludf.DUMMYFUNCTION("""COMPUTED_VALUE"""),"100A-2523K0040-2409")</f>
        <v>100A-2523K0040-2409</v>
      </c>
      <c r="H898" s="1" t="str">
        <f ca="1">IFERROR(__xludf.DUMMYFUNCTION("""COMPUTED_VALUE"""),"P1_013")</f>
        <v>P1_013</v>
      </c>
      <c r="I898" s="1" t="str">
        <f ca="1">IFERROR(__xludf.DUMMYFUNCTION("""COMPUTED_VALUE"""),"Chiao Yu")</f>
        <v>Chiao Yu</v>
      </c>
    </row>
    <row r="899" spans="1:9" ht="12.7" x14ac:dyDescent="0.4">
      <c r="A899" s="2">
        <f ca="1">IFERROR(__xludf.DUMMYFUNCTION("""COMPUTED_VALUE"""),45664.2830509375)</f>
        <v>45664.283050937498</v>
      </c>
      <c r="B899" s="1" t="str">
        <f ca="1">IFERROR(__xludf.DUMMYFUNCTION("""COMPUTED_VALUE"""),"領料")</f>
        <v>領料</v>
      </c>
      <c r="C899" s="1" t="str">
        <f ca="1">IFERROR(__xludf.DUMMYFUNCTION("""COMPUTED_VALUE"""),"AGT000000005")</f>
        <v>AGT000000005</v>
      </c>
      <c r="D899" s="1" t="str">
        <f ca="1">IFERROR(__xludf.DUMMYFUNCTION("""COMPUTED_VALUE"""),"All/BA")</f>
        <v>All/BA</v>
      </c>
      <c r="E899" s="1" t="str">
        <f ca="1">IFERROR(__xludf.DUMMYFUNCTION("""COMPUTED_VALUE"""),"p1/庫存")</f>
        <v>p1/庫存</v>
      </c>
      <c r="F899" s="1">
        <f ca="1">IFERROR(__xludf.DUMMYFUNCTION("""COMPUTED_VALUE"""),1)</f>
        <v>1</v>
      </c>
      <c r="G899" s="1"/>
      <c r="H899" s="1" t="str">
        <f ca="1">IFERROR(__xludf.DUMMYFUNCTION("""COMPUTED_VALUE"""),"p1_007")</f>
        <v>p1_007</v>
      </c>
      <c r="I899" s="1" t="str">
        <f ca="1">IFERROR(__xludf.DUMMYFUNCTION("""COMPUTED_VALUE"""),"Jason")</f>
        <v>Jason</v>
      </c>
    </row>
    <row r="900" spans="1:9" ht="12.7" x14ac:dyDescent="0.4">
      <c r="A900" s="2">
        <f ca="1">IFERROR(__xludf.DUMMYFUNCTION("""COMPUTED_VALUE"""),45664.3660940856)</f>
        <v>45664.366094085599</v>
      </c>
      <c r="B900" s="1" t="str">
        <f ca="1">IFERROR(__xludf.DUMMYFUNCTION("""COMPUTED_VALUE"""),"送修")</f>
        <v>送修</v>
      </c>
      <c r="C900" s="1" t="str">
        <f ca="1">IFERROR(__xludf.DUMMYFUNCTION("""COMPUTED_VALUE"""),"ME0100000079")</f>
        <v>ME0100000079</v>
      </c>
      <c r="D900" s="1" t="str">
        <f ca="1">IFERROR(__xludf.DUMMYFUNCTION("""COMPUTED_VALUE"""),"All/COLOR")</f>
        <v>All/COLOR</v>
      </c>
      <c r="E900" s="1" t="str">
        <f ca="1">IFERROR(__xludf.DUMMYFUNCTION("""COMPUTED_VALUE"""),"p2/庫存")</f>
        <v>p2/庫存</v>
      </c>
      <c r="F900" s="1">
        <f ca="1">IFERROR(__xludf.DUMMYFUNCTION("""COMPUTED_VALUE"""),1)</f>
        <v>1</v>
      </c>
      <c r="G900" s="1"/>
      <c r="H900" s="1" t="str">
        <f ca="1">IFERROR(__xludf.DUMMYFUNCTION("""COMPUTED_VALUE"""),"P2_3002")</f>
        <v>P2_3002</v>
      </c>
      <c r="I900" s="1" t="str">
        <f ca="1">IFERROR(__xludf.DUMMYFUNCTION("""COMPUTED_VALUE"""),"Chiao Yu")</f>
        <v>Chiao Yu</v>
      </c>
    </row>
    <row r="901" spans="1:9" ht="12.7" x14ac:dyDescent="0.4">
      <c r="A901" s="2">
        <f ca="1">IFERROR(__xludf.DUMMYFUNCTION("""COMPUTED_VALUE"""),45664.3680182407)</f>
        <v>45664.368018240697</v>
      </c>
      <c r="B901" s="1" t="str">
        <f ca="1">IFERROR(__xludf.DUMMYFUNCTION("""COMPUTED_VALUE"""),"領料")</f>
        <v>領料</v>
      </c>
      <c r="C901" s="1" t="str">
        <f ca="1">IFERROR(__xludf.DUMMYFUNCTION("""COMPUTED_VALUE"""),"ME0270001323")</f>
        <v>ME0270001323</v>
      </c>
      <c r="D901" s="1" t="str">
        <f ca="1">IFERROR(__xludf.DUMMYFUNCTION("""COMPUTED_VALUE"""),"All/COLOR")</f>
        <v>All/COLOR</v>
      </c>
      <c r="E901" s="1" t="str">
        <f ca="1">IFERROR(__xludf.DUMMYFUNCTION("""COMPUTED_VALUE"""),"p2/庫存")</f>
        <v>p2/庫存</v>
      </c>
      <c r="F901" s="1">
        <f ca="1">IFERROR(__xludf.DUMMYFUNCTION("""COMPUTED_VALUE"""),1)</f>
        <v>1</v>
      </c>
      <c r="G901" s="1"/>
      <c r="H901" s="1" t="str">
        <f ca="1">IFERROR(__xludf.DUMMYFUNCTION("""COMPUTED_VALUE"""),"P2_3002")</f>
        <v>P2_3002</v>
      </c>
      <c r="I901" s="1" t="str">
        <f ca="1">IFERROR(__xludf.DUMMYFUNCTION("""COMPUTED_VALUE"""),"Chiao Yu")</f>
        <v>Chiao Yu</v>
      </c>
    </row>
    <row r="902" spans="1:9" ht="12.7" x14ac:dyDescent="0.4">
      <c r="A902" s="2">
        <f ca="1">IFERROR(__xludf.DUMMYFUNCTION("""COMPUTED_VALUE"""),45664.3691334606)</f>
        <v>45664.369133460597</v>
      </c>
      <c r="B902" s="1" t="str">
        <f ca="1">IFERROR(__xludf.DUMMYFUNCTION("""COMPUTED_VALUE"""),"領料")</f>
        <v>領料</v>
      </c>
      <c r="C902" s="1" t="str">
        <f ca="1">IFERROR(__xludf.DUMMYFUNCTION("""COMPUTED_VALUE"""),"A00700000837")</f>
        <v>A00700000837</v>
      </c>
      <c r="D902" s="1" t="str">
        <f ca="1">IFERROR(__xludf.DUMMYFUNCTION("""COMPUTED_VALUE"""),"All/COLOR")</f>
        <v>All/COLOR</v>
      </c>
      <c r="E902" s="1" t="str">
        <f ca="1">IFERROR(__xludf.DUMMYFUNCTION("""COMPUTED_VALUE"""),"p2/庫存")</f>
        <v>p2/庫存</v>
      </c>
      <c r="F902" s="1">
        <f ca="1">IFERROR(__xludf.DUMMYFUNCTION("""COMPUTED_VALUE"""),3)</f>
        <v>3</v>
      </c>
      <c r="G902" s="1"/>
      <c r="H902" s="1" t="str">
        <f ca="1">IFERROR(__xludf.DUMMYFUNCTION("""COMPUTED_VALUE"""),"P2_3002")</f>
        <v>P2_3002</v>
      </c>
      <c r="I902" s="1" t="str">
        <f ca="1">IFERROR(__xludf.DUMMYFUNCTION("""COMPUTED_VALUE"""),"Chiao Yu")</f>
        <v>Chiao Yu</v>
      </c>
    </row>
    <row r="903" spans="1:9" ht="12.7" x14ac:dyDescent="0.4">
      <c r="A903" s="2">
        <f ca="1">IFERROR(__xludf.DUMMYFUNCTION("""COMPUTED_VALUE"""),45665.4138376851)</f>
        <v>45665.413837685097</v>
      </c>
      <c r="B903" s="1" t="str">
        <f ca="1">IFERROR(__xludf.DUMMYFUNCTION("""COMPUTED_VALUE"""),"領料")</f>
        <v>領料</v>
      </c>
      <c r="C903" s="1" t="str">
        <f ca="1">IFERROR(__xludf.DUMMYFUNCTION("""COMPUTED_VALUE"""),"ME0010000263")</f>
        <v>ME0010000263</v>
      </c>
      <c r="D903" s="1" t="str">
        <f ca="1">IFERROR(__xludf.DUMMYFUNCTION("""COMPUTED_VALUE"""),"All/共用")</f>
        <v>All/共用</v>
      </c>
      <c r="E903" s="1" t="str">
        <f ca="1">IFERROR(__xludf.DUMMYFUNCTION("""COMPUTED_VALUE"""),"p2/庫存")</f>
        <v>p2/庫存</v>
      </c>
      <c r="F903" s="1">
        <f ca="1">IFERROR(__xludf.DUMMYFUNCTION("""COMPUTED_VALUE"""),1)</f>
        <v>1</v>
      </c>
      <c r="G903" s="1"/>
      <c r="H903" s="1" t="str">
        <f ca="1">IFERROR(__xludf.DUMMYFUNCTION("""COMPUTED_VALUE"""),"P2")</f>
        <v>P2</v>
      </c>
      <c r="I903" s="1" t="str">
        <f ca="1">IFERROR(__xludf.DUMMYFUNCTION("""COMPUTED_VALUE"""),"Chiao Yu")</f>
        <v>Chiao Yu</v>
      </c>
    </row>
    <row r="904" spans="1:9" ht="12.7" x14ac:dyDescent="0.4">
      <c r="A904" s="2">
        <f ca="1">IFERROR(__xludf.DUMMYFUNCTION("""COMPUTED_VALUE"""),45665.5546618287)</f>
        <v>45665.554661828697</v>
      </c>
      <c r="B904" s="1" t="str">
        <f ca="1">IFERROR(__xludf.DUMMYFUNCTION("""COMPUTED_VALUE"""),"庫存調整")</f>
        <v>庫存調整</v>
      </c>
      <c r="C904" s="1" t="str">
        <f ca="1">IFERROR(__xludf.DUMMYFUNCTION("""COMPUTED_VALUE"""),"MM0220000048")</f>
        <v>MM0220000048</v>
      </c>
      <c r="D904" s="1" t="str">
        <f ca="1">IFERROR(__xludf.DUMMYFUNCTION("""COMPUTED_VALUE"""),"All/共用")</f>
        <v>All/共用</v>
      </c>
      <c r="E904" s="1" t="str">
        <f ca="1">IFERROR(__xludf.DUMMYFUNCTION("""COMPUTED_VALUE"""),"p1/庫存")</f>
        <v>p1/庫存</v>
      </c>
      <c r="F904" s="1">
        <f ca="1">IFERROR(__xludf.DUMMYFUNCTION("""COMPUTED_VALUE"""),2)</f>
        <v>2</v>
      </c>
      <c r="G904" s="1"/>
      <c r="H904" s="1" t="str">
        <f ca="1">IFERROR(__xludf.DUMMYFUNCTION("""COMPUTED_VALUE"""),"P1")</f>
        <v>P1</v>
      </c>
      <c r="I904" s="1" t="str">
        <f ca="1">IFERROR(__xludf.DUMMYFUNCTION("""COMPUTED_VALUE"""),"Chiao Yu")</f>
        <v>Chiao Yu</v>
      </c>
    </row>
    <row r="905" spans="1:9" ht="12.7" x14ac:dyDescent="0.4">
      <c r="A905" s="2">
        <f ca="1">IFERROR(__xludf.DUMMYFUNCTION("""COMPUTED_VALUE"""),45665.556984074)</f>
        <v>45665.556984073999</v>
      </c>
      <c r="B905" s="1" t="str">
        <f ca="1">IFERROR(__xludf.DUMMYFUNCTION("""COMPUTED_VALUE"""),"庫存調整")</f>
        <v>庫存調整</v>
      </c>
      <c r="C905" s="1" t="str">
        <f ca="1">IFERROR(__xludf.DUMMYFUNCTION("""COMPUTED_VALUE"""),"ME0020000560")</f>
        <v>ME0020000560</v>
      </c>
      <c r="D905" s="1" t="str">
        <f ca="1">IFERROR(__xludf.DUMMYFUNCTION("""COMPUTED_VALUE"""),"All/共用")</f>
        <v>All/共用</v>
      </c>
      <c r="E905" s="1" t="str">
        <f ca="1">IFERROR(__xludf.DUMMYFUNCTION("""COMPUTED_VALUE"""),"p1/庫存")</f>
        <v>p1/庫存</v>
      </c>
      <c r="F905" s="1">
        <f ca="1">IFERROR(__xludf.DUMMYFUNCTION("""COMPUTED_VALUE"""),-1)</f>
        <v>-1</v>
      </c>
      <c r="G905" s="1"/>
      <c r="H905" s="1" t="str">
        <f ca="1">IFERROR(__xludf.DUMMYFUNCTION("""COMPUTED_VALUE"""),"P1")</f>
        <v>P1</v>
      </c>
      <c r="I905" s="1" t="str">
        <f ca="1">IFERROR(__xludf.DUMMYFUNCTION("""COMPUTED_VALUE"""),"Chiao Yu")</f>
        <v>Chiao Yu</v>
      </c>
    </row>
    <row r="906" spans="1:9" ht="12.7" x14ac:dyDescent="0.4">
      <c r="A906" s="2">
        <f ca="1">IFERROR(__xludf.DUMMYFUNCTION("""COMPUTED_VALUE"""),45665.5574710185)</f>
        <v>45665.557471018503</v>
      </c>
      <c r="B906" s="1" t="str">
        <f ca="1">IFERROR(__xludf.DUMMYFUNCTION("""COMPUTED_VALUE"""),"庫存調整")</f>
        <v>庫存調整</v>
      </c>
      <c r="C906" s="1" t="str">
        <f ca="1">IFERROR(__xludf.DUMMYFUNCTION("""COMPUTED_VALUE"""),"ME0010000385")</f>
        <v>ME0010000385</v>
      </c>
      <c r="D906" s="1" t="str">
        <f ca="1">IFERROR(__xludf.DUMMYFUNCTION("""COMPUTED_VALUE"""),"All/共用")</f>
        <v>All/共用</v>
      </c>
      <c r="E906" s="1" t="str">
        <f ca="1">IFERROR(__xludf.DUMMYFUNCTION("""COMPUTED_VALUE"""),"p1/庫存")</f>
        <v>p1/庫存</v>
      </c>
      <c r="F906" s="1">
        <f ca="1">IFERROR(__xludf.DUMMYFUNCTION("""COMPUTED_VALUE"""),1)</f>
        <v>1</v>
      </c>
      <c r="G906" s="1"/>
      <c r="H906" s="1" t="str">
        <f ca="1">IFERROR(__xludf.DUMMYFUNCTION("""COMPUTED_VALUE"""),"P1")</f>
        <v>P1</v>
      </c>
      <c r="I906" s="1" t="str">
        <f ca="1">IFERROR(__xludf.DUMMYFUNCTION("""COMPUTED_VALUE"""),"Chiao Yu")</f>
        <v>Chiao Yu</v>
      </c>
    </row>
    <row r="907" spans="1:9" ht="12.7" x14ac:dyDescent="0.4">
      <c r="A907" s="2">
        <f ca="1">IFERROR(__xludf.DUMMYFUNCTION("""COMPUTED_VALUE"""),45665.5582317361)</f>
        <v>45665.558231736097</v>
      </c>
      <c r="B907" s="1" t="str">
        <f ca="1">IFERROR(__xludf.DUMMYFUNCTION("""COMPUTED_VALUE"""),"庫存調整")</f>
        <v>庫存調整</v>
      </c>
      <c r="C907" s="1" t="str">
        <f ca="1">IFERROR(__xludf.DUMMYFUNCTION("""COMPUTED_VALUE"""),"MM0220000046")</f>
        <v>MM0220000046</v>
      </c>
      <c r="D907" s="1" t="str">
        <f ca="1">IFERROR(__xludf.DUMMYFUNCTION("""COMPUTED_VALUE"""),"All/共用")</f>
        <v>All/共用</v>
      </c>
      <c r="E907" s="1" t="str">
        <f ca="1">IFERROR(__xludf.DUMMYFUNCTION("""COMPUTED_VALUE"""),"p1/庫存")</f>
        <v>p1/庫存</v>
      </c>
      <c r="F907" s="1">
        <f ca="1">IFERROR(__xludf.DUMMYFUNCTION("""COMPUTED_VALUE"""),2)</f>
        <v>2</v>
      </c>
      <c r="G907" s="1"/>
      <c r="H907" s="1" t="str">
        <f ca="1">IFERROR(__xludf.DUMMYFUNCTION("""COMPUTED_VALUE"""),"P1")</f>
        <v>P1</v>
      </c>
      <c r="I907" s="1" t="str">
        <f ca="1">IFERROR(__xludf.DUMMYFUNCTION("""COMPUTED_VALUE"""),"Chiao Yu")</f>
        <v>Chiao Yu</v>
      </c>
    </row>
    <row r="908" spans="1:9" ht="12.7" x14ac:dyDescent="0.4">
      <c r="A908" s="2">
        <f ca="1">IFERROR(__xludf.DUMMYFUNCTION("""COMPUTED_VALUE"""),45665.5589014351)</f>
        <v>45665.558901435099</v>
      </c>
      <c r="B908" s="1" t="str">
        <f ca="1">IFERROR(__xludf.DUMMYFUNCTION("""COMPUTED_VALUE"""),"庫存調整")</f>
        <v>庫存調整</v>
      </c>
      <c r="C908" s="1" t="str">
        <f ca="1">IFERROR(__xludf.DUMMYFUNCTION("""COMPUTED_VALUE"""),"ME0050000167")</f>
        <v>ME0050000167</v>
      </c>
      <c r="D908" s="1" t="str">
        <f ca="1">IFERROR(__xludf.DUMMYFUNCTION("""COMPUTED_VALUE"""),"All/共用")</f>
        <v>All/共用</v>
      </c>
      <c r="E908" s="1" t="str">
        <f ca="1">IFERROR(__xludf.DUMMYFUNCTION("""COMPUTED_VALUE"""),"p1/庫存")</f>
        <v>p1/庫存</v>
      </c>
      <c r="F908" s="1">
        <f ca="1">IFERROR(__xludf.DUMMYFUNCTION("""COMPUTED_VALUE"""),-1)</f>
        <v>-1</v>
      </c>
      <c r="G908" s="1"/>
      <c r="H908" s="1" t="str">
        <f ca="1">IFERROR(__xludf.DUMMYFUNCTION("""COMPUTED_VALUE"""),"P1")</f>
        <v>P1</v>
      </c>
      <c r="I908" s="1" t="str">
        <f ca="1">IFERROR(__xludf.DUMMYFUNCTION("""COMPUTED_VALUE"""),"Chiao Yu")</f>
        <v>Chiao Yu</v>
      </c>
    </row>
    <row r="909" spans="1:9" ht="12.7" x14ac:dyDescent="0.4">
      <c r="A909" s="2">
        <f ca="1">IFERROR(__xludf.DUMMYFUNCTION("""COMPUTED_VALUE"""),45665.5592428124)</f>
        <v>45665.5592428124</v>
      </c>
      <c r="B909" s="1" t="str">
        <f ca="1">IFERROR(__xludf.DUMMYFUNCTION("""COMPUTED_VALUE"""),"庫存調整")</f>
        <v>庫存調整</v>
      </c>
      <c r="C909" s="1" t="str">
        <f ca="1">IFERROR(__xludf.DUMMYFUNCTION("""COMPUTED_VALUE"""),"ME0050000168")</f>
        <v>ME0050000168</v>
      </c>
      <c r="D909" s="1" t="str">
        <f ca="1">IFERROR(__xludf.DUMMYFUNCTION("""COMPUTED_VALUE"""),"All/共用")</f>
        <v>All/共用</v>
      </c>
      <c r="E909" s="1" t="str">
        <f ca="1">IFERROR(__xludf.DUMMYFUNCTION("""COMPUTED_VALUE"""),"p1/庫存")</f>
        <v>p1/庫存</v>
      </c>
      <c r="F909" s="1">
        <f ca="1">IFERROR(__xludf.DUMMYFUNCTION("""COMPUTED_VALUE"""),-1)</f>
        <v>-1</v>
      </c>
      <c r="G909" s="1"/>
      <c r="H909" s="1" t="str">
        <f ca="1">IFERROR(__xludf.DUMMYFUNCTION("""COMPUTED_VALUE"""),"P1")</f>
        <v>P1</v>
      </c>
      <c r="I909" s="1" t="str">
        <f ca="1">IFERROR(__xludf.DUMMYFUNCTION("""COMPUTED_VALUE"""),"Chiao Yu")</f>
        <v>Chiao Yu</v>
      </c>
    </row>
    <row r="910" spans="1:9" ht="12.7" x14ac:dyDescent="0.4">
      <c r="A910" s="2">
        <f ca="1">IFERROR(__xludf.DUMMYFUNCTION("""COMPUTED_VALUE"""),45665.5630487615)</f>
        <v>45665.563048761498</v>
      </c>
      <c r="B910" s="1" t="str">
        <f ca="1">IFERROR(__xludf.DUMMYFUNCTION("""COMPUTED_VALUE"""),"庫存調整")</f>
        <v>庫存調整</v>
      </c>
      <c r="C910" s="1" t="str">
        <f ca="1">IFERROR(__xludf.DUMMYFUNCTION("""COMPUTED_VALUE"""),"ME0270001131")</f>
        <v>ME0270001131</v>
      </c>
      <c r="D910" s="1" t="str">
        <f ca="1">IFERROR(__xludf.DUMMYFUNCTION("""COMPUTED_VALUE"""),"All/SB")</f>
        <v>All/SB</v>
      </c>
      <c r="E910" s="1" t="str">
        <f ca="1">IFERROR(__xludf.DUMMYFUNCTION("""COMPUTED_VALUE"""),"p1/庫存")</f>
        <v>p1/庫存</v>
      </c>
      <c r="F910" s="1">
        <f ca="1">IFERROR(__xludf.DUMMYFUNCTION("""COMPUTED_VALUE"""),2)</f>
        <v>2</v>
      </c>
      <c r="G910" s="1"/>
      <c r="H910" s="1" t="str">
        <f ca="1">IFERROR(__xludf.DUMMYFUNCTION("""COMPUTED_VALUE"""),"P1")</f>
        <v>P1</v>
      </c>
      <c r="I910" s="1" t="str">
        <f ca="1">IFERROR(__xludf.DUMMYFUNCTION("""COMPUTED_VALUE"""),"Chiao Yu")</f>
        <v>Chiao Yu</v>
      </c>
    </row>
    <row r="911" spans="1:9" ht="12.7" x14ac:dyDescent="0.4">
      <c r="A911" s="2">
        <f ca="1">IFERROR(__xludf.DUMMYFUNCTION("""COMPUTED_VALUE"""),45665.5634584259)</f>
        <v>45665.563458425902</v>
      </c>
      <c r="B911" s="1" t="str">
        <f ca="1">IFERROR(__xludf.DUMMYFUNCTION("""COMPUTED_VALUE"""),"庫存調整")</f>
        <v>庫存調整</v>
      </c>
      <c r="C911" s="1" t="str">
        <f ca="1">IFERROR(__xludf.DUMMYFUNCTION("""COMPUTED_VALUE"""),"A00700000837")</f>
        <v>A00700000837</v>
      </c>
      <c r="D911" s="1" t="str">
        <f ca="1">IFERROR(__xludf.DUMMYFUNCTION("""COMPUTED_VALUE"""),"All/COLOR")</f>
        <v>All/COLOR</v>
      </c>
      <c r="E911" s="1" t="str">
        <f ca="1">IFERROR(__xludf.DUMMYFUNCTION("""COMPUTED_VALUE"""),"p1/庫存")</f>
        <v>p1/庫存</v>
      </c>
      <c r="F911" s="1">
        <f ca="1">IFERROR(__xludf.DUMMYFUNCTION("""COMPUTED_VALUE"""),1)</f>
        <v>1</v>
      </c>
      <c r="G911" s="1"/>
      <c r="H911" s="1" t="str">
        <f ca="1">IFERROR(__xludf.DUMMYFUNCTION("""COMPUTED_VALUE"""),"P1")</f>
        <v>P1</v>
      </c>
      <c r="I911" s="1" t="str">
        <f ca="1">IFERROR(__xludf.DUMMYFUNCTION("""COMPUTED_VALUE"""),"Chiao Yu")</f>
        <v>Chiao Yu</v>
      </c>
    </row>
    <row r="912" spans="1:9" ht="12.7" x14ac:dyDescent="0.4">
      <c r="A912" s="2">
        <f ca="1">IFERROR(__xludf.DUMMYFUNCTION("""COMPUTED_VALUE"""),45665.5697878472)</f>
        <v>45665.569787847198</v>
      </c>
      <c r="B912" s="1" t="str">
        <f ca="1">IFERROR(__xludf.DUMMYFUNCTION("""COMPUTED_VALUE"""),"庫存調整")</f>
        <v>庫存調整</v>
      </c>
      <c r="C912" s="1" t="str">
        <f ca="1">IFERROR(__xludf.DUMMYFUNCTION("""COMPUTED_VALUE"""),"MM0220000040")</f>
        <v>MM0220000040</v>
      </c>
      <c r="D912" s="1" t="str">
        <f ca="1">IFERROR(__xludf.DUMMYFUNCTION("""COMPUTED_VALUE"""),"All/共用")</f>
        <v>All/共用</v>
      </c>
      <c r="E912" s="1" t="str">
        <f ca="1">IFERROR(__xludf.DUMMYFUNCTION("""COMPUTED_VALUE"""),"p1/庫存")</f>
        <v>p1/庫存</v>
      </c>
      <c r="F912" s="1">
        <f ca="1">IFERROR(__xludf.DUMMYFUNCTION("""COMPUTED_VALUE"""),1)</f>
        <v>1</v>
      </c>
      <c r="G912" s="1"/>
      <c r="H912" s="1" t="str">
        <f ca="1">IFERROR(__xludf.DUMMYFUNCTION("""COMPUTED_VALUE"""),"P1")</f>
        <v>P1</v>
      </c>
      <c r="I912" s="1" t="str">
        <f ca="1">IFERROR(__xludf.DUMMYFUNCTION("""COMPUTED_VALUE"""),"Chiao Yu")</f>
        <v>Chiao Yu</v>
      </c>
    </row>
    <row r="913" spans="1:9" ht="12.7" x14ac:dyDescent="0.4">
      <c r="A913" s="2">
        <f ca="1">IFERROR(__xludf.DUMMYFUNCTION("""COMPUTED_VALUE"""),45665.570100868)</f>
        <v>45665.570100867997</v>
      </c>
      <c r="B913" s="1" t="str">
        <f ca="1">IFERROR(__xludf.DUMMYFUNCTION("""COMPUTED_VALUE"""),"庫存調整")</f>
        <v>庫存調整</v>
      </c>
      <c r="C913" s="1" t="str">
        <f ca="1">IFERROR(__xludf.DUMMYFUNCTION("""COMPUTED_VALUE"""),"MM0220000042")</f>
        <v>MM0220000042</v>
      </c>
      <c r="D913" s="1" t="str">
        <f ca="1">IFERROR(__xludf.DUMMYFUNCTION("""COMPUTED_VALUE"""),"All/共用")</f>
        <v>All/共用</v>
      </c>
      <c r="E913" s="1" t="str">
        <f ca="1">IFERROR(__xludf.DUMMYFUNCTION("""COMPUTED_VALUE"""),"p1/庫存")</f>
        <v>p1/庫存</v>
      </c>
      <c r="F913" s="1">
        <f ca="1">IFERROR(__xludf.DUMMYFUNCTION("""COMPUTED_VALUE"""),2)</f>
        <v>2</v>
      </c>
      <c r="G913" s="1"/>
      <c r="H913" s="1" t="str">
        <f ca="1">IFERROR(__xludf.DUMMYFUNCTION("""COMPUTED_VALUE"""),"P1")</f>
        <v>P1</v>
      </c>
      <c r="I913" s="1" t="str">
        <f ca="1">IFERROR(__xludf.DUMMYFUNCTION("""COMPUTED_VALUE"""),"Chiao Yu")</f>
        <v>Chiao Yu</v>
      </c>
    </row>
    <row r="914" spans="1:9" ht="12.7" x14ac:dyDescent="0.4">
      <c r="A914" s="2">
        <f ca="1">IFERROR(__xludf.DUMMYFUNCTION("""COMPUTED_VALUE"""),45666.3733024537)</f>
        <v>45666.3733024537</v>
      </c>
      <c r="B914" s="1" t="str">
        <f ca="1">IFERROR(__xludf.DUMMYFUNCTION("""COMPUTED_VALUE"""),"返修")</f>
        <v>返修</v>
      </c>
      <c r="C914" s="1" t="str">
        <f ca="1">IFERROR(__xludf.DUMMYFUNCTION("""COMPUTED_VALUE"""),"ME0100000079")</f>
        <v>ME0100000079</v>
      </c>
      <c r="D914" s="1" t="str">
        <f ca="1">IFERROR(__xludf.DUMMYFUNCTION("""COMPUTED_VALUE"""),"All/COLOR")</f>
        <v>All/COLOR</v>
      </c>
      <c r="E914" s="1" t="str">
        <f ca="1">IFERROR(__xludf.DUMMYFUNCTION("""COMPUTED_VALUE"""),"p2/庫存")</f>
        <v>p2/庫存</v>
      </c>
      <c r="F914" s="1">
        <f ca="1">IFERROR(__xludf.DUMMYFUNCTION("""COMPUTED_VALUE"""),1)</f>
        <v>1</v>
      </c>
      <c r="G914" s="1"/>
      <c r="H914" s="1" t="str">
        <f ca="1">IFERROR(__xludf.DUMMYFUNCTION("""COMPUTED_VALUE"""),"P2_3002")</f>
        <v>P2_3002</v>
      </c>
      <c r="I914" s="1" t="str">
        <f ca="1">IFERROR(__xludf.DUMMYFUNCTION("""COMPUTED_VALUE"""),"Chiao Yu")</f>
        <v>Chiao Yu</v>
      </c>
    </row>
    <row r="915" spans="1:9" ht="12.7" x14ac:dyDescent="0.4">
      <c r="A915" s="2">
        <f ca="1">IFERROR(__xludf.DUMMYFUNCTION("""COMPUTED_VALUE"""),45666.8086388194)</f>
        <v>45666.808638819399</v>
      </c>
      <c r="B915" s="1" t="str">
        <f ca="1">IFERROR(__xludf.DUMMYFUNCTION("""COMPUTED_VALUE"""),"領料")</f>
        <v>領料</v>
      </c>
      <c r="C915" s="1" t="str">
        <f ca="1">IFERROR(__xludf.DUMMYFUNCTION("""COMPUTED_VALUE"""),"ME0270000955")</f>
        <v>ME0270000955</v>
      </c>
      <c r="D915" s="1" t="str">
        <f ca="1">IFERROR(__xludf.DUMMYFUNCTION("""COMPUTED_VALUE"""),"All/BA")</f>
        <v>All/BA</v>
      </c>
      <c r="E915" s="1" t="str">
        <f ca="1">IFERROR(__xludf.DUMMYFUNCTION("""COMPUTED_VALUE"""),"p1/庫存")</f>
        <v>p1/庫存</v>
      </c>
      <c r="F915" s="1">
        <f ca="1">IFERROR(__xludf.DUMMYFUNCTION("""COMPUTED_VALUE"""),1)</f>
        <v>1</v>
      </c>
      <c r="G915" s="1"/>
      <c r="H915" s="1" t="str">
        <f ca="1">IFERROR(__xludf.DUMMYFUNCTION("""COMPUTED_VALUE"""),"P1_006")</f>
        <v>P1_006</v>
      </c>
      <c r="I915" s="1" t="str">
        <f ca="1">IFERROR(__xludf.DUMMYFUNCTION("""COMPUTED_VALUE"""),"Chiao Yu")</f>
        <v>Chiao Yu</v>
      </c>
    </row>
    <row r="916" spans="1:9" ht="12.7" x14ac:dyDescent="0.4">
      <c r="A916" s="2">
        <f ca="1">IFERROR(__xludf.DUMMYFUNCTION("""COMPUTED_VALUE"""),45668.3275732986)</f>
        <v>45668.3275732986</v>
      </c>
      <c r="B916" s="1" t="str">
        <f ca="1">IFERROR(__xludf.DUMMYFUNCTION("""COMPUTED_VALUE"""),"送修")</f>
        <v>送修</v>
      </c>
      <c r="C916" s="1" t="str">
        <f ca="1">IFERROR(__xludf.DUMMYFUNCTION("""COMPUTED_VALUE"""),"ME0100000079")</f>
        <v>ME0100000079</v>
      </c>
      <c r="D916" s="1" t="str">
        <f ca="1">IFERROR(__xludf.DUMMYFUNCTION("""COMPUTED_VALUE"""),"All/COLOR")</f>
        <v>All/COLOR</v>
      </c>
      <c r="E916" s="1" t="str">
        <f ca="1">IFERROR(__xludf.DUMMYFUNCTION("""COMPUTED_VALUE"""),"p2/庫存")</f>
        <v>p2/庫存</v>
      </c>
      <c r="F916" s="1">
        <f ca="1">IFERROR(__xludf.DUMMYFUNCTION("""COMPUTED_VALUE"""),1)</f>
        <v>1</v>
      </c>
      <c r="G916" s="1"/>
      <c r="H916" s="1" t="str">
        <f ca="1">IFERROR(__xludf.DUMMYFUNCTION("""COMPUTED_VALUE"""),"P2_3002")</f>
        <v>P2_3002</v>
      </c>
      <c r="I916" s="1" t="str">
        <f ca="1">IFERROR(__xludf.DUMMYFUNCTION("""COMPUTED_VALUE"""),"Chiao Yu")</f>
        <v>Chiao Yu</v>
      </c>
    </row>
    <row r="917" spans="1:9" ht="12.7" x14ac:dyDescent="0.4">
      <c r="A917" s="2">
        <f ca="1">IFERROR(__xludf.DUMMYFUNCTION("""COMPUTED_VALUE"""),45668.674946875)</f>
        <v>45668.674946874999</v>
      </c>
      <c r="B917" s="1" t="str">
        <f ca="1">IFERROR(__xludf.DUMMYFUNCTION("""COMPUTED_VALUE"""),"進貨")</f>
        <v>進貨</v>
      </c>
      <c r="C917" s="1" t="str">
        <f ca="1">IFERROR(__xludf.DUMMYFUNCTION("""COMPUTED_VALUE"""),"AGT000000011")</f>
        <v>AGT000000011</v>
      </c>
      <c r="D917" s="1" t="str">
        <f ca="1">IFERROR(__xludf.DUMMYFUNCTION("""COMPUTED_VALUE"""),"All/共用")</f>
        <v>All/共用</v>
      </c>
      <c r="E917" s="1" t="str">
        <f ca="1">IFERROR(__xludf.DUMMYFUNCTION("""COMPUTED_VALUE"""),"p1/庫存")</f>
        <v>p1/庫存</v>
      </c>
      <c r="F917" s="1">
        <f ca="1">IFERROR(__xludf.DUMMYFUNCTION("""COMPUTED_VALUE"""),8)</f>
        <v>8</v>
      </c>
      <c r="G917" s="1"/>
      <c r="H917" s="1" t="str">
        <f ca="1">IFERROR(__xludf.DUMMYFUNCTION("""COMPUTED_VALUE"""),"P1")</f>
        <v>P1</v>
      </c>
      <c r="I917" s="1" t="str">
        <f ca="1">IFERROR(__xludf.DUMMYFUNCTION("""COMPUTED_VALUE"""),"Chiao Yu")</f>
        <v>Chiao Yu</v>
      </c>
    </row>
    <row r="918" spans="1:9" ht="12.7" x14ac:dyDescent="0.4">
      <c r="A918" s="2">
        <f ca="1">IFERROR(__xludf.DUMMYFUNCTION("""COMPUTED_VALUE"""),45668.6754333564)</f>
        <v>45668.675433356402</v>
      </c>
      <c r="B918" s="1" t="str">
        <f ca="1">IFERROR(__xludf.DUMMYFUNCTION("""COMPUTED_VALUE"""),"領料")</f>
        <v>領料</v>
      </c>
      <c r="C918" s="1" t="str">
        <f ca="1">IFERROR(__xludf.DUMMYFUNCTION("""COMPUTED_VALUE"""),"AGT000000011")</f>
        <v>AGT000000011</v>
      </c>
      <c r="D918" s="1" t="str">
        <f ca="1">IFERROR(__xludf.DUMMYFUNCTION("""COMPUTED_VALUE"""),"All/共用")</f>
        <v>All/共用</v>
      </c>
      <c r="E918" s="1" t="str">
        <f ca="1">IFERROR(__xludf.DUMMYFUNCTION("""COMPUTED_VALUE"""),"p1/庫存")</f>
        <v>p1/庫存</v>
      </c>
      <c r="F918" s="1">
        <f ca="1">IFERROR(__xludf.DUMMYFUNCTION("""COMPUTED_VALUE"""),2)</f>
        <v>2</v>
      </c>
      <c r="G918" s="1"/>
      <c r="H918" s="1" t="str">
        <f ca="1">IFERROR(__xludf.DUMMYFUNCTION("""COMPUTED_VALUE"""),"P1")</f>
        <v>P1</v>
      </c>
      <c r="I918" s="1" t="str">
        <f ca="1">IFERROR(__xludf.DUMMYFUNCTION("""COMPUTED_VALUE"""),"Chiao Yu")</f>
        <v>Chiao Yu</v>
      </c>
    </row>
    <row r="919" spans="1:9" ht="12.7" x14ac:dyDescent="0.4">
      <c r="A919" s="2">
        <f ca="1">IFERROR(__xludf.DUMMYFUNCTION("""COMPUTED_VALUE"""),45668.7900128356)</f>
        <v>45668.790012835598</v>
      </c>
      <c r="B919" s="1" t="str">
        <f ca="1">IFERROR(__xludf.DUMMYFUNCTION("""COMPUTED_VALUE"""),"領料")</f>
        <v>領料</v>
      </c>
      <c r="C919" s="1" t="str">
        <f ca="1">IFERROR(__xludf.DUMMYFUNCTION("""COMPUTED_VALUE"""),"MM0010000125")</f>
        <v>MM0010000125</v>
      </c>
      <c r="D919" s="1" t="str">
        <f ca="1">IFERROR(__xludf.DUMMYFUNCTION("""COMPUTED_VALUE"""),"All/RL")</f>
        <v>All/RL</v>
      </c>
      <c r="E919" s="1" t="str">
        <f ca="1">IFERROR(__xludf.DUMMYFUNCTION("""COMPUTED_VALUE"""),"p2/庫存")</f>
        <v>p2/庫存</v>
      </c>
      <c r="F919" s="1">
        <f ca="1">IFERROR(__xludf.DUMMYFUNCTION("""COMPUTED_VALUE"""),1)</f>
        <v>1</v>
      </c>
      <c r="G919" s="1"/>
      <c r="H919" s="1" t="str">
        <f ca="1">IFERROR(__xludf.DUMMYFUNCTION("""COMPUTED_VALUE"""),"P2_1006")</f>
        <v>P2_1006</v>
      </c>
      <c r="I919" s="1" t="str">
        <f ca="1">IFERROR(__xludf.DUMMYFUNCTION("""COMPUTED_VALUE"""),"Chiao Yu")</f>
        <v>Chiao Yu</v>
      </c>
    </row>
    <row r="920" spans="1:9" ht="12.7" x14ac:dyDescent="0.4">
      <c r="A920" s="2">
        <f ca="1">IFERROR(__xludf.DUMMYFUNCTION("""COMPUTED_VALUE"""),45671.4610835648)</f>
        <v>45671.461083564798</v>
      </c>
      <c r="B920" s="1" t="str">
        <f ca="1">IFERROR(__xludf.DUMMYFUNCTION("""COMPUTED_VALUE"""),"領料")</f>
        <v>領料</v>
      </c>
      <c r="C920" s="1" t="str">
        <f ca="1">IFERROR(__xludf.DUMMYFUNCTION("""COMPUTED_VALUE"""),"MM0090000047")</f>
        <v>MM0090000047</v>
      </c>
      <c r="D920" s="1" t="str">
        <f ca="1">IFERROR(__xludf.DUMMYFUNCTION("""COMPUTED_VALUE"""),"All/BA")</f>
        <v>All/BA</v>
      </c>
      <c r="E920" s="1" t="str">
        <f ca="1">IFERROR(__xludf.DUMMYFUNCTION("""COMPUTED_VALUE"""),"p1/庫存")</f>
        <v>p1/庫存</v>
      </c>
      <c r="F920" s="1">
        <f ca="1">IFERROR(__xludf.DUMMYFUNCTION("""COMPUTED_VALUE"""),132)</f>
        <v>132</v>
      </c>
      <c r="G920" s="1"/>
      <c r="H920" s="1" t="str">
        <f ca="1">IFERROR(__xludf.DUMMYFUNCTION("""COMPUTED_VALUE"""),"P1")</f>
        <v>P1</v>
      </c>
      <c r="I920" s="1" t="str">
        <f ca="1">IFERROR(__xludf.DUMMYFUNCTION("""COMPUTED_VALUE"""),"Chiao Yu")</f>
        <v>Chiao Yu</v>
      </c>
    </row>
    <row r="921" spans="1:9" ht="12.7" x14ac:dyDescent="0.4">
      <c r="A921" s="2">
        <f ca="1">IFERROR(__xludf.DUMMYFUNCTION("""COMPUTED_VALUE"""),45671.7147897685)</f>
        <v>45671.714789768499</v>
      </c>
      <c r="B921" s="1" t="str">
        <f ca="1">IFERROR(__xludf.DUMMYFUNCTION("""COMPUTED_VALUE"""),"領料")</f>
        <v>領料</v>
      </c>
      <c r="C921" s="1" t="str">
        <f ca="1">IFERROR(__xludf.DUMMYFUNCTION("""COMPUTED_VALUE"""),"ME0050000183")</f>
        <v>ME0050000183</v>
      </c>
      <c r="D921" s="1" t="str">
        <f ca="1">IFERROR(__xludf.DUMMYFUNCTION("""COMPUTED_VALUE"""),"All/共用")</f>
        <v>All/共用</v>
      </c>
      <c r="E921" s="1" t="str">
        <f ca="1">IFERROR(__xludf.DUMMYFUNCTION("""COMPUTED_VALUE"""),"p2/庫存")</f>
        <v>p2/庫存</v>
      </c>
      <c r="F921" s="1">
        <f ca="1">IFERROR(__xludf.DUMMYFUNCTION("""COMPUTED_VALUE"""),3)</f>
        <v>3</v>
      </c>
      <c r="G921" s="1"/>
      <c r="H921" s="1" t="str">
        <f ca="1">IFERROR(__xludf.DUMMYFUNCTION("""COMPUTED_VALUE"""),"P2")</f>
        <v>P2</v>
      </c>
      <c r="I921" s="1" t="str">
        <f ca="1">IFERROR(__xludf.DUMMYFUNCTION("""COMPUTED_VALUE"""),"Chiao Yu")</f>
        <v>Chiao Yu</v>
      </c>
    </row>
    <row r="922" spans="1:9" ht="12.7" x14ac:dyDescent="0.4">
      <c r="A922" s="2">
        <f ca="1">IFERROR(__xludf.DUMMYFUNCTION("""COMPUTED_VALUE"""),45671.7154046875)</f>
        <v>45671.7154046875</v>
      </c>
      <c r="B922" s="1" t="str">
        <f ca="1">IFERROR(__xludf.DUMMYFUNCTION("""COMPUTED_VALUE"""),"領料")</f>
        <v>領料</v>
      </c>
      <c r="C922" s="1" t="str">
        <f ca="1">IFERROR(__xludf.DUMMYFUNCTION("""COMPUTED_VALUE"""),"ME0270000789")</f>
        <v>ME0270000789</v>
      </c>
      <c r="D922" s="1" t="str">
        <f ca="1">IFERROR(__xludf.DUMMYFUNCTION("""COMPUTED_VALUE"""),"All/共用")</f>
        <v>All/共用</v>
      </c>
      <c r="E922" s="1" t="str">
        <f ca="1">IFERROR(__xludf.DUMMYFUNCTION("""COMPUTED_VALUE"""),"p2/庫存")</f>
        <v>p2/庫存</v>
      </c>
      <c r="F922" s="1">
        <f ca="1">IFERROR(__xludf.DUMMYFUNCTION("""COMPUTED_VALUE"""),9)</f>
        <v>9</v>
      </c>
      <c r="G922" s="1"/>
      <c r="H922" s="1" t="str">
        <f ca="1">IFERROR(__xludf.DUMMYFUNCTION("""COMPUTED_VALUE"""),"P2")</f>
        <v>P2</v>
      </c>
      <c r="I922" s="1" t="str">
        <f ca="1">IFERROR(__xludf.DUMMYFUNCTION("""COMPUTED_VALUE"""),"Chiao Yu")</f>
        <v>Chiao Yu</v>
      </c>
    </row>
    <row r="923" spans="1:9" ht="12.7" x14ac:dyDescent="0.4">
      <c r="A923" s="2">
        <f ca="1">IFERROR(__xludf.DUMMYFUNCTION("""COMPUTED_VALUE"""),45674.5733727199)</f>
        <v>45674.573372719897</v>
      </c>
      <c r="B923" s="1" t="str">
        <f ca="1">IFERROR(__xludf.DUMMYFUNCTION("""COMPUTED_VALUE"""),"領料")</f>
        <v>領料</v>
      </c>
      <c r="C923" s="1" t="str">
        <f ca="1">IFERROR(__xludf.DUMMYFUNCTION("""COMPUTED_VALUE"""),"MM0010000125")</f>
        <v>MM0010000125</v>
      </c>
      <c r="D923" s="1" t="str">
        <f ca="1">IFERROR(__xludf.DUMMYFUNCTION("""COMPUTED_VALUE"""),"All/RL")</f>
        <v>All/RL</v>
      </c>
      <c r="E923" s="1" t="str">
        <f ca="1">IFERROR(__xludf.DUMMYFUNCTION("""COMPUTED_VALUE"""),"p2/庫存")</f>
        <v>p2/庫存</v>
      </c>
      <c r="F923" s="1">
        <f ca="1">IFERROR(__xludf.DUMMYFUNCTION("""COMPUTED_VALUE"""),1)</f>
        <v>1</v>
      </c>
      <c r="G923" s="1"/>
      <c r="H923" s="1" t="str">
        <f ca="1">IFERROR(__xludf.DUMMYFUNCTION("""COMPUTED_VALUE"""),"P1_1002")</f>
        <v>P1_1002</v>
      </c>
      <c r="I923" s="1" t="str">
        <f ca="1">IFERROR(__xludf.DUMMYFUNCTION("""COMPUTED_VALUE"""),"Chiao Yu")</f>
        <v>Chiao Yu</v>
      </c>
    </row>
    <row r="924" spans="1:9" ht="12.7" x14ac:dyDescent="0.4">
      <c r="A924" s="2">
        <f ca="1">IFERROR(__xludf.DUMMYFUNCTION("""COMPUTED_VALUE"""),45674.6971025115)</f>
        <v>45674.697102511498</v>
      </c>
      <c r="B924" s="1" t="str">
        <f ca="1">IFERROR(__xludf.DUMMYFUNCTION("""COMPUTED_VALUE"""),"進貨")</f>
        <v>進貨</v>
      </c>
      <c r="C924" s="1" t="str">
        <f ca="1">IFERROR(__xludf.DUMMYFUNCTION("""COMPUTED_VALUE"""),"MM0010000125")</f>
        <v>MM0010000125</v>
      </c>
      <c r="D924" s="1" t="str">
        <f ca="1">IFERROR(__xludf.DUMMYFUNCTION("""COMPUTED_VALUE"""),"All/RL")</f>
        <v>All/RL</v>
      </c>
      <c r="E924" s="1" t="str">
        <f ca="1">IFERROR(__xludf.DUMMYFUNCTION("""COMPUTED_VALUE"""),"p1/庫存")</f>
        <v>p1/庫存</v>
      </c>
      <c r="F924" s="1">
        <f ca="1">IFERROR(__xludf.DUMMYFUNCTION("""COMPUTED_VALUE"""),2)</f>
        <v>2</v>
      </c>
      <c r="G924" s="1"/>
      <c r="H924" s="1" t="str">
        <f ca="1">IFERROR(__xludf.DUMMYFUNCTION("""COMPUTED_VALUE"""),"P1")</f>
        <v>P1</v>
      </c>
      <c r="I924" s="1" t="str">
        <f ca="1">IFERROR(__xludf.DUMMYFUNCTION("""COMPUTED_VALUE"""),"Chiao Yu")</f>
        <v>Chiao Yu</v>
      </c>
    </row>
    <row r="925" spans="1:9" ht="12.7" x14ac:dyDescent="0.4">
      <c r="A925" s="2">
        <f ca="1">IFERROR(__xludf.DUMMYFUNCTION("""COMPUTED_VALUE"""),45674.6986066319)</f>
        <v>45674.6986066319</v>
      </c>
      <c r="B925" s="1" t="str">
        <f ca="1">IFERROR(__xludf.DUMMYFUNCTION("""COMPUTED_VALUE"""),"進貨")</f>
        <v>進貨</v>
      </c>
      <c r="C925" s="1" t="str">
        <f ca="1">IFERROR(__xludf.DUMMYFUNCTION("""COMPUTED_VALUE"""),"MM0010000125")</f>
        <v>MM0010000125</v>
      </c>
      <c r="D925" s="1" t="str">
        <f ca="1">IFERROR(__xludf.DUMMYFUNCTION("""COMPUTED_VALUE"""),"All/RL")</f>
        <v>All/RL</v>
      </c>
      <c r="E925" s="1" t="str">
        <f ca="1">IFERROR(__xludf.DUMMYFUNCTION("""COMPUTED_VALUE"""),"p2/庫存")</f>
        <v>p2/庫存</v>
      </c>
      <c r="F925" s="1">
        <f ca="1">IFERROR(__xludf.DUMMYFUNCTION("""COMPUTED_VALUE"""),3)</f>
        <v>3</v>
      </c>
      <c r="G925" s="1"/>
      <c r="H925" s="1" t="str">
        <f ca="1">IFERROR(__xludf.DUMMYFUNCTION("""COMPUTED_VALUE"""),"P2")</f>
        <v>P2</v>
      </c>
      <c r="I925" s="1" t="str">
        <f ca="1">IFERROR(__xludf.DUMMYFUNCTION("""COMPUTED_VALUE"""),"Chiao Yu")</f>
        <v>Chiao Yu</v>
      </c>
    </row>
    <row r="926" spans="1:9" ht="12.7" x14ac:dyDescent="0.4">
      <c r="A926" s="2">
        <f ca="1">IFERROR(__xludf.DUMMYFUNCTION("""COMPUTED_VALUE"""),45677.7094565625)</f>
        <v>45677.709456562501</v>
      </c>
      <c r="B926" s="1" t="str">
        <f ca="1">IFERROR(__xludf.DUMMYFUNCTION("""COMPUTED_VALUE"""),"返修")</f>
        <v>返修</v>
      </c>
      <c r="C926" s="1" t="str">
        <f ca="1">IFERROR(__xludf.DUMMYFUNCTION("""COMPUTED_VALUE"""),"ME0160000073")</f>
        <v>ME0160000073</v>
      </c>
      <c r="D926" s="1" t="str">
        <f ca="1">IFERROR(__xludf.DUMMYFUNCTION("""COMPUTED_VALUE"""),"All/BA")</f>
        <v>All/BA</v>
      </c>
      <c r="E926" s="1" t="str">
        <f ca="1">IFERROR(__xludf.DUMMYFUNCTION("""COMPUTED_VALUE"""),"p1/庫存")</f>
        <v>p1/庫存</v>
      </c>
      <c r="F926" s="1">
        <f ca="1">IFERROR(__xludf.DUMMYFUNCTION("""COMPUTED_VALUE"""),1)</f>
        <v>1</v>
      </c>
      <c r="G926" s="1" t="str">
        <f ca="1">IFERROR(__xludf.DUMMYFUNCTION("""COMPUTED_VALUE"""),"B2211400")</f>
        <v>B2211400</v>
      </c>
      <c r="H926" s="1" t="str">
        <f ca="1">IFERROR(__xludf.DUMMYFUNCTION("""COMPUTED_VALUE"""),"P1")</f>
        <v>P1</v>
      </c>
      <c r="I926" s="1" t="str">
        <f ca="1">IFERROR(__xludf.DUMMYFUNCTION("""COMPUTED_VALUE"""),"Simon")</f>
        <v>Simon</v>
      </c>
    </row>
    <row r="927" spans="1:9" ht="12.7" x14ac:dyDescent="0.4">
      <c r="A927" s="2">
        <f ca="1">IFERROR(__xludf.DUMMYFUNCTION("""COMPUTED_VALUE"""),45679.647430625)</f>
        <v>45679.647430625002</v>
      </c>
      <c r="B927" s="1" t="str">
        <f ca="1">IFERROR(__xludf.DUMMYFUNCTION("""COMPUTED_VALUE"""),"領料")</f>
        <v>領料</v>
      </c>
      <c r="C927" s="1" t="str">
        <f ca="1">IFERROR(__xludf.DUMMYFUNCTION("""COMPUTED_VALUE"""),"MM0260000258")</f>
        <v>MM0260000258</v>
      </c>
      <c r="D927" s="1" t="str">
        <f ca="1">IFERROR(__xludf.DUMMYFUNCTION("""COMPUTED_VALUE"""),"All/BA")</f>
        <v>All/BA</v>
      </c>
      <c r="E927" s="1" t="str">
        <f ca="1">IFERROR(__xludf.DUMMYFUNCTION("""COMPUTED_VALUE"""),"p1/庫存")</f>
        <v>p1/庫存</v>
      </c>
      <c r="F927" s="1">
        <f ca="1">IFERROR(__xludf.DUMMYFUNCTION("""COMPUTED_VALUE"""),25)</f>
        <v>25</v>
      </c>
      <c r="G927" s="1"/>
      <c r="H927" s="1" t="str">
        <f ca="1">IFERROR(__xludf.DUMMYFUNCTION("""COMPUTED_VALUE"""),"P1")</f>
        <v>P1</v>
      </c>
      <c r="I927" s="1" t="str">
        <f ca="1">IFERROR(__xludf.DUMMYFUNCTION("""COMPUTED_VALUE"""),"Chiao Yu")</f>
        <v>Chiao Yu</v>
      </c>
    </row>
    <row r="928" spans="1:9" ht="12.7" x14ac:dyDescent="0.4">
      <c r="A928" s="2">
        <f ca="1">IFERROR(__xludf.DUMMYFUNCTION("""COMPUTED_VALUE"""),45679.6483019097)</f>
        <v>45679.6483019097</v>
      </c>
      <c r="B928" s="1" t="str">
        <f ca="1">IFERROR(__xludf.DUMMYFUNCTION("""COMPUTED_VALUE"""),"領料")</f>
        <v>領料</v>
      </c>
      <c r="C928" s="1" t="str">
        <f ca="1">IFERROR(__xludf.DUMMYFUNCTION("""COMPUTED_VALUE"""),"MM0260000149")</f>
        <v>MM0260000149</v>
      </c>
      <c r="D928" s="1" t="str">
        <f ca="1">IFERROR(__xludf.DUMMYFUNCTION("""COMPUTED_VALUE"""),"All/BA")</f>
        <v>All/BA</v>
      </c>
      <c r="E928" s="1" t="str">
        <f ca="1">IFERROR(__xludf.DUMMYFUNCTION("""COMPUTED_VALUE"""),"p1/庫存")</f>
        <v>p1/庫存</v>
      </c>
      <c r="F928" s="1">
        <f ca="1">IFERROR(__xludf.DUMMYFUNCTION("""COMPUTED_VALUE"""),24)</f>
        <v>24</v>
      </c>
      <c r="G928" s="1"/>
      <c r="H928" s="1" t="str">
        <f ca="1">IFERROR(__xludf.DUMMYFUNCTION("""COMPUTED_VALUE"""),"P1")</f>
        <v>P1</v>
      </c>
      <c r="I928" s="1" t="str">
        <f ca="1">IFERROR(__xludf.DUMMYFUNCTION("""COMPUTED_VALUE"""),"Chiao Yu")</f>
        <v>Chiao Yu</v>
      </c>
    </row>
    <row r="929" spans="1:9" ht="12.7" x14ac:dyDescent="0.4">
      <c r="A929" s="2">
        <f ca="1">IFERROR(__xludf.DUMMYFUNCTION("""COMPUTED_VALUE"""),45679.6488968981)</f>
        <v>45679.648896898099</v>
      </c>
      <c r="B929" s="1" t="str">
        <f ca="1">IFERROR(__xludf.DUMMYFUNCTION("""COMPUTED_VALUE"""),"領料")</f>
        <v>領料</v>
      </c>
      <c r="C929" s="1" t="str">
        <f ca="1">IFERROR(__xludf.DUMMYFUNCTION("""COMPUTED_VALUE"""),"MM0260000147")</f>
        <v>MM0260000147</v>
      </c>
      <c r="D929" s="1" t="str">
        <f ca="1">IFERROR(__xludf.DUMMYFUNCTION("""COMPUTED_VALUE"""),"All/BA")</f>
        <v>All/BA</v>
      </c>
      <c r="E929" s="1" t="str">
        <f ca="1">IFERROR(__xludf.DUMMYFUNCTION("""COMPUTED_VALUE"""),"p1/庫存")</f>
        <v>p1/庫存</v>
      </c>
      <c r="F929" s="1">
        <f ca="1">IFERROR(__xludf.DUMMYFUNCTION("""COMPUTED_VALUE"""),25)</f>
        <v>25</v>
      </c>
      <c r="G929" s="1"/>
      <c r="H929" s="1" t="str">
        <f ca="1">IFERROR(__xludf.DUMMYFUNCTION("""COMPUTED_VALUE"""),"P1")</f>
        <v>P1</v>
      </c>
      <c r="I929" s="1" t="str">
        <f ca="1">IFERROR(__xludf.DUMMYFUNCTION("""COMPUTED_VALUE"""),"Chiao Yu")</f>
        <v>Chiao Yu</v>
      </c>
    </row>
    <row r="930" spans="1:9" ht="12.7" x14ac:dyDescent="0.4">
      <c r="A930" s="2">
        <f ca="1">IFERROR(__xludf.DUMMYFUNCTION("""COMPUTED_VALUE"""),45680.2141970949)</f>
        <v>45680.214197094901</v>
      </c>
      <c r="B930" s="1" t="str">
        <f ca="1">IFERROR(__xludf.DUMMYFUNCTION("""COMPUTED_VALUE"""),"領料")</f>
        <v>領料</v>
      </c>
      <c r="C930" s="1" t="str">
        <f ca="1">IFERROR(__xludf.DUMMYFUNCTION("""COMPUTED_VALUE"""),"AGT000000005")</f>
        <v>AGT000000005</v>
      </c>
      <c r="D930" s="1" t="str">
        <f ca="1">IFERROR(__xludf.DUMMYFUNCTION("""COMPUTED_VALUE"""),"All/BA")</f>
        <v>All/BA</v>
      </c>
      <c r="E930" s="1" t="str">
        <f ca="1">IFERROR(__xludf.DUMMYFUNCTION("""COMPUTED_VALUE"""),"p1/庫存")</f>
        <v>p1/庫存</v>
      </c>
      <c r="F930" s="1">
        <f ca="1">IFERROR(__xludf.DUMMYFUNCTION("""COMPUTED_VALUE"""),2)</f>
        <v>2</v>
      </c>
      <c r="G930" s="1"/>
      <c r="H930" s="1" t="str">
        <f ca="1">IFERROR(__xludf.DUMMYFUNCTION("""COMPUTED_VALUE"""),"P1_018，P1_027")</f>
        <v>P1_018，P1_027</v>
      </c>
      <c r="I930" s="1" t="str">
        <f ca="1">IFERROR(__xludf.DUMMYFUNCTION("""COMPUTED_VALUE"""),"Jason")</f>
        <v>Jason</v>
      </c>
    </row>
    <row r="931" spans="1:9" ht="12.7" x14ac:dyDescent="0.4">
      <c r="A931" s="2">
        <f ca="1">IFERROR(__xludf.DUMMYFUNCTION("""COMPUTED_VALUE"""),45680.368262824)</f>
        <v>45680.368262823999</v>
      </c>
      <c r="B931" s="1" t="str">
        <f ca="1">IFERROR(__xludf.DUMMYFUNCTION("""COMPUTED_VALUE"""),"進貨")</f>
        <v>進貨</v>
      </c>
      <c r="C931" s="1" t="str">
        <f ca="1">IFERROR(__xludf.DUMMYFUNCTION("""COMPUTED_VALUE"""),"ME0120000048")</f>
        <v>ME0120000048</v>
      </c>
      <c r="D931" s="1" t="str">
        <f ca="1">IFERROR(__xludf.DUMMYFUNCTION("""COMPUTED_VALUE"""),"All/共用")</f>
        <v>All/共用</v>
      </c>
      <c r="E931" s="1" t="str">
        <f ca="1">IFERROR(__xludf.DUMMYFUNCTION("""COMPUTED_VALUE"""),"p1/庫存")</f>
        <v>p1/庫存</v>
      </c>
      <c r="F931" s="1">
        <f ca="1">IFERROR(__xludf.DUMMYFUNCTION("""COMPUTED_VALUE"""),5)</f>
        <v>5</v>
      </c>
      <c r="G931" s="1"/>
      <c r="H931" s="1" t="str">
        <f ca="1">IFERROR(__xludf.DUMMYFUNCTION("""COMPUTED_VALUE"""),"P1")</f>
        <v>P1</v>
      </c>
      <c r="I931" s="1" t="str">
        <f ca="1">IFERROR(__xludf.DUMMYFUNCTION("""COMPUTED_VALUE"""),"Chiao Yu")</f>
        <v>Chiao Yu</v>
      </c>
    </row>
    <row r="932" spans="1:9" ht="12.7" x14ac:dyDescent="0.4">
      <c r="A932" s="2">
        <f ca="1">IFERROR(__xludf.DUMMYFUNCTION("""COMPUTED_VALUE"""),45680.3686578703)</f>
        <v>45680.368657870298</v>
      </c>
      <c r="B932" s="1" t="str">
        <f ca="1">IFERROR(__xludf.DUMMYFUNCTION("""COMPUTED_VALUE"""),"進貨")</f>
        <v>進貨</v>
      </c>
      <c r="C932" s="1" t="str">
        <f ca="1">IFERROR(__xludf.DUMMYFUNCTION("""COMPUTED_VALUE"""),"ME0120000048")</f>
        <v>ME0120000048</v>
      </c>
      <c r="D932" s="1" t="str">
        <f ca="1">IFERROR(__xludf.DUMMYFUNCTION("""COMPUTED_VALUE"""),"All/共用")</f>
        <v>All/共用</v>
      </c>
      <c r="E932" s="1" t="str">
        <f ca="1">IFERROR(__xludf.DUMMYFUNCTION("""COMPUTED_VALUE"""),"p2/庫存")</f>
        <v>p2/庫存</v>
      </c>
      <c r="F932" s="1">
        <f ca="1">IFERROR(__xludf.DUMMYFUNCTION("""COMPUTED_VALUE"""),5)</f>
        <v>5</v>
      </c>
      <c r="G932" s="1"/>
      <c r="H932" s="1" t="str">
        <f ca="1">IFERROR(__xludf.DUMMYFUNCTION("""COMPUTED_VALUE"""),"P2")</f>
        <v>P2</v>
      </c>
      <c r="I932" s="1" t="str">
        <f ca="1">IFERROR(__xludf.DUMMYFUNCTION("""COMPUTED_VALUE"""),"Chiao Yu")</f>
        <v>Chiao Yu</v>
      </c>
    </row>
    <row r="933" spans="1:9" ht="12.7" x14ac:dyDescent="0.4">
      <c r="A933" s="2">
        <f ca="1">IFERROR(__xludf.DUMMYFUNCTION("""COMPUTED_VALUE"""),45680.369401655)</f>
        <v>45680.369401655</v>
      </c>
      <c r="B933" s="1" t="str">
        <f ca="1">IFERROR(__xludf.DUMMYFUNCTION("""COMPUTED_VALUE"""),"進貨")</f>
        <v>進貨</v>
      </c>
      <c r="C933" s="1" t="str">
        <f ca="1">IFERROR(__xludf.DUMMYFUNCTION("""COMPUTED_VALUE"""),"ME0300000016")</f>
        <v>ME0300000016</v>
      </c>
      <c r="D933" s="1" t="str">
        <f ca="1">IFERROR(__xludf.DUMMYFUNCTION("""COMPUTED_VALUE"""),"All/RL")</f>
        <v>All/RL</v>
      </c>
      <c r="E933" s="1" t="str">
        <f ca="1">IFERROR(__xludf.DUMMYFUNCTION("""COMPUTED_VALUE"""),"p1/庫存")</f>
        <v>p1/庫存</v>
      </c>
      <c r="F933" s="1">
        <f ca="1">IFERROR(__xludf.DUMMYFUNCTION("""COMPUTED_VALUE"""),1)</f>
        <v>1</v>
      </c>
      <c r="G933" s="1"/>
      <c r="H933" s="1" t="str">
        <f ca="1">IFERROR(__xludf.DUMMYFUNCTION("""COMPUTED_VALUE"""),"P1")</f>
        <v>P1</v>
      </c>
      <c r="I933" s="1" t="str">
        <f ca="1">IFERROR(__xludf.DUMMYFUNCTION("""COMPUTED_VALUE"""),"Chiao Yu")</f>
        <v>Chiao Yu</v>
      </c>
    </row>
    <row r="934" spans="1:9" ht="12.7" x14ac:dyDescent="0.4">
      <c r="A934" s="2">
        <f ca="1">IFERROR(__xludf.DUMMYFUNCTION("""COMPUTED_VALUE"""),45680.3697862268)</f>
        <v>45680.369786226802</v>
      </c>
      <c r="B934" s="1" t="str">
        <f ca="1">IFERROR(__xludf.DUMMYFUNCTION("""COMPUTED_VALUE"""),"進貨")</f>
        <v>進貨</v>
      </c>
      <c r="C934" s="1" t="str">
        <f ca="1">IFERROR(__xludf.DUMMYFUNCTION("""COMPUTED_VALUE"""),"ME0300000017")</f>
        <v>ME0300000017</v>
      </c>
      <c r="D934" s="1" t="str">
        <f ca="1">IFERROR(__xludf.DUMMYFUNCTION("""COMPUTED_VALUE"""),"All/RL")</f>
        <v>All/RL</v>
      </c>
      <c r="E934" s="1" t="str">
        <f ca="1">IFERROR(__xludf.DUMMYFUNCTION("""COMPUTED_VALUE"""),"p2/庫存")</f>
        <v>p2/庫存</v>
      </c>
      <c r="F934" s="1">
        <f ca="1">IFERROR(__xludf.DUMMYFUNCTION("""COMPUTED_VALUE"""),1)</f>
        <v>1</v>
      </c>
      <c r="G934" s="1"/>
      <c r="H934" s="1" t="str">
        <f ca="1">IFERROR(__xludf.DUMMYFUNCTION("""COMPUTED_VALUE"""),"P2")</f>
        <v>P2</v>
      </c>
      <c r="I934" s="1" t="str">
        <f ca="1">IFERROR(__xludf.DUMMYFUNCTION("""COMPUTED_VALUE"""),"Chiao Yu")</f>
        <v>Chiao Yu</v>
      </c>
    </row>
    <row r="935" spans="1:9" ht="12.7" x14ac:dyDescent="0.4">
      <c r="A935" s="2">
        <f ca="1">IFERROR(__xludf.DUMMYFUNCTION("""COMPUTED_VALUE"""),45680.371214456)</f>
        <v>45680.371214455998</v>
      </c>
      <c r="B935" s="1" t="str">
        <f ca="1">IFERROR(__xludf.DUMMYFUNCTION("""COMPUTED_VALUE"""),"進貨")</f>
        <v>進貨</v>
      </c>
      <c r="C935" s="1" t="str">
        <f ca="1">IFERROR(__xludf.DUMMYFUNCTION("""COMPUTED_VALUE"""),"A00700000837")</f>
        <v>A00700000837</v>
      </c>
      <c r="D935" s="1" t="str">
        <f ca="1">IFERROR(__xludf.DUMMYFUNCTION("""COMPUTED_VALUE"""),"All/COLOR")</f>
        <v>All/COLOR</v>
      </c>
      <c r="E935" s="1" t="str">
        <f ca="1">IFERROR(__xludf.DUMMYFUNCTION("""COMPUTED_VALUE"""),"p1/庫存")</f>
        <v>p1/庫存</v>
      </c>
      <c r="F935" s="1">
        <f ca="1">IFERROR(__xludf.DUMMYFUNCTION("""COMPUTED_VALUE"""),2)</f>
        <v>2</v>
      </c>
      <c r="G935" s="1"/>
      <c r="H935" s="1" t="str">
        <f ca="1">IFERROR(__xludf.DUMMYFUNCTION("""COMPUTED_VALUE"""),"P1")</f>
        <v>P1</v>
      </c>
      <c r="I935" s="1" t="str">
        <f ca="1">IFERROR(__xludf.DUMMYFUNCTION("""COMPUTED_VALUE"""),"Chiao Yu")</f>
        <v>Chiao Yu</v>
      </c>
    </row>
    <row r="936" spans="1:9" ht="12.7" x14ac:dyDescent="0.4">
      <c r="A936" s="2">
        <f ca="1">IFERROR(__xludf.DUMMYFUNCTION("""COMPUTED_VALUE"""),45680.3715654398)</f>
        <v>45680.371565439797</v>
      </c>
      <c r="B936" s="1" t="str">
        <f ca="1">IFERROR(__xludf.DUMMYFUNCTION("""COMPUTED_VALUE"""),"進貨")</f>
        <v>進貨</v>
      </c>
      <c r="C936" s="1" t="str">
        <f ca="1">IFERROR(__xludf.DUMMYFUNCTION("""COMPUTED_VALUE"""),"A00700000837")</f>
        <v>A00700000837</v>
      </c>
      <c r="D936" s="1" t="str">
        <f ca="1">IFERROR(__xludf.DUMMYFUNCTION("""COMPUTED_VALUE"""),"All/COLOR")</f>
        <v>All/COLOR</v>
      </c>
      <c r="E936" s="1" t="str">
        <f ca="1">IFERROR(__xludf.DUMMYFUNCTION("""COMPUTED_VALUE"""),"p2/庫存")</f>
        <v>p2/庫存</v>
      </c>
      <c r="F936" s="1">
        <f ca="1">IFERROR(__xludf.DUMMYFUNCTION("""COMPUTED_VALUE"""),5)</f>
        <v>5</v>
      </c>
      <c r="G936" s="1"/>
      <c r="H936" s="1" t="str">
        <f ca="1">IFERROR(__xludf.DUMMYFUNCTION("""COMPUTED_VALUE"""),"P2")</f>
        <v>P2</v>
      </c>
      <c r="I936" s="1" t="str">
        <f ca="1">IFERROR(__xludf.DUMMYFUNCTION("""COMPUTED_VALUE"""),"Chiao Yu")</f>
        <v>Chiao Yu</v>
      </c>
    </row>
    <row r="937" spans="1:9" ht="12.7" x14ac:dyDescent="0.4">
      <c r="A937" s="2">
        <f ca="1">IFERROR(__xludf.DUMMYFUNCTION("""COMPUTED_VALUE"""),45687.2532048032)</f>
        <v>45687.253204803201</v>
      </c>
      <c r="B937" s="1" t="str">
        <f ca="1">IFERROR(__xludf.DUMMYFUNCTION("""COMPUTED_VALUE"""),"領料")</f>
        <v>領料</v>
      </c>
      <c r="C937" s="1" t="str">
        <f ca="1">IFERROR(__xludf.DUMMYFUNCTION("""COMPUTED_VALUE"""),"AGT000000005")</f>
        <v>AGT000000005</v>
      </c>
      <c r="D937" s="1" t="str">
        <f ca="1">IFERROR(__xludf.DUMMYFUNCTION("""COMPUTED_VALUE"""),"All/BA")</f>
        <v>All/BA</v>
      </c>
      <c r="E937" s="1" t="str">
        <f ca="1">IFERROR(__xludf.DUMMYFUNCTION("""COMPUTED_VALUE"""),"p1/庫存")</f>
        <v>p1/庫存</v>
      </c>
      <c r="F937" s="1">
        <f ca="1">IFERROR(__xludf.DUMMYFUNCTION("""COMPUTED_VALUE"""),1)</f>
        <v>1</v>
      </c>
      <c r="G937" s="1"/>
      <c r="H937" s="1" t="str">
        <f ca="1">IFERROR(__xludf.DUMMYFUNCTION("""COMPUTED_VALUE"""),"P1_008")</f>
        <v>P1_008</v>
      </c>
      <c r="I937" s="1" t="str">
        <f ca="1">IFERROR(__xludf.DUMMYFUNCTION("""COMPUTED_VALUE"""),"Jason")</f>
        <v>Jason</v>
      </c>
    </row>
    <row r="938" spans="1:9" ht="12.7" x14ac:dyDescent="0.4">
      <c r="A938" s="2">
        <f ca="1">IFERROR(__xludf.DUMMYFUNCTION("""COMPUTED_VALUE"""),45687.8241962962)</f>
        <v>45687.824196296198</v>
      </c>
      <c r="B938" s="1" t="str">
        <f ca="1">IFERROR(__xludf.DUMMYFUNCTION("""COMPUTED_VALUE"""),"領料")</f>
        <v>領料</v>
      </c>
      <c r="C938" s="1" t="str">
        <f ca="1">IFERROR(__xludf.DUMMYFUNCTION("""COMPUTED_VALUE"""),"A00700000837")</f>
        <v>A00700000837</v>
      </c>
      <c r="D938" s="1" t="str">
        <f ca="1">IFERROR(__xludf.DUMMYFUNCTION("""COMPUTED_VALUE"""),"All/COLOR")</f>
        <v>All/COLOR</v>
      </c>
      <c r="E938" s="1" t="str">
        <f ca="1">IFERROR(__xludf.DUMMYFUNCTION("""COMPUTED_VALUE"""),"p1/庫存")</f>
        <v>p1/庫存</v>
      </c>
      <c r="F938" s="1">
        <f ca="1">IFERROR(__xludf.DUMMYFUNCTION("""COMPUTED_VALUE"""),1)</f>
        <v>1</v>
      </c>
      <c r="G938" s="1"/>
      <c r="H938" s="1" t="str">
        <f ca="1">IFERROR(__xludf.DUMMYFUNCTION("""COMPUTED_VALUE"""),"P1_3001")</f>
        <v>P1_3001</v>
      </c>
      <c r="I938" s="1" t="str">
        <f ca="1">IFERROR(__xludf.DUMMYFUNCTION("""COMPUTED_VALUE"""),"Chiao Yu")</f>
        <v>Chiao Yu</v>
      </c>
    </row>
    <row r="939" spans="1:9" ht="12.7" x14ac:dyDescent="0.4">
      <c r="A939" s="2">
        <f ca="1">IFERROR(__xludf.DUMMYFUNCTION("""COMPUTED_VALUE"""),45687.8259358564)</f>
        <v>45687.825935856403</v>
      </c>
      <c r="B939" s="1" t="str">
        <f ca="1">IFERROR(__xludf.DUMMYFUNCTION("""COMPUTED_VALUE"""),"庫存調整")</f>
        <v>庫存調整</v>
      </c>
      <c r="C939" s="1" t="str">
        <f ca="1">IFERROR(__xludf.DUMMYFUNCTION("""COMPUTED_VALUE"""),"ME0100000079")</f>
        <v>ME0100000079</v>
      </c>
      <c r="D939" s="1" t="str">
        <f ca="1">IFERROR(__xludf.DUMMYFUNCTION("""COMPUTED_VALUE"""),"All/COLOR")</f>
        <v>All/COLOR</v>
      </c>
      <c r="E939" s="1" t="str">
        <f ca="1">IFERROR(__xludf.DUMMYFUNCTION("""COMPUTED_VALUE"""),"p1/庫存")</f>
        <v>p1/庫存</v>
      </c>
      <c r="F939" s="1">
        <f ca="1">IFERROR(__xludf.DUMMYFUNCTION("""COMPUTED_VALUE"""),-1)</f>
        <v>-1</v>
      </c>
      <c r="G939" s="1"/>
      <c r="H939" s="1" t="str">
        <f ca="1">IFERROR(__xludf.DUMMYFUNCTION("""COMPUTED_VALUE"""),"P1")</f>
        <v>P1</v>
      </c>
      <c r="I939" s="1" t="str">
        <f ca="1">IFERROR(__xludf.DUMMYFUNCTION("""COMPUTED_VALUE"""),"Chiao Yu")</f>
        <v>Chiao Yu</v>
      </c>
    </row>
    <row r="940" spans="1:9" ht="12.7" x14ac:dyDescent="0.4">
      <c r="A940" s="2">
        <f ca="1">IFERROR(__xludf.DUMMYFUNCTION("""COMPUTED_VALUE"""),45687.8261577083)</f>
        <v>45687.826157708303</v>
      </c>
      <c r="B940" s="1" t="str">
        <f ca="1">IFERROR(__xludf.DUMMYFUNCTION("""COMPUTED_VALUE"""),"庫存調整")</f>
        <v>庫存調整</v>
      </c>
      <c r="C940" s="1" t="str">
        <f ca="1">IFERROR(__xludf.DUMMYFUNCTION("""COMPUTED_VALUE"""),"ME0100000079")</f>
        <v>ME0100000079</v>
      </c>
      <c r="D940" s="1" t="str">
        <f ca="1">IFERROR(__xludf.DUMMYFUNCTION("""COMPUTED_VALUE"""),"All/COLOR")</f>
        <v>All/COLOR</v>
      </c>
      <c r="E940" s="1" t="str">
        <f ca="1">IFERROR(__xludf.DUMMYFUNCTION("""COMPUTED_VALUE"""),"p2/庫存")</f>
        <v>p2/庫存</v>
      </c>
      <c r="F940" s="1">
        <f ca="1">IFERROR(__xludf.DUMMYFUNCTION("""COMPUTED_VALUE"""),1)</f>
        <v>1</v>
      </c>
      <c r="G940" s="1"/>
      <c r="H940" s="1" t="str">
        <f ca="1">IFERROR(__xludf.DUMMYFUNCTION("""COMPUTED_VALUE"""),"P1")</f>
        <v>P1</v>
      </c>
      <c r="I940" s="1" t="str">
        <f ca="1">IFERROR(__xludf.DUMMYFUNCTION("""COMPUTED_VALUE"""),"Chiao Yu")</f>
        <v>Chiao Yu</v>
      </c>
    </row>
    <row r="941" spans="1:9" ht="12.7" x14ac:dyDescent="0.4">
      <c r="A941" s="2">
        <f ca="1">IFERROR(__xludf.DUMMYFUNCTION("""COMPUTED_VALUE"""),45687.8265942013)</f>
        <v>45687.826594201302</v>
      </c>
      <c r="B941" s="1" t="str">
        <f ca="1">IFERROR(__xludf.DUMMYFUNCTION("""COMPUTED_VALUE"""),"庫存調整")</f>
        <v>庫存調整</v>
      </c>
      <c r="C941" s="1" t="str">
        <f ca="1">IFERROR(__xludf.DUMMYFUNCTION("""COMPUTED_VALUE"""),"ME0270001323")</f>
        <v>ME0270001323</v>
      </c>
      <c r="D941" s="1" t="str">
        <f ca="1">IFERROR(__xludf.DUMMYFUNCTION("""COMPUTED_VALUE"""),"All/COLOR")</f>
        <v>All/COLOR</v>
      </c>
      <c r="E941" s="1" t="str">
        <f ca="1">IFERROR(__xludf.DUMMYFUNCTION("""COMPUTED_VALUE"""),"p1/庫存")</f>
        <v>p1/庫存</v>
      </c>
      <c r="F941" s="1">
        <f ca="1">IFERROR(__xludf.DUMMYFUNCTION("""COMPUTED_VALUE"""),-1)</f>
        <v>-1</v>
      </c>
      <c r="G941" s="1"/>
      <c r="H941" s="1" t="str">
        <f ca="1">IFERROR(__xludf.DUMMYFUNCTION("""COMPUTED_VALUE"""),"P1")</f>
        <v>P1</v>
      </c>
      <c r="I941" s="1" t="str">
        <f ca="1">IFERROR(__xludf.DUMMYFUNCTION("""COMPUTED_VALUE"""),"Chiao Yu")</f>
        <v>Chiao Yu</v>
      </c>
    </row>
    <row r="942" spans="1:9" ht="12.7" x14ac:dyDescent="0.4">
      <c r="A942" s="2">
        <f ca="1">IFERROR(__xludf.DUMMYFUNCTION("""COMPUTED_VALUE"""),45687.8268433564)</f>
        <v>45687.826843356401</v>
      </c>
      <c r="B942" s="1" t="str">
        <f ca="1">IFERROR(__xludf.DUMMYFUNCTION("""COMPUTED_VALUE"""),"庫存調整")</f>
        <v>庫存調整</v>
      </c>
      <c r="C942" s="1" t="str">
        <f ca="1">IFERROR(__xludf.DUMMYFUNCTION("""COMPUTED_VALUE"""),"ME0270001323")</f>
        <v>ME0270001323</v>
      </c>
      <c r="D942" s="1" t="str">
        <f ca="1">IFERROR(__xludf.DUMMYFUNCTION("""COMPUTED_VALUE"""),"All/COLOR")</f>
        <v>All/COLOR</v>
      </c>
      <c r="E942" s="1" t="str">
        <f ca="1">IFERROR(__xludf.DUMMYFUNCTION("""COMPUTED_VALUE"""),"p2/庫存")</f>
        <v>p2/庫存</v>
      </c>
      <c r="F942" s="1">
        <f ca="1">IFERROR(__xludf.DUMMYFUNCTION("""COMPUTED_VALUE"""),1)</f>
        <v>1</v>
      </c>
      <c r="G942" s="1"/>
      <c r="H942" s="1" t="str">
        <f ca="1">IFERROR(__xludf.DUMMYFUNCTION("""COMPUTED_VALUE"""),"P2")</f>
        <v>P2</v>
      </c>
      <c r="I942" s="1" t="str">
        <f ca="1">IFERROR(__xludf.DUMMYFUNCTION("""COMPUTED_VALUE"""),"Chiao Yu")</f>
        <v>Chiao Yu</v>
      </c>
    </row>
    <row r="943" spans="1:9" ht="12.7" x14ac:dyDescent="0.4">
      <c r="A943" s="2">
        <f ca="1">IFERROR(__xludf.DUMMYFUNCTION("""COMPUTED_VALUE"""),45690.4550356597)</f>
        <v>45690.455035659703</v>
      </c>
      <c r="B943" s="1" t="str">
        <f ca="1">IFERROR(__xludf.DUMMYFUNCTION("""COMPUTED_VALUE"""),"領料")</f>
        <v>領料</v>
      </c>
      <c r="C943" s="1" t="str">
        <f ca="1">IFERROR(__xludf.DUMMYFUNCTION("""COMPUTED_VALUE"""),"A00700000837")</f>
        <v>A00700000837</v>
      </c>
      <c r="D943" s="1" t="str">
        <f ca="1">IFERROR(__xludf.DUMMYFUNCTION("""COMPUTED_VALUE"""),"All/COLOR")</f>
        <v>All/COLOR</v>
      </c>
      <c r="E943" s="1" t="str">
        <f ca="1">IFERROR(__xludf.DUMMYFUNCTION("""COMPUTED_VALUE"""),"p2/庫存")</f>
        <v>p2/庫存</v>
      </c>
      <c r="F943" s="1">
        <f ca="1">IFERROR(__xludf.DUMMYFUNCTION("""COMPUTED_VALUE"""),2)</f>
        <v>2</v>
      </c>
      <c r="G943" s="1"/>
      <c r="H943" s="1" t="str">
        <f ca="1">IFERROR(__xludf.DUMMYFUNCTION("""COMPUTED_VALUE"""),"P2_3003")</f>
        <v>P2_3003</v>
      </c>
      <c r="I943" s="1" t="str">
        <f ca="1">IFERROR(__xludf.DUMMYFUNCTION("""COMPUTED_VALUE"""),"Uri")</f>
        <v>Uri</v>
      </c>
    </row>
    <row r="944" spans="1:9" ht="12.7" x14ac:dyDescent="0.4">
      <c r="A944" s="2">
        <f ca="1">IFERROR(__xludf.DUMMYFUNCTION("""COMPUTED_VALUE"""),45690.4831980787)</f>
        <v>45690.483198078698</v>
      </c>
      <c r="B944" s="1" t="str">
        <f ca="1">IFERROR(__xludf.DUMMYFUNCTION("""COMPUTED_VALUE"""),"送修")</f>
        <v>送修</v>
      </c>
      <c r="C944" s="1" t="str">
        <f ca="1">IFERROR(__xludf.DUMMYFUNCTION("""COMPUTED_VALUE"""),"ME0100000079")</f>
        <v>ME0100000079</v>
      </c>
      <c r="D944" s="1" t="str">
        <f ca="1">IFERROR(__xludf.DUMMYFUNCTION("""COMPUTED_VALUE"""),"All/COLOR")</f>
        <v>All/COLOR</v>
      </c>
      <c r="E944" s="1" t="str">
        <f ca="1">IFERROR(__xludf.DUMMYFUNCTION("""COMPUTED_VALUE"""),"p2/庫存")</f>
        <v>p2/庫存</v>
      </c>
      <c r="F944" s="1">
        <f ca="1">IFERROR(__xludf.DUMMYFUNCTION("""COMPUTED_VALUE"""),1)</f>
        <v>1</v>
      </c>
      <c r="G944" s="1"/>
      <c r="H944" s="1" t="str">
        <f ca="1">IFERROR(__xludf.DUMMYFUNCTION("""COMPUTED_VALUE"""),"P2_3002")</f>
        <v>P2_3002</v>
      </c>
      <c r="I944" s="1" t="str">
        <f ca="1">IFERROR(__xludf.DUMMYFUNCTION("""COMPUTED_VALUE"""),"Uri")</f>
        <v>Uri</v>
      </c>
    </row>
    <row r="945" spans="1:9" ht="12.7" x14ac:dyDescent="0.4">
      <c r="A945" s="2">
        <f ca="1">IFERROR(__xludf.DUMMYFUNCTION("""COMPUTED_VALUE"""),45692.3659243981)</f>
        <v>45692.365924398102</v>
      </c>
      <c r="B945" s="1" t="str">
        <f ca="1">IFERROR(__xludf.DUMMYFUNCTION("""COMPUTED_VALUE"""),"領料")</f>
        <v>領料</v>
      </c>
      <c r="C945" s="1" t="str">
        <f ca="1">IFERROR(__xludf.DUMMYFUNCTION("""COMPUTED_VALUE"""),"MM0220000048")</f>
        <v>MM0220000048</v>
      </c>
      <c r="D945" s="1" t="str">
        <f ca="1">IFERROR(__xludf.DUMMYFUNCTION("""COMPUTED_VALUE"""),"All/共用")</f>
        <v>All/共用</v>
      </c>
      <c r="E945" s="1" t="str">
        <f ca="1">IFERROR(__xludf.DUMMYFUNCTION("""COMPUTED_VALUE"""),"p1/庫存")</f>
        <v>p1/庫存</v>
      </c>
      <c r="F945" s="1">
        <f ca="1">IFERROR(__xludf.DUMMYFUNCTION("""COMPUTED_VALUE"""),1)</f>
        <v>1</v>
      </c>
      <c r="G945" s="1"/>
      <c r="H945" s="1" t="str">
        <f ca="1">IFERROR(__xludf.DUMMYFUNCTION("""COMPUTED_VALUE"""),"P2_4001")</f>
        <v>P2_4001</v>
      </c>
      <c r="I945" s="1" t="str">
        <f ca="1">IFERROR(__xludf.DUMMYFUNCTION("""COMPUTED_VALUE"""),"Jason")</f>
        <v>Jason</v>
      </c>
    </row>
    <row r="946" spans="1:9" ht="12.7" x14ac:dyDescent="0.4">
      <c r="A946" s="2">
        <f ca="1">IFERROR(__xludf.DUMMYFUNCTION("""COMPUTED_VALUE"""),45692.3670848263)</f>
        <v>45692.367084826299</v>
      </c>
      <c r="B946" s="1" t="str">
        <f ca="1">IFERROR(__xludf.DUMMYFUNCTION("""COMPUTED_VALUE"""),"領料")</f>
        <v>領料</v>
      </c>
      <c r="C946" s="1" t="str">
        <f ca="1">IFERROR(__xludf.DUMMYFUNCTION("""COMPUTED_VALUE"""),"AGT000000005")</f>
        <v>AGT000000005</v>
      </c>
      <c r="D946" s="1" t="str">
        <f ca="1">IFERROR(__xludf.DUMMYFUNCTION("""COMPUTED_VALUE"""),"All/共用")</f>
        <v>All/共用</v>
      </c>
      <c r="E946" s="1" t="str">
        <f ca="1">IFERROR(__xludf.DUMMYFUNCTION("""COMPUTED_VALUE"""),"p2/庫存")</f>
        <v>p2/庫存</v>
      </c>
      <c r="F946" s="1">
        <f ca="1">IFERROR(__xludf.DUMMYFUNCTION("""COMPUTED_VALUE"""),1)</f>
        <v>1</v>
      </c>
      <c r="G946" s="1"/>
      <c r="H946" s="1" t="str">
        <f ca="1">IFERROR(__xludf.DUMMYFUNCTION("""COMPUTED_VALUE"""),"P2_4001")</f>
        <v>P2_4001</v>
      </c>
      <c r="I946" s="1" t="str">
        <f ca="1">IFERROR(__xludf.DUMMYFUNCTION("""COMPUTED_VALUE"""),"Jason")</f>
        <v>Jason</v>
      </c>
    </row>
    <row r="947" spans="1:9" ht="12.7" x14ac:dyDescent="0.4">
      <c r="A947" s="2">
        <f ca="1">IFERROR(__xludf.DUMMYFUNCTION("""COMPUTED_VALUE"""),45692.3683061574)</f>
        <v>45692.368306157397</v>
      </c>
      <c r="B947" s="1" t="str">
        <f ca="1">IFERROR(__xludf.DUMMYFUNCTION("""COMPUTED_VALUE"""),"領料")</f>
        <v>領料</v>
      </c>
      <c r="C947" s="1" t="str">
        <f ca="1">IFERROR(__xludf.DUMMYFUNCTION("""COMPUTED_VALUE"""),"ME0060000278")</f>
        <v>ME0060000278</v>
      </c>
      <c r="D947" s="1" t="str">
        <f ca="1">IFERROR(__xludf.DUMMYFUNCTION("""COMPUTED_VALUE"""),"All/共用")</f>
        <v>All/共用</v>
      </c>
      <c r="E947" s="1" t="str">
        <f ca="1">IFERROR(__xludf.DUMMYFUNCTION("""COMPUTED_VALUE"""),"p2/庫存")</f>
        <v>p2/庫存</v>
      </c>
      <c r="F947" s="1">
        <f ca="1">IFERROR(__xludf.DUMMYFUNCTION("""COMPUTED_VALUE"""),1)</f>
        <v>1</v>
      </c>
      <c r="G947" s="1"/>
      <c r="H947" s="1" t="str">
        <f ca="1">IFERROR(__xludf.DUMMYFUNCTION("""COMPUTED_VALUE"""),"P2_4001")</f>
        <v>P2_4001</v>
      </c>
      <c r="I947" s="1" t="str">
        <f ca="1">IFERROR(__xludf.DUMMYFUNCTION("""COMPUTED_VALUE"""),"Jason")</f>
        <v>Jason</v>
      </c>
    </row>
    <row r="948" spans="1:9" ht="12.7" x14ac:dyDescent="0.4">
      <c r="A948" s="2">
        <f ca="1">IFERROR(__xludf.DUMMYFUNCTION("""COMPUTED_VALUE"""),45692.7189499652)</f>
        <v>45692.718949965201</v>
      </c>
      <c r="B948" s="1" t="str">
        <f ca="1">IFERROR(__xludf.DUMMYFUNCTION("""COMPUTED_VALUE"""),"庫存調整")</f>
        <v>庫存調整</v>
      </c>
      <c r="C948" s="1" t="str">
        <f ca="1">IFERROR(__xludf.DUMMYFUNCTION("""COMPUTED_VALUE"""),"ME0010000385")</f>
        <v>ME0010000385</v>
      </c>
      <c r="D948" s="1" t="str">
        <f ca="1">IFERROR(__xludf.DUMMYFUNCTION("""COMPUTED_VALUE"""),"All/共用")</f>
        <v>All/共用</v>
      </c>
      <c r="E948" s="1" t="str">
        <f ca="1">IFERROR(__xludf.DUMMYFUNCTION("""COMPUTED_VALUE"""),"p2/庫存")</f>
        <v>p2/庫存</v>
      </c>
      <c r="F948" s="1">
        <f ca="1">IFERROR(__xludf.DUMMYFUNCTION("""COMPUTED_VALUE"""),1)</f>
        <v>1</v>
      </c>
      <c r="G948" s="1"/>
      <c r="H948" s="1" t="str">
        <f ca="1">IFERROR(__xludf.DUMMYFUNCTION("""COMPUTED_VALUE"""),"P2")</f>
        <v>P2</v>
      </c>
      <c r="I948" s="1" t="str">
        <f ca="1">IFERROR(__xludf.DUMMYFUNCTION("""COMPUTED_VALUE"""),"Chiao Yu")</f>
        <v>Chiao Yu</v>
      </c>
    </row>
    <row r="949" spans="1:9" ht="12.7" x14ac:dyDescent="0.4">
      <c r="A949" s="2">
        <f ca="1">IFERROR(__xludf.DUMMYFUNCTION("""COMPUTED_VALUE"""),45692.7197440277)</f>
        <v>45692.719744027701</v>
      </c>
      <c r="B949" s="1" t="str">
        <f ca="1">IFERROR(__xludf.DUMMYFUNCTION("""COMPUTED_VALUE"""),"庫存調整")</f>
        <v>庫存調整</v>
      </c>
      <c r="C949" s="1" t="str">
        <f ca="1">IFERROR(__xludf.DUMMYFUNCTION("""COMPUTED_VALUE"""),"ME0100000079")</f>
        <v>ME0100000079</v>
      </c>
      <c r="D949" s="1" t="str">
        <f ca="1">IFERROR(__xludf.DUMMYFUNCTION("""COMPUTED_VALUE"""),"All/COLOR")</f>
        <v>All/COLOR</v>
      </c>
      <c r="E949" s="1" t="str">
        <f ca="1">IFERROR(__xludf.DUMMYFUNCTION("""COMPUTED_VALUE"""),"p2/庫存")</f>
        <v>p2/庫存</v>
      </c>
      <c r="F949" s="1">
        <f ca="1">IFERROR(__xludf.DUMMYFUNCTION("""COMPUTED_VALUE"""),1)</f>
        <v>1</v>
      </c>
      <c r="G949" s="1"/>
      <c r="H949" s="1" t="str">
        <f ca="1">IFERROR(__xludf.DUMMYFUNCTION("""COMPUTED_VALUE"""),"P2")</f>
        <v>P2</v>
      </c>
      <c r="I949" s="1" t="str">
        <f ca="1">IFERROR(__xludf.DUMMYFUNCTION("""COMPUTED_VALUE"""),"Uri")</f>
        <v>Uri</v>
      </c>
    </row>
    <row r="950" spans="1:9" ht="12.7" x14ac:dyDescent="0.4">
      <c r="A950" s="2">
        <f ca="1">IFERROR(__xludf.DUMMYFUNCTION("""COMPUTED_VALUE"""),45692.7219935185)</f>
        <v>45692.721993518498</v>
      </c>
      <c r="B950" s="1" t="str">
        <f ca="1">IFERROR(__xludf.DUMMYFUNCTION("""COMPUTED_VALUE"""),"庫存調整")</f>
        <v>庫存調整</v>
      </c>
      <c r="C950" s="1" t="str">
        <f ca="1">IFERROR(__xludf.DUMMYFUNCTION("""COMPUTED_VALUE"""),"ME0270001131")</f>
        <v>ME0270001131</v>
      </c>
      <c r="D950" s="1" t="str">
        <f ca="1">IFERROR(__xludf.DUMMYFUNCTION("""COMPUTED_VALUE"""),"All/共用")</f>
        <v>All/共用</v>
      </c>
      <c r="E950" s="1" t="str">
        <f ca="1">IFERROR(__xludf.DUMMYFUNCTION("""COMPUTED_VALUE"""),"p2/庫存")</f>
        <v>p2/庫存</v>
      </c>
      <c r="F950" s="1">
        <f ca="1">IFERROR(__xludf.DUMMYFUNCTION("""COMPUTED_VALUE"""),2)</f>
        <v>2</v>
      </c>
      <c r="G950" s="1"/>
      <c r="H950" s="1" t="str">
        <f ca="1">IFERROR(__xludf.DUMMYFUNCTION("""COMPUTED_VALUE"""),"P2")</f>
        <v>P2</v>
      </c>
      <c r="I950" s="1" t="str">
        <f ca="1">IFERROR(__xludf.DUMMYFUNCTION("""COMPUTED_VALUE"""),"Chiao Yu")</f>
        <v>Chiao Yu</v>
      </c>
    </row>
    <row r="951" spans="1:9" ht="12.7" x14ac:dyDescent="0.4">
      <c r="A951" s="2">
        <f ca="1">IFERROR(__xludf.DUMMYFUNCTION("""COMPUTED_VALUE"""),45695.4454473032)</f>
        <v>45695.445447303202</v>
      </c>
      <c r="B951" s="1" t="str">
        <f ca="1">IFERROR(__xludf.DUMMYFUNCTION("""COMPUTED_VALUE"""),"送修")</f>
        <v>送修</v>
      </c>
      <c r="C951" s="1" t="str">
        <f ca="1">IFERROR(__xludf.DUMMYFUNCTION("""COMPUTED_VALUE"""),"ME0030000076")</f>
        <v>ME0030000076</v>
      </c>
      <c r="D951" s="1" t="str">
        <f ca="1">IFERROR(__xludf.DUMMYFUNCTION("""COMPUTED_VALUE"""),"All/共用")</f>
        <v>All/共用</v>
      </c>
      <c r="E951" s="1" t="str">
        <f ca="1">IFERROR(__xludf.DUMMYFUNCTION("""COMPUTED_VALUE"""),"p2/庫存")</f>
        <v>p2/庫存</v>
      </c>
      <c r="F951" s="1">
        <f ca="1">IFERROR(__xludf.DUMMYFUNCTION("""COMPUTED_VALUE"""),1)</f>
        <v>1</v>
      </c>
      <c r="G951" s="1" t="str">
        <f ca="1">IFERROR(__xludf.DUMMYFUNCTION("""COMPUTED_VALUE"""),"223B586006847")</f>
        <v>223B586006847</v>
      </c>
      <c r="H951" s="1" t="str">
        <f ca="1">IFERROR(__xludf.DUMMYFUNCTION("""COMPUTED_VALUE"""),"P2_4003")</f>
        <v>P2_4003</v>
      </c>
      <c r="I951" s="1" t="str">
        <f ca="1">IFERROR(__xludf.DUMMYFUNCTION("""COMPUTED_VALUE"""),"Chiao Yu")</f>
        <v>Chiao Yu</v>
      </c>
    </row>
    <row r="952" spans="1:9" ht="12.7" x14ac:dyDescent="0.4">
      <c r="A952" s="2">
        <f ca="1">IFERROR(__xludf.DUMMYFUNCTION("""COMPUTED_VALUE"""),45695.4463588773)</f>
        <v>45695.4463588773</v>
      </c>
      <c r="B952" s="1" t="str">
        <f ca="1">IFERROR(__xludf.DUMMYFUNCTION("""COMPUTED_VALUE"""),"料件上線時間")</f>
        <v>料件上線時間</v>
      </c>
      <c r="C952" s="1" t="str">
        <f ca="1">IFERROR(__xludf.DUMMYFUNCTION("""COMPUTED_VALUE"""),"ME0030000076")</f>
        <v>ME0030000076</v>
      </c>
      <c r="D952" s="1" t="str">
        <f ca="1">IFERROR(__xludf.DUMMYFUNCTION("""COMPUTED_VALUE"""),"All/共用")</f>
        <v>All/共用</v>
      </c>
      <c r="E952" s="1" t="str">
        <f ca="1">IFERROR(__xludf.DUMMYFUNCTION("""COMPUTED_VALUE"""),"p2/庫存")</f>
        <v>p2/庫存</v>
      </c>
      <c r="F952" s="1">
        <f ca="1">IFERROR(__xludf.DUMMYFUNCTION("""COMPUTED_VALUE"""),1)</f>
        <v>1</v>
      </c>
      <c r="G952" s="1" t="str">
        <f ca="1">IFERROR(__xludf.DUMMYFUNCTION("""COMPUTED_VALUE"""),"22443F4012013")</f>
        <v>22443F4012013</v>
      </c>
      <c r="H952" s="1" t="str">
        <f ca="1">IFERROR(__xludf.DUMMYFUNCTION("""COMPUTED_VALUE"""),"P2_4003")</f>
        <v>P2_4003</v>
      </c>
      <c r="I952" s="1" t="str">
        <f ca="1">IFERROR(__xludf.DUMMYFUNCTION("""COMPUTED_VALUE"""),"Chiao Yu")</f>
        <v>Chiao Yu</v>
      </c>
    </row>
    <row r="953" spans="1:9" ht="12.7" x14ac:dyDescent="0.4">
      <c r="A953" s="2">
        <f ca="1">IFERROR(__xludf.DUMMYFUNCTION("""COMPUTED_VALUE"""),45695.4472875925)</f>
        <v>45695.447287592498</v>
      </c>
      <c r="B953" s="1" t="str">
        <f ca="1">IFERROR(__xludf.DUMMYFUNCTION("""COMPUTED_VALUE"""),"送修")</f>
        <v>送修</v>
      </c>
      <c r="C953" s="1" t="str">
        <f ca="1">IFERROR(__xludf.DUMMYFUNCTION("""COMPUTED_VALUE"""),"ME0100000086")</f>
        <v>ME0100000086</v>
      </c>
      <c r="D953" s="1" t="str">
        <f ca="1">IFERROR(__xludf.DUMMYFUNCTION("""COMPUTED_VALUE"""),"All/SB")</f>
        <v>All/SB</v>
      </c>
      <c r="E953" s="1" t="str">
        <f ca="1">IFERROR(__xludf.DUMMYFUNCTION("""COMPUTED_VALUE"""),"p1/庫存")</f>
        <v>p1/庫存</v>
      </c>
      <c r="F953" s="1">
        <f ca="1">IFERROR(__xludf.DUMMYFUNCTION("""COMPUTED_VALUE"""),1)</f>
        <v>1</v>
      </c>
      <c r="G953" s="1" t="str">
        <f ca="1">IFERROR(__xludf.DUMMYFUNCTION("""COMPUTED_VALUE"""),"010508154S513256")</f>
        <v>010508154S513256</v>
      </c>
      <c r="H953" s="1" t="str">
        <f ca="1">IFERROR(__xludf.DUMMYFUNCTION("""COMPUTED_VALUE"""),"P1_9003")</f>
        <v>P1_9003</v>
      </c>
      <c r="I953" s="1" t="str">
        <f ca="1">IFERROR(__xludf.DUMMYFUNCTION("""COMPUTED_VALUE"""),"Chiao Yu")</f>
        <v>Chiao Yu</v>
      </c>
    </row>
    <row r="954" spans="1:9" ht="12.7" x14ac:dyDescent="0.4">
      <c r="A954" s="2">
        <f ca="1">IFERROR(__xludf.DUMMYFUNCTION("""COMPUTED_VALUE"""),45695.4480417361)</f>
        <v>45695.448041736097</v>
      </c>
      <c r="B954" s="1" t="str">
        <f ca="1">IFERROR(__xludf.DUMMYFUNCTION("""COMPUTED_VALUE"""),"料件上線時間")</f>
        <v>料件上線時間</v>
      </c>
      <c r="C954" s="1" t="str">
        <f ca="1">IFERROR(__xludf.DUMMYFUNCTION("""COMPUTED_VALUE"""),"ME0100000086")</f>
        <v>ME0100000086</v>
      </c>
      <c r="D954" s="1" t="str">
        <f ca="1">IFERROR(__xludf.DUMMYFUNCTION("""COMPUTED_VALUE"""),"All/SB")</f>
        <v>All/SB</v>
      </c>
      <c r="E954" s="1" t="str">
        <f ca="1">IFERROR(__xludf.DUMMYFUNCTION("""COMPUTED_VALUE"""),"p1/庫存")</f>
        <v>p1/庫存</v>
      </c>
      <c r="F954" s="1">
        <f ca="1">IFERROR(__xludf.DUMMYFUNCTION("""COMPUTED_VALUE"""),1)</f>
        <v>1</v>
      </c>
      <c r="G954" s="1"/>
      <c r="H954" s="1" t="str">
        <f ca="1">IFERROR(__xludf.DUMMYFUNCTION("""COMPUTED_VALUE"""),"P1_9003")</f>
        <v>P1_9003</v>
      </c>
      <c r="I954" s="1" t="str">
        <f ca="1">IFERROR(__xludf.DUMMYFUNCTION("""COMPUTED_VALUE"""),"Chiao Yu")</f>
        <v>Chiao Yu</v>
      </c>
    </row>
    <row r="955" spans="1:9" ht="12.7" x14ac:dyDescent="0.4">
      <c r="A955" s="2">
        <f ca="1">IFERROR(__xludf.DUMMYFUNCTION("""COMPUTED_VALUE"""),45695.7093473148)</f>
        <v>45695.709347314798</v>
      </c>
      <c r="B955" s="1" t="str">
        <f ca="1">IFERROR(__xludf.DUMMYFUNCTION("""COMPUTED_VALUE"""),"進貨")</f>
        <v>進貨</v>
      </c>
      <c r="C955" s="1" t="str">
        <f ca="1">IFERROR(__xludf.DUMMYFUNCTION("""COMPUTED_VALUE"""),"MM0260000147")</f>
        <v>MM0260000147</v>
      </c>
      <c r="D955" s="1" t="str">
        <f ca="1">IFERROR(__xludf.DUMMYFUNCTION("""COMPUTED_VALUE"""),"All/BA")</f>
        <v>All/BA</v>
      </c>
      <c r="E955" s="1" t="str">
        <f ca="1">IFERROR(__xludf.DUMMYFUNCTION("""COMPUTED_VALUE"""),"p2/庫存")</f>
        <v>p2/庫存</v>
      </c>
      <c r="F955" s="1">
        <f ca="1">IFERROR(__xludf.DUMMYFUNCTION("""COMPUTED_VALUE"""),10)</f>
        <v>10</v>
      </c>
      <c r="G955" s="1"/>
      <c r="H955" s="1" t="str">
        <f ca="1">IFERROR(__xludf.DUMMYFUNCTION("""COMPUTED_VALUE"""),"P2")</f>
        <v>P2</v>
      </c>
      <c r="I955" s="1" t="str">
        <f ca="1">IFERROR(__xludf.DUMMYFUNCTION("""COMPUTED_VALUE"""),"Chiao Yu")</f>
        <v>Chiao Yu</v>
      </c>
    </row>
    <row r="956" spans="1:9" ht="12.7" x14ac:dyDescent="0.4">
      <c r="A956" s="2">
        <f ca="1">IFERROR(__xludf.DUMMYFUNCTION("""COMPUTED_VALUE"""),45695.7096189004)</f>
        <v>45695.709618900401</v>
      </c>
      <c r="B956" s="1" t="str">
        <f ca="1">IFERROR(__xludf.DUMMYFUNCTION("""COMPUTED_VALUE"""),"進貨")</f>
        <v>進貨</v>
      </c>
      <c r="C956" s="1" t="str">
        <f ca="1">IFERROR(__xludf.DUMMYFUNCTION("""COMPUTED_VALUE"""),"MM0260000149")</f>
        <v>MM0260000149</v>
      </c>
      <c r="D956" s="1" t="str">
        <f ca="1">IFERROR(__xludf.DUMMYFUNCTION("""COMPUTED_VALUE"""),"All/BA")</f>
        <v>All/BA</v>
      </c>
      <c r="E956" s="1" t="str">
        <f ca="1">IFERROR(__xludf.DUMMYFUNCTION("""COMPUTED_VALUE"""),"p2/庫存")</f>
        <v>p2/庫存</v>
      </c>
      <c r="F956" s="1">
        <f ca="1">IFERROR(__xludf.DUMMYFUNCTION("""COMPUTED_VALUE"""),10)</f>
        <v>10</v>
      </c>
      <c r="G956" s="1"/>
      <c r="H956" s="1" t="str">
        <f ca="1">IFERROR(__xludf.DUMMYFUNCTION("""COMPUTED_VALUE"""),"P2")</f>
        <v>P2</v>
      </c>
      <c r="I956" s="1" t="str">
        <f ca="1">IFERROR(__xludf.DUMMYFUNCTION("""COMPUTED_VALUE"""),"Chiao Yu")</f>
        <v>Chiao Yu</v>
      </c>
    </row>
    <row r="957" spans="1:9" ht="12.7" x14ac:dyDescent="0.4">
      <c r="A957" s="2">
        <f ca="1">IFERROR(__xludf.DUMMYFUNCTION("""COMPUTED_VALUE"""),45695.7099192129)</f>
        <v>45695.709919212903</v>
      </c>
      <c r="B957" s="1" t="str">
        <f ca="1">IFERROR(__xludf.DUMMYFUNCTION("""COMPUTED_VALUE"""),"進貨")</f>
        <v>進貨</v>
      </c>
      <c r="C957" s="1" t="str">
        <f ca="1">IFERROR(__xludf.DUMMYFUNCTION("""COMPUTED_VALUE"""),"MM0260000258")</f>
        <v>MM0260000258</v>
      </c>
      <c r="D957" s="1" t="str">
        <f ca="1">IFERROR(__xludf.DUMMYFUNCTION("""COMPUTED_VALUE"""),"All/BA")</f>
        <v>All/BA</v>
      </c>
      <c r="E957" s="1" t="str">
        <f ca="1">IFERROR(__xludf.DUMMYFUNCTION("""COMPUTED_VALUE"""),"p2/庫存")</f>
        <v>p2/庫存</v>
      </c>
      <c r="F957" s="1">
        <f ca="1">IFERROR(__xludf.DUMMYFUNCTION("""COMPUTED_VALUE"""),10)</f>
        <v>10</v>
      </c>
      <c r="G957" s="1"/>
      <c r="H957" s="1" t="str">
        <f ca="1">IFERROR(__xludf.DUMMYFUNCTION("""COMPUTED_VALUE"""),"P2")</f>
        <v>P2</v>
      </c>
      <c r="I957" s="1" t="str">
        <f ca="1">IFERROR(__xludf.DUMMYFUNCTION("""COMPUTED_VALUE"""),"Chiao Yu")</f>
        <v>Chiao Yu</v>
      </c>
    </row>
    <row r="958" spans="1:9" ht="12.7" x14ac:dyDescent="0.4">
      <c r="A958" s="2">
        <f ca="1">IFERROR(__xludf.DUMMYFUNCTION("""COMPUTED_VALUE"""),45699.2550147106)</f>
        <v>45699.255014710601</v>
      </c>
      <c r="B958" s="1" t="str">
        <f ca="1">IFERROR(__xludf.DUMMYFUNCTION("""COMPUTED_VALUE"""),"領料")</f>
        <v>領料</v>
      </c>
      <c r="C958" s="1" t="str">
        <f ca="1">IFERROR(__xludf.DUMMYFUNCTION("""COMPUTED_VALUE"""),"MM0010000125")</f>
        <v>MM0010000125</v>
      </c>
      <c r="D958" s="1" t="str">
        <f ca="1">IFERROR(__xludf.DUMMYFUNCTION("""COMPUTED_VALUE"""),"All/RL")</f>
        <v>All/RL</v>
      </c>
      <c r="E958" s="1" t="str">
        <f ca="1">IFERROR(__xludf.DUMMYFUNCTION("""COMPUTED_VALUE"""),"p1/庫存")</f>
        <v>p1/庫存</v>
      </c>
      <c r="F958" s="1">
        <f ca="1">IFERROR(__xludf.DUMMYFUNCTION("""COMPUTED_VALUE"""),2)</f>
        <v>2</v>
      </c>
      <c r="G958" s="1"/>
      <c r="H958" s="1" t="str">
        <f ca="1">IFERROR(__xludf.DUMMYFUNCTION("""COMPUTED_VALUE"""),"P1_1001,P1_1002")</f>
        <v>P1_1001,P1_1002</v>
      </c>
      <c r="I958" s="1" t="str">
        <f ca="1">IFERROR(__xludf.DUMMYFUNCTION("""COMPUTED_VALUE"""),"Nick")</f>
        <v>Nick</v>
      </c>
    </row>
    <row r="959" spans="1:9" ht="12.7" x14ac:dyDescent="0.4">
      <c r="A959" s="2">
        <f ca="1">IFERROR(__xludf.DUMMYFUNCTION("""COMPUTED_VALUE"""),45699.2564707638)</f>
        <v>45699.256470763801</v>
      </c>
      <c r="B959" s="1" t="str">
        <f ca="1">IFERROR(__xludf.DUMMYFUNCTION("""COMPUTED_VALUE"""),"領料")</f>
        <v>領料</v>
      </c>
      <c r="C959" s="1" t="str">
        <f ca="1">IFERROR(__xludf.DUMMYFUNCTION("""COMPUTED_VALUE"""),"MM0260000249")</f>
        <v>MM0260000249</v>
      </c>
      <c r="D959" s="1" t="str">
        <f ca="1">IFERROR(__xludf.DUMMYFUNCTION("""COMPUTED_VALUE"""),"All/RL")</f>
        <v>All/RL</v>
      </c>
      <c r="E959" s="1" t="str">
        <f ca="1">IFERROR(__xludf.DUMMYFUNCTION("""COMPUTED_VALUE"""),"p1/庫存")</f>
        <v>p1/庫存</v>
      </c>
      <c r="F959" s="1">
        <f ca="1">IFERROR(__xludf.DUMMYFUNCTION("""COMPUTED_VALUE"""),2)</f>
        <v>2</v>
      </c>
      <c r="G959" s="1"/>
      <c r="H959" s="1" t="str">
        <f ca="1">IFERROR(__xludf.DUMMYFUNCTION("""COMPUTED_VALUE"""),"P1_1001,P1_1002")</f>
        <v>P1_1001,P1_1002</v>
      </c>
      <c r="I959" s="1" t="str">
        <f ca="1">IFERROR(__xludf.DUMMYFUNCTION("""COMPUTED_VALUE"""),"Nick")</f>
        <v>Nick</v>
      </c>
    </row>
    <row r="960" spans="1:9" ht="12.7" x14ac:dyDescent="0.4">
      <c r="A960" s="2">
        <f ca="1">IFERROR(__xludf.DUMMYFUNCTION("""COMPUTED_VALUE"""),45700.4000457523)</f>
        <v>45700.4000457523</v>
      </c>
      <c r="B960" s="1" t="str">
        <f ca="1">IFERROR(__xludf.DUMMYFUNCTION("""COMPUTED_VALUE"""),"領料")</f>
        <v>領料</v>
      </c>
      <c r="C960" s="1" t="str">
        <f ca="1">IFERROR(__xludf.DUMMYFUNCTION("""COMPUTED_VALUE"""),"MM0260000249")</f>
        <v>MM0260000249</v>
      </c>
      <c r="D960" s="1" t="str">
        <f ca="1">IFERROR(__xludf.DUMMYFUNCTION("""COMPUTED_VALUE"""),"All/RL")</f>
        <v>All/RL</v>
      </c>
      <c r="E960" s="1" t="str">
        <f ca="1">IFERROR(__xludf.DUMMYFUNCTION("""COMPUTED_VALUE"""),"p2/庫存")</f>
        <v>p2/庫存</v>
      </c>
      <c r="F960" s="1">
        <f ca="1">IFERROR(__xludf.DUMMYFUNCTION("""COMPUTED_VALUE"""),1)</f>
        <v>1</v>
      </c>
      <c r="G960" s="1"/>
      <c r="H960" s="1" t="str">
        <f ca="1">IFERROR(__xludf.DUMMYFUNCTION("""COMPUTED_VALUE"""),"P2_1003")</f>
        <v>P2_1003</v>
      </c>
      <c r="I960" s="1" t="str">
        <f ca="1">IFERROR(__xludf.DUMMYFUNCTION("""COMPUTED_VALUE"""),"Chiao Yu")</f>
        <v>Chiao Yu</v>
      </c>
    </row>
    <row r="961" spans="1:9" ht="12.7" x14ac:dyDescent="0.4">
      <c r="A961" s="2">
        <f ca="1">IFERROR(__xludf.DUMMYFUNCTION("""COMPUTED_VALUE"""),45700.4029280439)</f>
        <v>45700.402928043899</v>
      </c>
      <c r="B961" s="1" t="str">
        <f ca="1">IFERROR(__xludf.DUMMYFUNCTION("""COMPUTED_VALUE"""),"領料")</f>
        <v>領料</v>
      </c>
      <c r="C961" s="1" t="str">
        <f ca="1">IFERROR(__xludf.DUMMYFUNCTION("""COMPUTED_VALUE"""),"ME0050000183")</f>
        <v>ME0050000183</v>
      </c>
      <c r="D961" s="1" t="str">
        <f ca="1">IFERROR(__xludf.DUMMYFUNCTION("""COMPUTED_VALUE"""),"All/共用")</f>
        <v>All/共用</v>
      </c>
      <c r="E961" s="1" t="str">
        <f ca="1">IFERROR(__xludf.DUMMYFUNCTION("""COMPUTED_VALUE"""),"p2/庫存")</f>
        <v>p2/庫存</v>
      </c>
      <c r="F961" s="1">
        <f ca="1">IFERROR(__xludf.DUMMYFUNCTION("""COMPUTED_VALUE"""),16)</f>
        <v>16</v>
      </c>
      <c r="G961" s="1"/>
      <c r="H961" s="1" t="str">
        <f ca="1">IFERROR(__xludf.DUMMYFUNCTION("""COMPUTED_VALUE"""),"P2")</f>
        <v>P2</v>
      </c>
      <c r="I961" s="1" t="str">
        <f ca="1">IFERROR(__xludf.DUMMYFUNCTION("""COMPUTED_VALUE"""),"Chiao Yu")</f>
        <v>Chiao Yu</v>
      </c>
    </row>
    <row r="962" spans="1:9" ht="12.7" x14ac:dyDescent="0.4">
      <c r="A962" s="2">
        <f ca="1">IFERROR(__xludf.DUMMYFUNCTION("""COMPUTED_VALUE"""),45700.4035523495)</f>
        <v>45700.403552349497</v>
      </c>
      <c r="B962" s="1" t="str">
        <f ca="1">IFERROR(__xludf.DUMMYFUNCTION("""COMPUTED_VALUE"""),"領料")</f>
        <v>領料</v>
      </c>
      <c r="C962" s="1" t="str">
        <f ca="1">IFERROR(__xludf.DUMMYFUNCTION("""COMPUTED_VALUE"""),"ME0270000789")</f>
        <v>ME0270000789</v>
      </c>
      <c r="D962" s="1" t="str">
        <f ca="1">IFERROR(__xludf.DUMMYFUNCTION("""COMPUTED_VALUE"""),"All/共用")</f>
        <v>All/共用</v>
      </c>
      <c r="E962" s="1" t="str">
        <f ca="1">IFERROR(__xludf.DUMMYFUNCTION("""COMPUTED_VALUE"""),"p2/庫存")</f>
        <v>p2/庫存</v>
      </c>
      <c r="F962" s="1">
        <f ca="1">IFERROR(__xludf.DUMMYFUNCTION("""COMPUTED_VALUE"""),16)</f>
        <v>16</v>
      </c>
      <c r="G962" s="1"/>
      <c r="H962" s="1" t="str">
        <f ca="1">IFERROR(__xludf.DUMMYFUNCTION("""COMPUTED_VALUE"""),"P2")</f>
        <v>P2</v>
      </c>
      <c r="I962" s="1" t="str">
        <f ca="1">IFERROR(__xludf.DUMMYFUNCTION("""COMPUTED_VALUE"""),"Chiao Yu")</f>
        <v>Chiao Yu</v>
      </c>
    </row>
    <row r="963" spans="1:9" ht="12.7" x14ac:dyDescent="0.4">
      <c r="A963" s="2">
        <f ca="1">IFERROR(__xludf.DUMMYFUNCTION("""COMPUTED_VALUE"""),45700.4765142824)</f>
        <v>45700.476514282404</v>
      </c>
      <c r="B963" s="1" t="str">
        <f ca="1">IFERROR(__xludf.DUMMYFUNCTION("""COMPUTED_VALUE"""),"進貨")</f>
        <v>進貨</v>
      </c>
      <c r="C963" s="1" t="str">
        <f ca="1">IFERROR(__xludf.DUMMYFUNCTION("""COMPUTED_VALUE"""),"ME0270000955")</f>
        <v>ME0270000955</v>
      </c>
      <c r="D963" s="1" t="str">
        <f ca="1">IFERROR(__xludf.DUMMYFUNCTION("""COMPUTED_VALUE"""),"All/BA")</f>
        <v>All/BA</v>
      </c>
      <c r="E963" s="1" t="str">
        <f ca="1">IFERROR(__xludf.DUMMYFUNCTION("""COMPUTED_VALUE"""),"p1/庫存")</f>
        <v>p1/庫存</v>
      </c>
      <c r="F963" s="1">
        <f ca="1">IFERROR(__xludf.DUMMYFUNCTION("""COMPUTED_VALUE"""),1)</f>
        <v>1</v>
      </c>
      <c r="G963" s="1"/>
      <c r="H963" s="1" t="str">
        <f ca="1">IFERROR(__xludf.DUMMYFUNCTION("""COMPUTED_VALUE"""),"P1")</f>
        <v>P1</v>
      </c>
      <c r="I963" s="1" t="str">
        <f ca="1">IFERROR(__xludf.DUMMYFUNCTION("""COMPUTED_VALUE"""),"Chiao Yu")</f>
        <v>Chiao Yu</v>
      </c>
    </row>
    <row r="964" spans="1:9" ht="12.7" x14ac:dyDescent="0.4">
      <c r="A964" s="2">
        <f ca="1">IFERROR(__xludf.DUMMYFUNCTION("""COMPUTED_VALUE"""),45700.4771742129)</f>
        <v>45700.477174212901</v>
      </c>
      <c r="B964" s="1" t="str">
        <f ca="1">IFERROR(__xludf.DUMMYFUNCTION("""COMPUTED_VALUE"""),"進貨")</f>
        <v>進貨</v>
      </c>
      <c r="C964" s="1" t="str">
        <f ca="1">IFERROR(__xludf.DUMMYFUNCTION("""COMPUTED_VALUE"""),"ME0100000079")</f>
        <v>ME0100000079</v>
      </c>
      <c r="D964" s="1" t="str">
        <f ca="1">IFERROR(__xludf.DUMMYFUNCTION("""COMPUTED_VALUE"""),"All/COLOR")</f>
        <v>All/COLOR</v>
      </c>
      <c r="E964" s="1" t="str">
        <f ca="1">IFERROR(__xludf.DUMMYFUNCTION("""COMPUTED_VALUE"""),"p1/庫存")</f>
        <v>p1/庫存</v>
      </c>
      <c r="F964" s="1">
        <f ca="1">IFERROR(__xludf.DUMMYFUNCTION("""COMPUTED_VALUE"""),1)</f>
        <v>1</v>
      </c>
      <c r="G964" s="1"/>
      <c r="H964" s="1" t="str">
        <f ca="1">IFERROR(__xludf.DUMMYFUNCTION("""COMPUTED_VALUE"""),"P1")</f>
        <v>P1</v>
      </c>
      <c r="I964" s="1" t="str">
        <f ca="1">IFERROR(__xludf.DUMMYFUNCTION("""COMPUTED_VALUE"""),"Chiao Yu")</f>
        <v>Chiao Yu</v>
      </c>
    </row>
    <row r="965" spans="1:9" ht="12.7" x14ac:dyDescent="0.4">
      <c r="A965" s="2">
        <f ca="1">IFERROR(__xludf.DUMMYFUNCTION("""COMPUTED_VALUE"""),45700.4785376041)</f>
        <v>45700.478537604104</v>
      </c>
      <c r="B965" s="1" t="str">
        <f ca="1">IFERROR(__xludf.DUMMYFUNCTION("""COMPUTED_VALUE"""),"進貨")</f>
        <v>進貨</v>
      </c>
      <c r="C965" s="1" t="str">
        <f ca="1">IFERROR(__xludf.DUMMYFUNCTION("""COMPUTED_VALUE"""),"ME0100000079")</f>
        <v>ME0100000079</v>
      </c>
      <c r="D965" s="1" t="str">
        <f ca="1">IFERROR(__xludf.DUMMYFUNCTION("""COMPUTED_VALUE"""),"All/COLOR")</f>
        <v>All/COLOR</v>
      </c>
      <c r="E965" s="1" t="str">
        <f ca="1">IFERROR(__xludf.DUMMYFUNCTION("""COMPUTED_VALUE"""),"p2/庫存")</f>
        <v>p2/庫存</v>
      </c>
      <c r="F965" s="1">
        <f ca="1">IFERROR(__xludf.DUMMYFUNCTION("""COMPUTED_VALUE"""),1)</f>
        <v>1</v>
      </c>
      <c r="G965" s="1"/>
      <c r="H965" s="1" t="str">
        <f ca="1">IFERROR(__xludf.DUMMYFUNCTION("""COMPUTED_VALUE"""),"P2")</f>
        <v>P2</v>
      </c>
      <c r="I965" s="1" t="str">
        <f ca="1">IFERROR(__xludf.DUMMYFUNCTION("""COMPUTED_VALUE"""),"Chiao Yu")</f>
        <v>Chiao Yu</v>
      </c>
    </row>
    <row r="966" spans="1:9" ht="12.7" x14ac:dyDescent="0.4">
      <c r="A966" s="2">
        <f ca="1">IFERROR(__xludf.DUMMYFUNCTION("""COMPUTED_VALUE"""),45700.4843807407)</f>
        <v>45700.484380740701</v>
      </c>
      <c r="B966" s="1" t="str">
        <f ca="1">IFERROR(__xludf.DUMMYFUNCTION("""COMPUTED_VALUE"""),"進貨")</f>
        <v>進貨</v>
      </c>
      <c r="C966" s="1" t="str">
        <f ca="1">IFERROR(__xludf.DUMMYFUNCTION("""COMPUTED_VALUE"""),"ME0270001323")</f>
        <v>ME0270001323</v>
      </c>
      <c r="D966" s="1" t="str">
        <f ca="1">IFERROR(__xludf.DUMMYFUNCTION("""COMPUTED_VALUE"""),"All/COLOR")</f>
        <v>All/COLOR</v>
      </c>
      <c r="E966" s="1" t="str">
        <f ca="1">IFERROR(__xludf.DUMMYFUNCTION("""COMPUTED_VALUE"""),"p1/庫存")</f>
        <v>p1/庫存</v>
      </c>
      <c r="F966" s="1">
        <f ca="1">IFERROR(__xludf.DUMMYFUNCTION("""COMPUTED_VALUE"""),1)</f>
        <v>1</v>
      </c>
      <c r="G966" s="1"/>
      <c r="H966" s="1" t="str">
        <f ca="1">IFERROR(__xludf.DUMMYFUNCTION("""COMPUTED_VALUE"""),"P1")</f>
        <v>P1</v>
      </c>
      <c r="I966" s="1" t="str">
        <f ca="1">IFERROR(__xludf.DUMMYFUNCTION("""COMPUTED_VALUE"""),"Chiao Yu")</f>
        <v>Chiao Yu</v>
      </c>
    </row>
    <row r="967" spans="1:9" ht="12.7" x14ac:dyDescent="0.4">
      <c r="A967" s="2">
        <f ca="1">IFERROR(__xludf.DUMMYFUNCTION("""COMPUTED_VALUE"""),45701.6308899768)</f>
        <v>45701.630889976797</v>
      </c>
      <c r="B967" s="1" t="str">
        <f ca="1">IFERROR(__xludf.DUMMYFUNCTION("""COMPUTED_VALUE"""),"送修")</f>
        <v>送修</v>
      </c>
      <c r="C967" s="1" t="str">
        <f ca="1">IFERROR(__xludf.DUMMYFUNCTION("""COMPUTED_VALUE"""),"ME0070000181")</f>
        <v>ME0070000181</v>
      </c>
      <c r="D967" s="1" t="str">
        <f ca="1">IFERROR(__xludf.DUMMYFUNCTION("""COMPUTED_VALUE"""),"All/RL")</f>
        <v>All/RL</v>
      </c>
      <c r="E967" s="1" t="str">
        <f ca="1">IFERROR(__xludf.DUMMYFUNCTION("""COMPUTED_VALUE"""),"p2/庫存")</f>
        <v>p2/庫存</v>
      </c>
      <c r="F967" s="1">
        <f ca="1">IFERROR(__xludf.DUMMYFUNCTION("""COMPUTED_VALUE"""),1)</f>
        <v>1</v>
      </c>
      <c r="G967" s="1"/>
      <c r="H967" s="1" t="str">
        <f ca="1">IFERROR(__xludf.DUMMYFUNCTION("""COMPUTED_VALUE"""),"P2_1003")</f>
        <v>P2_1003</v>
      </c>
      <c r="I967" s="1" t="str">
        <f ca="1">IFERROR(__xludf.DUMMYFUNCTION("""COMPUTED_VALUE"""),"Chiao Yu")</f>
        <v>Chiao Yu</v>
      </c>
    </row>
    <row r="968" spans="1:9" ht="12.7" x14ac:dyDescent="0.4">
      <c r="A968" s="2">
        <f ca="1">IFERROR(__xludf.DUMMYFUNCTION("""COMPUTED_VALUE"""),45701.6314128935)</f>
        <v>45701.631412893497</v>
      </c>
      <c r="B968" s="1" t="str">
        <f ca="1">IFERROR(__xludf.DUMMYFUNCTION("""COMPUTED_VALUE"""),"進貨")</f>
        <v>進貨</v>
      </c>
      <c r="C968" s="1" t="str">
        <f ca="1">IFERROR(__xludf.DUMMYFUNCTION("""COMPUTED_VALUE"""),"ME0070000181")</f>
        <v>ME0070000181</v>
      </c>
      <c r="D968" s="1" t="str">
        <f ca="1">IFERROR(__xludf.DUMMYFUNCTION("""COMPUTED_VALUE"""),"All/RL")</f>
        <v>All/RL</v>
      </c>
      <c r="E968" s="1" t="str">
        <f ca="1">IFERROR(__xludf.DUMMYFUNCTION("""COMPUTED_VALUE"""),"p1/庫存")</f>
        <v>p1/庫存</v>
      </c>
      <c r="F968" s="1">
        <f ca="1">IFERROR(__xludf.DUMMYFUNCTION("""COMPUTED_VALUE"""),1)</f>
        <v>1</v>
      </c>
      <c r="G968" s="1"/>
      <c r="H968" s="1" t="str">
        <f ca="1">IFERROR(__xludf.DUMMYFUNCTION("""COMPUTED_VALUE"""),"P1")</f>
        <v>P1</v>
      </c>
      <c r="I968" s="1" t="str">
        <f ca="1">IFERROR(__xludf.DUMMYFUNCTION("""COMPUTED_VALUE"""),"Chiao Yu")</f>
        <v>Chiao Yu</v>
      </c>
    </row>
    <row r="969" spans="1:9" ht="12.7" x14ac:dyDescent="0.4">
      <c r="A969" s="2">
        <f ca="1">IFERROR(__xludf.DUMMYFUNCTION("""COMPUTED_VALUE"""),45701.6318795949)</f>
        <v>45701.631879594897</v>
      </c>
      <c r="B969" s="1" t="str">
        <f ca="1">IFERROR(__xludf.DUMMYFUNCTION("""COMPUTED_VALUE"""),"進貨")</f>
        <v>進貨</v>
      </c>
      <c r="C969" s="1" t="str">
        <f ca="1">IFERROR(__xludf.DUMMYFUNCTION("""COMPUTED_VALUE"""),"ME0070000181")</f>
        <v>ME0070000181</v>
      </c>
      <c r="D969" s="1" t="str">
        <f ca="1">IFERROR(__xludf.DUMMYFUNCTION("""COMPUTED_VALUE"""),"All/RL")</f>
        <v>All/RL</v>
      </c>
      <c r="E969" s="1" t="str">
        <f ca="1">IFERROR(__xludf.DUMMYFUNCTION("""COMPUTED_VALUE"""),"p2/庫存")</f>
        <v>p2/庫存</v>
      </c>
      <c r="F969" s="1">
        <f ca="1">IFERROR(__xludf.DUMMYFUNCTION("""COMPUTED_VALUE"""),1)</f>
        <v>1</v>
      </c>
      <c r="G969" s="1"/>
      <c r="H969" s="1" t="str">
        <f ca="1">IFERROR(__xludf.DUMMYFUNCTION("""COMPUTED_VALUE"""),"P2")</f>
        <v>P2</v>
      </c>
      <c r="I969" s="1" t="str">
        <f ca="1">IFERROR(__xludf.DUMMYFUNCTION("""COMPUTED_VALUE"""),"Chiao Yu")</f>
        <v>Chiao Yu</v>
      </c>
    </row>
    <row r="970" spans="1:9" ht="12.7" x14ac:dyDescent="0.4">
      <c r="A970" s="2">
        <f ca="1">IFERROR(__xludf.DUMMYFUNCTION("""COMPUTED_VALUE"""),45701.6330517129)</f>
        <v>45701.633051712903</v>
      </c>
      <c r="B970" s="1" t="str">
        <f ca="1">IFERROR(__xludf.DUMMYFUNCTION("""COMPUTED_VALUE"""),"進貨")</f>
        <v>進貨</v>
      </c>
      <c r="C970" s="1" t="str">
        <f ca="1">IFERROR(__xludf.DUMMYFUNCTION("""COMPUTED_VALUE"""),"ME0050000183")</f>
        <v>ME0050000183</v>
      </c>
      <c r="D970" s="1" t="str">
        <f ca="1">IFERROR(__xludf.DUMMYFUNCTION("""COMPUTED_VALUE"""),"All/共用")</f>
        <v>All/共用</v>
      </c>
      <c r="E970" s="1" t="str">
        <f ca="1">IFERROR(__xludf.DUMMYFUNCTION("""COMPUTED_VALUE"""),"p1/庫存")</f>
        <v>p1/庫存</v>
      </c>
      <c r="F970" s="1">
        <f ca="1">IFERROR(__xludf.DUMMYFUNCTION("""COMPUTED_VALUE"""),11)</f>
        <v>11</v>
      </c>
      <c r="G970" s="1"/>
      <c r="H970" s="1" t="str">
        <f ca="1">IFERROR(__xludf.DUMMYFUNCTION("""COMPUTED_VALUE"""),"P1")</f>
        <v>P1</v>
      </c>
      <c r="I970" s="1" t="str">
        <f ca="1">IFERROR(__xludf.DUMMYFUNCTION("""COMPUTED_VALUE"""),"Chiao Yu")</f>
        <v>Chiao Yu</v>
      </c>
    </row>
    <row r="971" spans="1:9" ht="12.7" x14ac:dyDescent="0.4">
      <c r="A971" s="2">
        <f ca="1">IFERROR(__xludf.DUMMYFUNCTION("""COMPUTED_VALUE"""),45701.6335980787)</f>
        <v>45701.633598078697</v>
      </c>
      <c r="B971" s="1" t="str">
        <f ca="1">IFERROR(__xludf.DUMMYFUNCTION("""COMPUTED_VALUE"""),"進貨")</f>
        <v>進貨</v>
      </c>
      <c r="C971" s="1" t="str">
        <f ca="1">IFERROR(__xludf.DUMMYFUNCTION("""COMPUTED_VALUE"""),"ME0050000183")</f>
        <v>ME0050000183</v>
      </c>
      <c r="D971" s="1" t="str">
        <f ca="1">IFERROR(__xludf.DUMMYFUNCTION("""COMPUTED_VALUE"""),"All/共用")</f>
        <v>All/共用</v>
      </c>
      <c r="E971" s="1" t="str">
        <f ca="1">IFERROR(__xludf.DUMMYFUNCTION("""COMPUTED_VALUE"""),"p2/庫存")</f>
        <v>p2/庫存</v>
      </c>
      <c r="F971" s="1">
        <f ca="1">IFERROR(__xludf.DUMMYFUNCTION("""COMPUTED_VALUE"""),6)</f>
        <v>6</v>
      </c>
      <c r="G971" s="1"/>
      <c r="H971" s="1" t="str">
        <f ca="1">IFERROR(__xludf.DUMMYFUNCTION("""COMPUTED_VALUE"""),"P2")</f>
        <v>P2</v>
      </c>
      <c r="I971" s="1" t="str">
        <f ca="1">IFERROR(__xludf.DUMMYFUNCTION("""COMPUTED_VALUE"""),"Chiao Yu")</f>
        <v>Chiao Yu</v>
      </c>
    </row>
    <row r="972" spans="1:9" ht="12.7" x14ac:dyDescent="0.4">
      <c r="A972" s="2">
        <f ca="1">IFERROR(__xludf.DUMMYFUNCTION("""COMPUTED_VALUE"""),45701.6342084143)</f>
        <v>45701.634208414303</v>
      </c>
      <c r="B972" s="1" t="str">
        <f ca="1">IFERROR(__xludf.DUMMYFUNCTION("""COMPUTED_VALUE"""),"進貨")</f>
        <v>進貨</v>
      </c>
      <c r="C972" s="1" t="str">
        <f ca="1">IFERROR(__xludf.DUMMYFUNCTION("""COMPUTED_VALUE"""),"ME0270000789")</f>
        <v>ME0270000789</v>
      </c>
      <c r="D972" s="1" t="str">
        <f ca="1">IFERROR(__xludf.DUMMYFUNCTION("""COMPUTED_VALUE"""),"All/共用")</f>
        <v>All/共用</v>
      </c>
      <c r="E972" s="1" t="str">
        <f ca="1">IFERROR(__xludf.DUMMYFUNCTION("""COMPUTED_VALUE"""),"p1/庫存")</f>
        <v>p1/庫存</v>
      </c>
      <c r="F972" s="1">
        <f ca="1">IFERROR(__xludf.DUMMYFUNCTION("""COMPUTED_VALUE"""),14)</f>
        <v>14</v>
      </c>
      <c r="G972" s="1"/>
      <c r="H972" s="1" t="str">
        <f ca="1">IFERROR(__xludf.DUMMYFUNCTION("""COMPUTED_VALUE"""),"P1")</f>
        <v>P1</v>
      </c>
      <c r="I972" s="1" t="str">
        <f ca="1">IFERROR(__xludf.DUMMYFUNCTION("""COMPUTED_VALUE"""),"Chiao Yu")</f>
        <v>Chiao Yu</v>
      </c>
    </row>
    <row r="973" spans="1:9" ht="12.7" x14ac:dyDescent="0.4">
      <c r="A973" s="2">
        <f ca="1">IFERROR(__xludf.DUMMYFUNCTION("""COMPUTED_VALUE"""),45701.6349424768)</f>
        <v>45701.634942476798</v>
      </c>
      <c r="B973" s="1" t="str">
        <f ca="1">IFERROR(__xludf.DUMMYFUNCTION("""COMPUTED_VALUE"""),"領料")</f>
        <v>領料</v>
      </c>
      <c r="C973" s="1" t="str">
        <f ca="1">IFERROR(__xludf.DUMMYFUNCTION("""COMPUTED_VALUE"""),"AGT000000005")</f>
        <v>AGT000000005</v>
      </c>
      <c r="D973" s="1" t="str">
        <f ca="1">IFERROR(__xludf.DUMMYFUNCTION("""COMPUTED_VALUE"""),"All/共用")</f>
        <v>All/共用</v>
      </c>
      <c r="E973" s="1" t="str">
        <f ca="1">IFERROR(__xludf.DUMMYFUNCTION("""COMPUTED_VALUE"""),"p1/庫存")</f>
        <v>p1/庫存</v>
      </c>
      <c r="F973" s="1">
        <f ca="1">IFERROR(__xludf.DUMMYFUNCTION("""COMPUTED_VALUE"""),1)</f>
        <v>1</v>
      </c>
      <c r="G973" s="1"/>
      <c r="H973" s="1" t="str">
        <f ca="1">IFERROR(__xludf.DUMMYFUNCTION("""COMPUTED_VALUE"""),"P1_028")</f>
        <v>P1_028</v>
      </c>
      <c r="I973" s="1" t="str">
        <f ca="1">IFERROR(__xludf.DUMMYFUNCTION("""COMPUTED_VALUE"""),"Chiao Yu")</f>
        <v>Chiao Yu</v>
      </c>
    </row>
    <row r="974" spans="1:9" ht="12.7" x14ac:dyDescent="0.4">
      <c r="A974" s="2">
        <f ca="1">IFERROR(__xludf.DUMMYFUNCTION("""COMPUTED_VALUE"""),45703.2641917245)</f>
        <v>45703.264191724498</v>
      </c>
      <c r="B974" s="1" t="str">
        <f ca="1">IFERROR(__xludf.DUMMYFUNCTION("""COMPUTED_VALUE"""),"領料")</f>
        <v>領料</v>
      </c>
      <c r="C974" s="1" t="str">
        <f ca="1">IFERROR(__xludf.DUMMYFUNCTION("""COMPUTED_VALUE"""),"MM0260000249")</f>
        <v>MM0260000249</v>
      </c>
      <c r="D974" s="1" t="str">
        <f ca="1">IFERROR(__xludf.DUMMYFUNCTION("""COMPUTED_VALUE"""),"All/RL")</f>
        <v>All/RL</v>
      </c>
      <c r="E974" s="1" t="str">
        <f ca="1">IFERROR(__xludf.DUMMYFUNCTION("""COMPUTED_VALUE"""),"p2/庫存")</f>
        <v>p2/庫存</v>
      </c>
      <c r="F974" s="1">
        <f ca="1">IFERROR(__xludf.DUMMYFUNCTION("""COMPUTED_VALUE"""),4)</f>
        <v>4</v>
      </c>
      <c r="G974" s="1"/>
      <c r="H974" s="1" t="str">
        <f ca="1">IFERROR(__xludf.DUMMYFUNCTION("""COMPUTED_VALUE"""),"P2_043,P2_044,P2_045,P2_046,")</f>
        <v>P2_043,P2_044,P2_045,P2_046,</v>
      </c>
      <c r="I974" s="1" t="str">
        <f ca="1">IFERROR(__xludf.DUMMYFUNCTION("""COMPUTED_VALUE"""),"Jason")</f>
        <v>Jason</v>
      </c>
    </row>
    <row r="975" spans="1:9" ht="12.7" x14ac:dyDescent="0.4">
      <c r="A975" s="2">
        <f ca="1">IFERROR(__xludf.DUMMYFUNCTION("""COMPUTED_VALUE"""),45705.384473125)</f>
        <v>45705.384473124999</v>
      </c>
      <c r="B975" s="1" t="str">
        <f ca="1">IFERROR(__xludf.DUMMYFUNCTION("""COMPUTED_VALUE"""),"領料")</f>
        <v>領料</v>
      </c>
      <c r="C975" s="1" t="str">
        <f ca="1">IFERROR(__xludf.DUMMYFUNCTION("""COMPUTED_VALUE"""),"AGT000000005")</f>
        <v>AGT000000005</v>
      </c>
      <c r="D975" s="1" t="str">
        <f ca="1">IFERROR(__xludf.DUMMYFUNCTION("""COMPUTED_VALUE"""),"All/共用")</f>
        <v>All/共用</v>
      </c>
      <c r="E975" s="1" t="str">
        <f ca="1">IFERROR(__xludf.DUMMYFUNCTION("""COMPUTED_VALUE"""),"p1/庫存")</f>
        <v>p1/庫存</v>
      </c>
      <c r="F975" s="1">
        <f ca="1">IFERROR(__xludf.DUMMYFUNCTION("""COMPUTED_VALUE"""),1)</f>
        <v>1</v>
      </c>
      <c r="G975" s="1"/>
      <c r="H975" s="1" t="str">
        <f ca="1">IFERROR(__xludf.DUMMYFUNCTION("""COMPUTED_VALUE"""),"P1_030")</f>
        <v>P1_030</v>
      </c>
      <c r="I975" s="1" t="str">
        <f ca="1">IFERROR(__xludf.DUMMYFUNCTION("""COMPUTED_VALUE"""),"Nick")</f>
        <v>Nick</v>
      </c>
    </row>
    <row r="976" spans="1:9" ht="12.7" x14ac:dyDescent="0.4">
      <c r="A976" s="2">
        <f ca="1">IFERROR(__xludf.DUMMYFUNCTION("""COMPUTED_VALUE"""),45705.4416270949)</f>
        <v>45705.4416270949</v>
      </c>
      <c r="B976" s="1" t="str">
        <f ca="1">IFERROR(__xludf.DUMMYFUNCTION("""COMPUTED_VALUE"""),"送修")</f>
        <v>送修</v>
      </c>
      <c r="C976" s="1" t="str">
        <f ca="1">IFERROR(__xludf.DUMMYFUNCTION("""COMPUTED_VALUE"""),"A00900000618")</f>
        <v>A00900000618</v>
      </c>
      <c r="D976" s="1" t="str">
        <f ca="1">IFERROR(__xludf.DUMMYFUNCTION("""COMPUTED_VALUE"""),"All/共用")</f>
        <v>All/共用</v>
      </c>
      <c r="E976" s="1" t="str">
        <f ca="1">IFERROR(__xludf.DUMMYFUNCTION("""COMPUTED_VALUE"""),"p2/庫存")</f>
        <v>p2/庫存</v>
      </c>
      <c r="F976" s="1">
        <f ca="1">IFERROR(__xludf.DUMMYFUNCTION("""COMPUTED_VALUE"""),1)</f>
        <v>1</v>
      </c>
      <c r="G976" s="1"/>
      <c r="H976" s="1" t="str">
        <f ca="1">IFERROR(__xludf.DUMMYFUNCTION("""COMPUTED_VALUE"""),"P2_039")</f>
        <v>P2_039</v>
      </c>
      <c r="I976" s="1" t="str">
        <f ca="1">IFERROR(__xludf.DUMMYFUNCTION("""COMPUTED_VALUE"""),"Barry")</f>
        <v>Barry</v>
      </c>
    </row>
    <row r="977" spans="1:9" ht="12.7" x14ac:dyDescent="0.4">
      <c r="A977" s="2">
        <f ca="1">IFERROR(__xludf.DUMMYFUNCTION("""COMPUTED_VALUE"""),45705.616421875)</f>
        <v>45705.616421874998</v>
      </c>
      <c r="B977" s="1" t="str">
        <f ca="1">IFERROR(__xludf.DUMMYFUNCTION("""COMPUTED_VALUE"""),"返修")</f>
        <v>返修</v>
      </c>
      <c r="C977" s="1" t="str">
        <f ca="1">IFERROR(__xludf.DUMMYFUNCTION("""COMPUTED_VALUE"""),"ME0070000181")</f>
        <v>ME0070000181</v>
      </c>
      <c r="D977" s="1" t="str">
        <f ca="1">IFERROR(__xludf.DUMMYFUNCTION("""COMPUTED_VALUE"""),"All/RL")</f>
        <v>All/RL</v>
      </c>
      <c r="E977" s="1" t="str">
        <f ca="1">IFERROR(__xludf.DUMMYFUNCTION("""COMPUTED_VALUE"""),"p1/庫存")</f>
        <v>p1/庫存</v>
      </c>
      <c r="F977" s="1">
        <f ca="1">IFERROR(__xludf.DUMMYFUNCTION("""COMPUTED_VALUE"""),1)</f>
        <v>1</v>
      </c>
      <c r="G977" s="1"/>
      <c r="H977" s="1" t="str">
        <f ca="1">IFERROR(__xludf.DUMMYFUNCTION("""COMPUTED_VALUE"""),"P2_1003")</f>
        <v>P2_1003</v>
      </c>
      <c r="I977" s="1" t="str">
        <f ca="1">IFERROR(__xludf.DUMMYFUNCTION("""COMPUTED_VALUE"""),"Chiao Yu")</f>
        <v>Chiao Yu</v>
      </c>
    </row>
    <row r="978" spans="1:9" ht="12.7" x14ac:dyDescent="0.4">
      <c r="A978" s="2">
        <f ca="1">IFERROR(__xludf.DUMMYFUNCTION("""COMPUTED_VALUE"""),45706.7188402662)</f>
        <v>45706.7188402662</v>
      </c>
      <c r="B978" s="1" t="str">
        <f ca="1">IFERROR(__xludf.DUMMYFUNCTION("""COMPUTED_VALUE"""),"領料")</f>
        <v>領料</v>
      </c>
      <c r="C978" s="1" t="str">
        <f ca="1">IFERROR(__xludf.DUMMYFUNCTION("""COMPUTED_VALUE"""),"MM0260000258")</f>
        <v>MM0260000258</v>
      </c>
      <c r="D978" s="1" t="str">
        <f ca="1">IFERROR(__xludf.DUMMYFUNCTION("""COMPUTED_VALUE"""),"All/BA")</f>
        <v>All/BA</v>
      </c>
      <c r="E978" s="1" t="str">
        <f ca="1">IFERROR(__xludf.DUMMYFUNCTION("""COMPUTED_VALUE"""),"p2/庫存")</f>
        <v>p2/庫存</v>
      </c>
      <c r="F978" s="1">
        <f ca="1">IFERROR(__xludf.DUMMYFUNCTION("""COMPUTED_VALUE"""),10)</f>
        <v>10</v>
      </c>
      <c r="G978" s="1"/>
      <c r="H978" s="1" t="str">
        <f ca="1">IFERROR(__xludf.DUMMYFUNCTION("""COMPUTED_VALUE"""),"P2")</f>
        <v>P2</v>
      </c>
      <c r="I978" s="1" t="str">
        <f ca="1">IFERROR(__xludf.DUMMYFUNCTION("""COMPUTED_VALUE"""),"Chiao Yu")</f>
        <v>Chiao Yu</v>
      </c>
    </row>
    <row r="979" spans="1:9" ht="12.7" x14ac:dyDescent="0.4">
      <c r="A979" s="2">
        <f ca="1">IFERROR(__xludf.DUMMYFUNCTION("""COMPUTED_VALUE"""),45706.7192007523)</f>
        <v>45706.719200752297</v>
      </c>
      <c r="B979" s="1" t="str">
        <f ca="1">IFERROR(__xludf.DUMMYFUNCTION("""COMPUTED_VALUE"""),"領料")</f>
        <v>領料</v>
      </c>
      <c r="C979" s="1" t="str">
        <f ca="1">IFERROR(__xludf.DUMMYFUNCTION("""COMPUTED_VALUE"""),"MM0260000149")</f>
        <v>MM0260000149</v>
      </c>
      <c r="D979" s="1" t="str">
        <f ca="1">IFERROR(__xludf.DUMMYFUNCTION("""COMPUTED_VALUE"""),"All/BA")</f>
        <v>All/BA</v>
      </c>
      <c r="E979" s="1" t="str">
        <f ca="1">IFERROR(__xludf.DUMMYFUNCTION("""COMPUTED_VALUE"""),"p2/庫存")</f>
        <v>p2/庫存</v>
      </c>
      <c r="F979" s="1">
        <f ca="1">IFERROR(__xludf.DUMMYFUNCTION("""COMPUTED_VALUE"""),10)</f>
        <v>10</v>
      </c>
      <c r="G979" s="1"/>
      <c r="H979" s="1" t="str">
        <f ca="1">IFERROR(__xludf.DUMMYFUNCTION("""COMPUTED_VALUE"""),"P2")</f>
        <v>P2</v>
      </c>
      <c r="I979" s="1" t="str">
        <f ca="1">IFERROR(__xludf.DUMMYFUNCTION("""COMPUTED_VALUE"""),"Chiao Yu")</f>
        <v>Chiao Yu</v>
      </c>
    </row>
    <row r="980" spans="1:9" ht="12.7" x14ac:dyDescent="0.4">
      <c r="A980" s="2">
        <f ca="1">IFERROR(__xludf.DUMMYFUNCTION("""COMPUTED_VALUE"""),45706.7197262847)</f>
        <v>45706.719726284697</v>
      </c>
      <c r="B980" s="1" t="str">
        <f ca="1">IFERROR(__xludf.DUMMYFUNCTION("""COMPUTED_VALUE"""),"領料")</f>
        <v>領料</v>
      </c>
      <c r="C980" s="1" t="str">
        <f ca="1">IFERROR(__xludf.DUMMYFUNCTION("""COMPUTED_VALUE"""),"MM0260000147")</f>
        <v>MM0260000147</v>
      </c>
      <c r="D980" s="1" t="str">
        <f ca="1">IFERROR(__xludf.DUMMYFUNCTION("""COMPUTED_VALUE"""),"All/BA")</f>
        <v>All/BA</v>
      </c>
      <c r="E980" s="1" t="str">
        <f ca="1">IFERROR(__xludf.DUMMYFUNCTION("""COMPUTED_VALUE"""),"p2/庫存")</f>
        <v>p2/庫存</v>
      </c>
      <c r="F980" s="1">
        <f ca="1">IFERROR(__xludf.DUMMYFUNCTION("""COMPUTED_VALUE"""),10)</f>
        <v>10</v>
      </c>
      <c r="G980" s="1"/>
      <c r="H980" s="1" t="str">
        <f ca="1">IFERROR(__xludf.DUMMYFUNCTION("""COMPUTED_VALUE"""),"P2")</f>
        <v>P2</v>
      </c>
      <c r="I980" s="1" t="str">
        <f ca="1">IFERROR(__xludf.DUMMYFUNCTION("""COMPUTED_VALUE"""),"Chiao Yu")</f>
        <v>Chiao Yu</v>
      </c>
    </row>
    <row r="981" spans="1:9" ht="12.7" x14ac:dyDescent="0.4">
      <c r="A981" s="2">
        <f ca="1">IFERROR(__xludf.DUMMYFUNCTION("""COMPUTED_VALUE"""),45706.7211644097)</f>
        <v>45706.721164409697</v>
      </c>
      <c r="B981" s="1" t="str">
        <f ca="1">IFERROR(__xludf.DUMMYFUNCTION("""COMPUTED_VALUE"""),"庫存調整")</f>
        <v>庫存調整</v>
      </c>
      <c r="C981" s="1" t="str">
        <f ca="1">IFERROR(__xludf.DUMMYFUNCTION("""COMPUTED_VALUE"""),"A00100000708")</f>
        <v>A00100000708</v>
      </c>
      <c r="D981" s="1" t="str">
        <f ca="1">IFERROR(__xludf.DUMMYFUNCTION("""COMPUTED_VALUE"""),"All/BA")</f>
        <v>All/BA</v>
      </c>
      <c r="E981" s="1" t="str">
        <f ca="1">IFERROR(__xludf.DUMMYFUNCTION("""COMPUTED_VALUE"""),"p1/庫存")</f>
        <v>p1/庫存</v>
      </c>
      <c r="F981" s="1">
        <f ca="1">IFERROR(__xludf.DUMMYFUNCTION("""COMPUTED_VALUE"""),-2)</f>
        <v>-2</v>
      </c>
      <c r="G981" s="1"/>
      <c r="H981" s="1" t="str">
        <f ca="1">IFERROR(__xludf.DUMMYFUNCTION("""COMPUTED_VALUE"""),"P1")</f>
        <v>P1</v>
      </c>
      <c r="I981" s="1" t="str">
        <f ca="1">IFERROR(__xludf.DUMMYFUNCTION("""COMPUTED_VALUE"""),"Chiao Yu")</f>
        <v>Chiao Yu</v>
      </c>
    </row>
    <row r="982" spans="1:9" ht="12.7" x14ac:dyDescent="0.4">
      <c r="A982" s="2">
        <f ca="1">IFERROR(__xludf.DUMMYFUNCTION("""COMPUTED_VALUE"""),45706.7221075231)</f>
        <v>45706.722107523099</v>
      </c>
      <c r="B982" s="1" t="str">
        <f ca="1">IFERROR(__xludf.DUMMYFUNCTION("""COMPUTED_VALUE"""),"庫存調整")</f>
        <v>庫存調整</v>
      </c>
      <c r="C982" s="1" t="str">
        <f ca="1">IFERROR(__xludf.DUMMYFUNCTION("""COMPUTED_VALUE"""),"A00100000708")</f>
        <v>A00100000708</v>
      </c>
      <c r="D982" s="1" t="str">
        <f ca="1">IFERROR(__xludf.DUMMYFUNCTION("""COMPUTED_VALUE"""),"All/BA")</f>
        <v>All/BA</v>
      </c>
      <c r="E982" s="1" t="str">
        <f ca="1">IFERROR(__xludf.DUMMYFUNCTION("""COMPUTED_VALUE"""),"p2/庫存")</f>
        <v>p2/庫存</v>
      </c>
      <c r="F982" s="1">
        <f ca="1">IFERROR(__xludf.DUMMYFUNCTION("""COMPUTED_VALUE"""),2)</f>
        <v>2</v>
      </c>
      <c r="G982" s="1"/>
      <c r="H982" s="1" t="str">
        <f ca="1">IFERROR(__xludf.DUMMYFUNCTION("""COMPUTED_VALUE"""),"P2")</f>
        <v>P2</v>
      </c>
      <c r="I982" s="1" t="str">
        <f ca="1">IFERROR(__xludf.DUMMYFUNCTION("""COMPUTED_VALUE"""),"Chiao Yu")</f>
        <v>Chiao Yu</v>
      </c>
    </row>
    <row r="983" spans="1:9" ht="12.7" x14ac:dyDescent="0.4">
      <c r="A983" s="2">
        <f ca="1">IFERROR(__xludf.DUMMYFUNCTION("""COMPUTED_VALUE"""),45707.4284145949)</f>
        <v>45707.428414594899</v>
      </c>
      <c r="B983" s="1" t="str">
        <f ca="1">IFERROR(__xludf.DUMMYFUNCTION("""COMPUTED_VALUE"""),"返修")</f>
        <v>返修</v>
      </c>
      <c r="C983" s="1" t="str">
        <f ca="1">IFERROR(__xludf.DUMMYFUNCTION("""COMPUTED_VALUE"""),"A00100000731")</f>
        <v>A00100000731</v>
      </c>
      <c r="D983" s="1" t="str">
        <f ca="1">IFERROR(__xludf.DUMMYFUNCTION("""COMPUTED_VALUE"""),"All/BA")</f>
        <v>All/BA</v>
      </c>
      <c r="E983" s="1" t="str">
        <f ca="1">IFERROR(__xludf.DUMMYFUNCTION("""COMPUTED_VALUE"""),"p1/庫存")</f>
        <v>p1/庫存</v>
      </c>
      <c r="F983" s="1">
        <f ca="1">IFERROR(__xludf.DUMMYFUNCTION("""COMPUTED_VALUE"""),1)</f>
        <v>1</v>
      </c>
      <c r="G983" s="1" t="str">
        <f ca="1">IFERROR(__xludf.DUMMYFUNCTION("""COMPUTED_VALUE"""),"06F149")</f>
        <v>06F149</v>
      </c>
      <c r="H983" s="1" t="str">
        <f ca="1">IFERROR(__xludf.DUMMYFUNCTION("""COMPUTED_VALUE"""),"P1")</f>
        <v>P1</v>
      </c>
      <c r="I983" s="1" t="str">
        <f ca="1">IFERROR(__xludf.DUMMYFUNCTION("""COMPUTED_VALUE"""),"Chiao Yu")</f>
        <v>Chiao Yu</v>
      </c>
    </row>
    <row r="984" spans="1:9" ht="12.7" x14ac:dyDescent="0.4">
      <c r="A984" s="2">
        <f ca="1">IFERROR(__xludf.DUMMYFUNCTION("""COMPUTED_VALUE"""),45707.4728505324)</f>
        <v>45707.472850532402</v>
      </c>
      <c r="B984" s="1" t="str">
        <f ca="1">IFERROR(__xludf.DUMMYFUNCTION("""COMPUTED_VALUE"""),"領料")</f>
        <v>領料</v>
      </c>
      <c r="C984" s="1" t="str">
        <f ca="1">IFERROR(__xludf.DUMMYFUNCTION("""COMPUTED_VALUE"""),"MM0260000249")</f>
        <v>MM0260000249</v>
      </c>
      <c r="D984" s="1" t="str">
        <f ca="1">IFERROR(__xludf.DUMMYFUNCTION("""COMPUTED_VALUE"""),"All/RL")</f>
        <v>All/RL</v>
      </c>
      <c r="E984" s="1" t="str">
        <f ca="1">IFERROR(__xludf.DUMMYFUNCTION("""COMPUTED_VALUE"""),"p2/庫存")</f>
        <v>p2/庫存</v>
      </c>
      <c r="F984" s="1">
        <f ca="1">IFERROR(__xludf.DUMMYFUNCTION("""COMPUTED_VALUE"""),0)</f>
        <v>0</v>
      </c>
      <c r="G984" s="1"/>
      <c r="H984" s="1" t="str">
        <f ca="1">IFERROR(__xludf.DUMMYFUNCTION("""COMPUTED_VALUE"""),"P2")</f>
        <v>P2</v>
      </c>
      <c r="I984" s="1" t="str">
        <f ca="1">IFERROR(__xludf.DUMMYFUNCTION("""COMPUTED_VALUE"""),"Chiao Yu")</f>
        <v>Chiao Yu</v>
      </c>
    </row>
    <row r="985" spans="1:9" ht="12.7" x14ac:dyDescent="0.4">
      <c r="A985" s="2">
        <f ca="1">IFERROR(__xludf.DUMMYFUNCTION("""COMPUTED_VALUE"""),45707.6260291088)</f>
        <v>45707.626029108797</v>
      </c>
      <c r="B985" s="1" t="str">
        <f ca="1">IFERROR(__xludf.DUMMYFUNCTION("""COMPUTED_VALUE"""),"庫存調整")</f>
        <v>庫存調整</v>
      </c>
      <c r="C985" s="1" t="str">
        <f ca="1">IFERROR(__xludf.DUMMYFUNCTION("""COMPUTED_VALUE"""),"MM0260000249")</f>
        <v>MM0260000249</v>
      </c>
      <c r="D985" s="1" t="str">
        <f ca="1">IFERROR(__xludf.DUMMYFUNCTION("""COMPUTED_VALUE"""),"All/RL")</f>
        <v>All/RL</v>
      </c>
      <c r="E985" s="1" t="str">
        <f ca="1">IFERROR(__xludf.DUMMYFUNCTION("""COMPUTED_VALUE"""),"p2/庫存")</f>
        <v>p2/庫存</v>
      </c>
      <c r="F985" s="1">
        <f ca="1">IFERROR(__xludf.DUMMYFUNCTION("""COMPUTED_VALUE"""),1)</f>
        <v>1</v>
      </c>
      <c r="G985" s="1"/>
      <c r="H985" s="1" t="str">
        <f ca="1">IFERROR(__xludf.DUMMYFUNCTION("""COMPUTED_VALUE"""),"P2")</f>
        <v>P2</v>
      </c>
      <c r="I985" s="1" t="str">
        <f ca="1">IFERROR(__xludf.DUMMYFUNCTION("""COMPUTED_VALUE"""),"Chiao Yu")</f>
        <v>Chiao Yu</v>
      </c>
    </row>
    <row r="986" spans="1:9" ht="12.7" x14ac:dyDescent="0.4">
      <c r="A986" s="2">
        <f ca="1">IFERROR(__xludf.DUMMYFUNCTION("""COMPUTED_VALUE"""),45708.6109509374)</f>
        <v>45708.6109509374</v>
      </c>
      <c r="B986" s="1" t="str">
        <f ca="1">IFERROR(__xludf.DUMMYFUNCTION("""COMPUTED_VALUE"""),"庫存調整")</f>
        <v>庫存調整</v>
      </c>
      <c r="C986" s="1" t="str">
        <f ca="1">IFERROR(__xludf.DUMMYFUNCTION("""COMPUTED_VALUE"""),"ME0070000319")</f>
        <v>ME0070000319</v>
      </c>
      <c r="D986" s="1" t="str">
        <f ca="1">IFERROR(__xludf.DUMMYFUNCTION("""COMPUTED_VALUE"""),"All/RL")</f>
        <v>All/RL</v>
      </c>
      <c r="E986" s="1" t="str">
        <f ca="1">IFERROR(__xludf.DUMMYFUNCTION("""COMPUTED_VALUE"""),"p2/庫存")</f>
        <v>p2/庫存</v>
      </c>
      <c r="F986" s="1">
        <f ca="1">IFERROR(__xludf.DUMMYFUNCTION("""COMPUTED_VALUE"""),-1)</f>
        <v>-1</v>
      </c>
      <c r="G986" s="1"/>
      <c r="H986" s="1" t="str">
        <f ca="1">IFERROR(__xludf.DUMMYFUNCTION("""COMPUTED_VALUE"""),"P2")</f>
        <v>P2</v>
      </c>
      <c r="I986" s="1" t="str">
        <f ca="1">IFERROR(__xludf.DUMMYFUNCTION("""COMPUTED_VALUE"""),"Chiao Yu")</f>
        <v>Chiao Yu</v>
      </c>
    </row>
    <row r="987" spans="1:9" ht="12.7" x14ac:dyDescent="0.4">
      <c r="A987" s="2">
        <f ca="1">IFERROR(__xludf.DUMMYFUNCTION("""COMPUTED_VALUE"""),45708.6114846875)</f>
        <v>45708.611484687499</v>
      </c>
      <c r="B987" s="1" t="str">
        <f ca="1">IFERROR(__xludf.DUMMYFUNCTION("""COMPUTED_VALUE"""),"庫存調整")</f>
        <v>庫存調整</v>
      </c>
      <c r="C987" s="1" t="str">
        <f ca="1">IFERROR(__xludf.DUMMYFUNCTION("""COMPUTED_VALUE"""),"ME0070000319")</f>
        <v>ME0070000319</v>
      </c>
      <c r="D987" s="1" t="str">
        <f ca="1">IFERROR(__xludf.DUMMYFUNCTION("""COMPUTED_VALUE"""),"All/RL")</f>
        <v>All/RL</v>
      </c>
      <c r="E987" s="1" t="str">
        <f ca="1">IFERROR(__xludf.DUMMYFUNCTION("""COMPUTED_VALUE"""),"p1/庫存")</f>
        <v>p1/庫存</v>
      </c>
      <c r="F987" s="1">
        <f ca="1">IFERROR(__xludf.DUMMYFUNCTION("""COMPUTED_VALUE"""),1)</f>
        <v>1</v>
      </c>
      <c r="G987" s="1"/>
      <c r="H987" s="1" t="str">
        <f ca="1">IFERROR(__xludf.DUMMYFUNCTION("""COMPUTED_VALUE"""),"P1")</f>
        <v>P1</v>
      </c>
      <c r="I987" s="1" t="str">
        <f ca="1">IFERROR(__xludf.DUMMYFUNCTION("""COMPUTED_VALUE"""),"Chiao Yu")</f>
        <v>Chiao Yu</v>
      </c>
    </row>
    <row r="988" spans="1:9" ht="12.7" x14ac:dyDescent="0.4">
      <c r="A988" s="2">
        <f ca="1">IFERROR(__xludf.DUMMYFUNCTION("""COMPUTED_VALUE"""),45708.6126173032)</f>
        <v>45708.612617303203</v>
      </c>
      <c r="B988" s="1" t="str">
        <f ca="1">IFERROR(__xludf.DUMMYFUNCTION("""COMPUTED_VALUE"""),"送修")</f>
        <v>送修</v>
      </c>
      <c r="C988" s="1" t="str">
        <f ca="1">IFERROR(__xludf.DUMMYFUNCTION("""COMPUTED_VALUE"""),"ME0160000073")</f>
        <v>ME0160000073</v>
      </c>
      <c r="D988" s="1" t="str">
        <f ca="1">IFERROR(__xludf.DUMMYFUNCTION("""COMPUTED_VALUE"""),"All/BA")</f>
        <v>All/BA</v>
      </c>
      <c r="E988" s="1" t="str">
        <f ca="1">IFERROR(__xludf.DUMMYFUNCTION("""COMPUTED_VALUE"""),"p1/庫存")</f>
        <v>p1/庫存</v>
      </c>
      <c r="F988" s="1">
        <f ca="1">IFERROR(__xludf.DUMMYFUNCTION("""COMPUTED_VALUE"""),1)</f>
        <v>1</v>
      </c>
      <c r="G988" s="1" t="str">
        <f ca="1">IFERROR(__xludf.DUMMYFUNCTION("""COMPUTED_VALUE"""),"B2204354")</f>
        <v>B2204354</v>
      </c>
      <c r="H988" s="1" t="str">
        <f ca="1">IFERROR(__xludf.DUMMYFUNCTION("""COMPUTED_VALUE"""),"P1_015")</f>
        <v>P1_015</v>
      </c>
      <c r="I988" s="1" t="str">
        <f ca="1">IFERROR(__xludf.DUMMYFUNCTION("""COMPUTED_VALUE"""),"Chiao Yu")</f>
        <v>Chiao Yu</v>
      </c>
    </row>
    <row r="989" spans="1:9" ht="12.7" x14ac:dyDescent="0.4">
      <c r="A989" s="2">
        <f ca="1">IFERROR(__xludf.DUMMYFUNCTION("""COMPUTED_VALUE"""),45708.6132086226)</f>
        <v>45708.613208622599</v>
      </c>
      <c r="B989" s="1" t="str">
        <f ca="1">IFERROR(__xludf.DUMMYFUNCTION("""COMPUTED_VALUE"""),"料件上線時間")</f>
        <v>料件上線時間</v>
      </c>
      <c r="C989" s="1" t="str">
        <f ca="1">IFERROR(__xludf.DUMMYFUNCTION("""COMPUTED_VALUE"""),"ME0160000073")</f>
        <v>ME0160000073</v>
      </c>
      <c r="D989" s="1" t="str">
        <f ca="1">IFERROR(__xludf.DUMMYFUNCTION("""COMPUTED_VALUE"""),"All/BA")</f>
        <v>All/BA</v>
      </c>
      <c r="E989" s="1" t="str">
        <f ca="1">IFERROR(__xludf.DUMMYFUNCTION("""COMPUTED_VALUE"""),"p1/庫存")</f>
        <v>p1/庫存</v>
      </c>
      <c r="F989" s="1">
        <f ca="1">IFERROR(__xludf.DUMMYFUNCTION("""COMPUTED_VALUE"""),1)</f>
        <v>1</v>
      </c>
      <c r="G989" s="1" t="str">
        <f ca="1">IFERROR(__xludf.DUMMYFUNCTION("""COMPUTED_VALUE"""),"B2206376　")</f>
        <v>B2206376　</v>
      </c>
      <c r="H989" s="1" t="str">
        <f ca="1">IFERROR(__xludf.DUMMYFUNCTION("""COMPUTED_VALUE"""),"P1_015")</f>
        <v>P1_015</v>
      </c>
      <c r="I989" s="1" t="str">
        <f ca="1">IFERROR(__xludf.DUMMYFUNCTION("""COMPUTED_VALUE"""),"Chiao Yu")</f>
        <v>Chiao Yu</v>
      </c>
    </row>
    <row r="990" spans="1:9" ht="12.7" x14ac:dyDescent="0.4">
      <c r="A990" s="2">
        <f ca="1">IFERROR(__xludf.DUMMYFUNCTION("""COMPUTED_VALUE"""),45712.5760992824)</f>
        <v>45712.5760992824</v>
      </c>
      <c r="B990" s="1" t="str">
        <f ca="1">IFERROR(__xludf.DUMMYFUNCTION("""COMPUTED_VALUE"""),"領料")</f>
        <v>領料</v>
      </c>
      <c r="C990" s="1" t="str">
        <f ca="1">IFERROR(__xludf.DUMMYFUNCTION("""COMPUTED_VALUE"""),"ME0270000789")</f>
        <v>ME0270000789</v>
      </c>
      <c r="D990" s="1" t="str">
        <f ca="1">IFERROR(__xludf.DUMMYFUNCTION("""COMPUTED_VALUE"""),"All/共用")</f>
        <v>All/共用</v>
      </c>
      <c r="E990" s="1" t="str">
        <f ca="1">IFERROR(__xludf.DUMMYFUNCTION("""COMPUTED_VALUE"""),"p2/庫存")</f>
        <v>p2/庫存</v>
      </c>
      <c r="F990" s="1">
        <f ca="1">IFERROR(__xludf.DUMMYFUNCTION("""COMPUTED_VALUE"""),5)</f>
        <v>5</v>
      </c>
      <c r="G990" s="1"/>
      <c r="H990" s="1" t="str">
        <f ca="1">IFERROR(__xludf.DUMMYFUNCTION("""COMPUTED_VALUE"""),"P2")</f>
        <v>P2</v>
      </c>
      <c r="I990" s="1" t="str">
        <f ca="1">IFERROR(__xludf.DUMMYFUNCTION("""COMPUTED_VALUE"""),"Chiao Yu")</f>
        <v>Chiao Yu</v>
      </c>
    </row>
    <row r="991" spans="1:9" ht="12.7" x14ac:dyDescent="0.4">
      <c r="A991" s="2">
        <f ca="1">IFERROR(__xludf.DUMMYFUNCTION("""COMPUTED_VALUE"""),45712.5767059837)</f>
        <v>45712.576705983702</v>
      </c>
      <c r="B991" s="1" t="str">
        <f ca="1">IFERROR(__xludf.DUMMYFUNCTION("""COMPUTED_VALUE"""),"領料")</f>
        <v>領料</v>
      </c>
      <c r="C991" s="1" t="str">
        <f ca="1">IFERROR(__xludf.DUMMYFUNCTION("""COMPUTED_VALUE"""),"ME0050000183")</f>
        <v>ME0050000183</v>
      </c>
      <c r="D991" s="1" t="str">
        <f ca="1">IFERROR(__xludf.DUMMYFUNCTION("""COMPUTED_VALUE"""),"All/共用")</f>
        <v>All/共用</v>
      </c>
      <c r="E991" s="1" t="str">
        <f ca="1">IFERROR(__xludf.DUMMYFUNCTION("""COMPUTED_VALUE"""),"p2/庫存")</f>
        <v>p2/庫存</v>
      </c>
      <c r="F991" s="1">
        <f ca="1">IFERROR(__xludf.DUMMYFUNCTION("""COMPUTED_VALUE"""),5)</f>
        <v>5</v>
      </c>
      <c r="G991" s="1"/>
      <c r="H991" s="1" t="str">
        <f ca="1">IFERROR(__xludf.DUMMYFUNCTION("""COMPUTED_VALUE"""),"P2")</f>
        <v>P2</v>
      </c>
      <c r="I991" s="1" t="str">
        <f ca="1">IFERROR(__xludf.DUMMYFUNCTION("""COMPUTED_VALUE"""),"Chiao Yu")</f>
        <v>Chiao Yu</v>
      </c>
    </row>
    <row r="992" spans="1:9" ht="12.7" x14ac:dyDescent="0.4">
      <c r="A992" s="2">
        <f ca="1">IFERROR(__xludf.DUMMYFUNCTION("""COMPUTED_VALUE"""),45712.7861533449)</f>
        <v>45712.786153344903</v>
      </c>
      <c r="B992" s="1" t="str">
        <f ca="1">IFERROR(__xludf.DUMMYFUNCTION("""COMPUTED_VALUE"""),"領料")</f>
        <v>領料</v>
      </c>
      <c r="C992" s="1" t="str">
        <f ca="1">IFERROR(__xludf.DUMMYFUNCTION("""COMPUTED_VALUE"""),"MM0260000157")</f>
        <v>MM0260000157</v>
      </c>
      <c r="D992" s="1" t="str">
        <f ca="1">IFERROR(__xludf.DUMMYFUNCTION("""COMPUTED_VALUE"""),"All/BA")</f>
        <v>All/BA</v>
      </c>
      <c r="E992" s="1" t="str">
        <f ca="1">IFERROR(__xludf.DUMMYFUNCTION("""COMPUTED_VALUE"""),"p2/庫存")</f>
        <v>p2/庫存</v>
      </c>
      <c r="F992" s="1">
        <f ca="1">IFERROR(__xludf.DUMMYFUNCTION("""COMPUTED_VALUE"""),2)</f>
        <v>2</v>
      </c>
      <c r="G992" s="1"/>
      <c r="H992" s="1" t="str">
        <f ca="1">IFERROR(__xludf.DUMMYFUNCTION("""COMPUTED_VALUE"""),"P2_039")</f>
        <v>P2_039</v>
      </c>
      <c r="I992" s="1" t="str">
        <f ca="1">IFERROR(__xludf.DUMMYFUNCTION("""COMPUTED_VALUE"""),"Chiao Yu")</f>
        <v>Chiao Yu</v>
      </c>
    </row>
    <row r="993" spans="1:9" ht="12.7" x14ac:dyDescent="0.4">
      <c r="A993" s="2">
        <f ca="1">IFERROR(__xludf.DUMMYFUNCTION("""COMPUTED_VALUE"""),45714.4047495833)</f>
        <v>45714.4047495833</v>
      </c>
      <c r="B993" s="1" t="str">
        <f ca="1">IFERROR(__xludf.DUMMYFUNCTION("""COMPUTED_VALUE"""),"送修")</f>
        <v>送修</v>
      </c>
      <c r="C993" s="1" t="str">
        <f ca="1">IFERROR(__xludf.DUMMYFUNCTION("""COMPUTED_VALUE"""),"A00100000731")</f>
        <v>A00100000731</v>
      </c>
      <c r="D993" s="1" t="str">
        <f ca="1">IFERROR(__xludf.DUMMYFUNCTION("""COMPUTED_VALUE"""),"All/BA")</f>
        <v>All/BA</v>
      </c>
      <c r="E993" s="1" t="str">
        <f ca="1">IFERROR(__xludf.DUMMYFUNCTION("""COMPUTED_VALUE"""),"p1/庫存")</f>
        <v>p1/庫存</v>
      </c>
      <c r="F993" s="1">
        <f ca="1">IFERROR(__xludf.DUMMYFUNCTION("""COMPUTED_VALUE"""),1)</f>
        <v>1</v>
      </c>
      <c r="G993" s="1" t="str">
        <f ca="1">IFERROR(__xludf.DUMMYFUNCTION("""COMPUTED_VALUE"""),"04F225")</f>
        <v>04F225</v>
      </c>
      <c r="H993" s="1" t="str">
        <f ca="1">IFERROR(__xludf.DUMMYFUNCTION("""COMPUTED_VALUE"""),"P1_003")</f>
        <v>P1_003</v>
      </c>
      <c r="I993" s="1" t="str">
        <f ca="1">IFERROR(__xludf.DUMMYFUNCTION("""COMPUTED_VALUE"""),"Chiao Yu")</f>
        <v>Chiao Yu</v>
      </c>
    </row>
    <row r="994" spans="1:9" ht="12.7" x14ac:dyDescent="0.4">
      <c r="A994" s="2">
        <f ca="1">IFERROR(__xludf.DUMMYFUNCTION("""COMPUTED_VALUE"""),45714.4054051041)</f>
        <v>45714.405405104102</v>
      </c>
      <c r="B994" s="1" t="str">
        <f ca="1">IFERROR(__xludf.DUMMYFUNCTION("""COMPUTED_VALUE"""),"料件上線時間")</f>
        <v>料件上線時間</v>
      </c>
      <c r="C994" s="1" t="str">
        <f ca="1">IFERROR(__xludf.DUMMYFUNCTION("""COMPUTED_VALUE"""),"A00100000731")</f>
        <v>A00100000731</v>
      </c>
      <c r="D994" s="1" t="str">
        <f ca="1">IFERROR(__xludf.DUMMYFUNCTION("""COMPUTED_VALUE"""),"All/BA")</f>
        <v>All/BA</v>
      </c>
      <c r="E994" s="1" t="str">
        <f ca="1">IFERROR(__xludf.DUMMYFUNCTION("""COMPUTED_VALUE"""),"p1/庫存")</f>
        <v>p1/庫存</v>
      </c>
      <c r="F994" s="1">
        <f ca="1">IFERROR(__xludf.DUMMYFUNCTION("""COMPUTED_VALUE"""),1)</f>
        <v>1</v>
      </c>
      <c r="G994" s="1" t="str">
        <f ca="1">IFERROR(__xludf.DUMMYFUNCTION("""COMPUTED_VALUE"""),"06F149")</f>
        <v>06F149</v>
      </c>
      <c r="H994" s="1" t="str">
        <f ca="1">IFERROR(__xludf.DUMMYFUNCTION("""COMPUTED_VALUE"""),"P1_003")</f>
        <v>P1_003</v>
      </c>
      <c r="I994" s="1" t="str">
        <f ca="1">IFERROR(__xludf.DUMMYFUNCTION("""COMPUTED_VALUE"""),"Chiao Yu")</f>
        <v>Chiao Yu</v>
      </c>
    </row>
    <row r="995" spans="1:9" ht="12.7" x14ac:dyDescent="0.4">
      <c r="A995" s="2">
        <f ca="1">IFERROR(__xludf.DUMMYFUNCTION("""COMPUTED_VALUE"""),45715.5830463541)</f>
        <v>45715.583046354099</v>
      </c>
      <c r="B995" s="1" t="str">
        <f ca="1">IFERROR(__xludf.DUMMYFUNCTION("""COMPUTED_VALUE"""),"進貨")</f>
        <v>進貨</v>
      </c>
      <c r="C995" s="1" t="str">
        <f ca="1">IFERROR(__xludf.DUMMYFUNCTION("""COMPUTED_VALUE"""),"MM0260000077")</f>
        <v>MM0260000077</v>
      </c>
      <c r="D995" s="1" t="str">
        <f ca="1">IFERROR(__xludf.DUMMYFUNCTION("""COMPUTED_VALUE"""),"All/BA")</f>
        <v>All/BA</v>
      </c>
      <c r="E995" s="1" t="str">
        <f ca="1">IFERROR(__xludf.DUMMYFUNCTION("""COMPUTED_VALUE"""),"p1/庫存")</f>
        <v>p1/庫存</v>
      </c>
      <c r="F995" s="1">
        <f ca="1">IFERROR(__xludf.DUMMYFUNCTION("""COMPUTED_VALUE"""),60)</f>
        <v>60</v>
      </c>
      <c r="G995" s="1"/>
      <c r="H995" s="1" t="str">
        <f ca="1">IFERROR(__xludf.DUMMYFUNCTION("""COMPUTED_VALUE"""),"P1")</f>
        <v>P1</v>
      </c>
      <c r="I995" s="1" t="str">
        <f ca="1">IFERROR(__xludf.DUMMYFUNCTION("""COMPUTED_VALUE"""),"Simon")</f>
        <v>Simon</v>
      </c>
    </row>
    <row r="996" spans="1:9" ht="12.7" x14ac:dyDescent="0.4">
      <c r="A996" s="2">
        <f ca="1">IFERROR(__xludf.DUMMYFUNCTION("""COMPUTED_VALUE"""),45715.5839024074)</f>
        <v>45715.583902407401</v>
      </c>
      <c r="B996" s="1" t="str">
        <f ca="1">IFERROR(__xludf.DUMMYFUNCTION("""COMPUTED_VALUE"""),"進貨")</f>
        <v>進貨</v>
      </c>
      <c r="C996" s="1" t="str">
        <f ca="1">IFERROR(__xludf.DUMMYFUNCTION("""COMPUTED_VALUE"""),"A00700000837")</f>
        <v>A00700000837</v>
      </c>
      <c r="D996" s="1" t="str">
        <f ca="1">IFERROR(__xludf.DUMMYFUNCTION("""COMPUTED_VALUE"""),"All/COLOR")</f>
        <v>All/COLOR</v>
      </c>
      <c r="E996" s="1" t="str">
        <f ca="1">IFERROR(__xludf.DUMMYFUNCTION("""COMPUTED_VALUE"""),"p1/庫存")</f>
        <v>p1/庫存</v>
      </c>
      <c r="F996" s="1">
        <f ca="1">IFERROR(__xludf.DUMMYFUNCTION("""COMPUTED_VALUE"""),3)</f>
        <v>3</v>
      </c>
      <c r="G996" s="1"/>
      <c r="H996" s="1" t="str">
        <f ca="1">IFERROR(__xludf.DUMMYFUNCTION("""COMPUTED_VALUE"""),"P1")</f>
        <v>P1</v>
      </c>
      <c r="I996" s="1" t="str">
        <f ca="1">IFERROR(__xludf.DUMMYFUNCTION("""COMPUTED_VALUE"""),"Simon")</f>
        <v>Simon</v>
      </c>
    </row>
    <row r="997" spans="1:9" ht="12.7" x14ac:dyDescent="0.4">
      <c r="A997" s="2">
        <f ca="1">IFERROR(__xludf.DUMMYFUNCTION("""COMPUTED_VALUE"""),45715.587876331)</f>
        <v>45715.587876331003</v>
      </c>
      <c r="B997" s="1" t="str">
        <f ca="1">IFERROR(__xludf.DUMMYFUNCTION("""COMPUTED_VALUE"""),"進貨")</f>
        <v>進貨</v>
      </c>
      <c r="C997" s="1" t="str">
        <f ca="1">IFERROR(__xludf.DUMMYFUNCTION("""COMPUTED_VALUE"""),"ME0120000270")</f>
        <v>ME0120000270</v>
      </c>
      <c r="D997" s="1" t="str">
        <f ca="1">IFERROR(__xludf.DUMMYFUNCTION("""COMPUTED_VALUE"""),"All/共用")</f>
        <v>All/共用</v>
      </c>
      <c r="E997" s="1" t="str">
        <f ca="1">IFERROR(__xludf.DUMMYFUNCTION("""COMPUTED_VALUE"""),"p1/庫存")</f>
        <v>p1/庫存</v>
      </c>
      <c r="F997" s="1">
        <f ca="1">IFERROR(__xludf.DUMMYFUNCTION("""COMPUTED_VALUE"""),1)</f>
        <v>1</v>
      </c>
      <c r="G997" s="1"/>
      <c r="H997" s="1" t="str">
        <f ca="1">IFERROR(__xludf.DUMMYFUNCTION("""COMPUTED_VALUE"""),"P1")</f>
        <v>P1</v>
      </c>
      <c r="I997" s="1" t="str">
        <f ca="1">IFERROR(__xludf.DUMMYFUNCTION("""COMPUTED_VALUE"""),"Simon")</f>
        <v>Simon</v>
      </c>
    </row>
    <row r="998" spans="1:9" ht="12.7" x14ac:dyDescent="0.4">
      <c r="A998" s="2">
        <f ca="1">IFERROR(__xludf.DUMMYFUNCTION("""COMPUTED_VALUE"""),45715.5884210879)</f>
        <v>45715.588421087901</v>
      </c>
      <c r="B998" s="1" t="str">
        <f ca="1">IFERROR(__xludf.DUMMYFUNCTION("""COMPUTED_VALUE"""),"進貨")</f>
        <v>進貨</v>
      </c>
      <c r="C998" s="1" t="str">
        <f ca="1">IFERROR(__xludf.DUMMYFUNCTION("""COMPUTED_VALUE"""),"ME0120000270")</f>
        <v>ME0120000270</v>
      </c>
      <c r="D998" s="1" t="str">
        <f ca="1">IFERROR(__xludf.DUMMYFUNCTION("""COMPUTED_VALUE"""),"All/共用")</f>
        <v>All/共用</v>
      </c>
      <c r="E998" s="1" t="str">
        <f ca="1">IFERROR(__xludf.DUMMYFUNCTION("""COMPUTED_VALUE"""),"p2/庫存")</f>
        <v>p2/庫存</v>
      </c>
      <c r="F998" s="1">
        <f ca="1">IFERROR(__xludf.DUMMYFUNCTION("""COMPUTED_VALUE"""),1)</f>
        <v>1</v>
      </c>
      <c r="G998" s="1"/>
      <c r="H998" s="1" t="str">
        <f ca="1">IFERROR(__xludf.DUMMYFUNCTION("""COMPUTED_VALUE"""),"P2")</f>
        <v>P2</v>
      </c>
      <c r="I998" s="1" t="str">
        <f ca="1">IFERROR(__xludf.DUMMYFUNCTION("""COMPUTED_VALUE"""),"Simon")</f>
        <v>Simon</v>
      </c>
    </row>
    <row r="999" spans="1:9" ht="12.7" x14ac:dyDescent="0.4">
      <c r="A999" s="2">
        <f ca="1">IFERROR(__xludf.DUMMYFUNCTION("""COMPUTED_VALUE"""),45715.5908602662)</f>
        <v>45715.590860266202</v>
      </c>
      <c r="B999" s="1" t="str">
        <f ca="1">IFERROR(__xludf.DUMMYFUNCTION("""COMPUTED_VALUE"""),"進貨")</f>
        <v>進貨</v>
      </c>
      <c r="C999" s="1" t="str">
        <f ca="1">IFERROR(__xludf.DUMMYFUNCTION("""COMPUTED_VALUE"""),"A01100000092")</f>
        <v>A01100000092</v>
      </c>
      <c r="D999" s="1" t="str">
        <f ca="1">IFERROR(__xludf.DUMMYFUNCTION("""COMPUTED_VALUE"""),"All/SB")</f>
        <v>All/SB</v>
      </c>
      <c r="E999" s="1" t="str">
        <f ca="1">IFERROR(__xludf.DUMMYFUNCTION("""COMPUTED_VALUE"""),"p1/庫存")</f>
        <v>p1/庫存</v>
      </c>
      <c r="F999" s="1">
        <f ca="1">IFERROR(__xludf.DUMMYFUNCTION("""COMPUTED_VALUE"""),1)</f>
        <v>1</v>
      </c>
      <c r="G999" s="1"/>
      <c r="H999" s="1" t="str">
        <f ca="1">IFERROR(__xludf.DUMMYFUNCTION("""COMPUTED_VALUE"""),"P1")</f>
        <v>P1</v>
      </c>
      <c r="I999" s="1" t="str">
        <f ca="1">IFERROR(__xludf.DUMMYFUNCTION("""COMPUTED_VALUE"""),"Simon")</f>
        <v>Simon</v>
      </c>
    </row>
    <row r="1000" spans="1:9" ht="12.7" x14ac:dyDescent="0.4">
      <c r="A1000" s="2">
        <f ca="1">IFERROR(__xludf.DUMMYFUNCTION("""COMPUTED_VALUE"""),45715.5913627893)</f>
        <v>45715.591362789302</v>
      </c>
      <c r="B1000" s="1" t="str">
        <f ca="1">IFERROR(__xludf.DUMMYFUNCTION("""COMPUTED_VALUE"""),"進貨")</f>
        <v>進貨</v>
      </c>
      <c r="C1000" s="1" t="str">
        <f ca="1">IFERROR(__xludf.DUMMYFUNCTION("""COMPUTED_VALUE"""),"A01100000092")</f>
        <v>A01100000092</v>
      </c>
      <c r="D1000" s="1" t="str">
        <f ca="1">IFERROR(__xludf.DUMMYFUNCTION("""COMPUTED_VALUE"""),"All/SB")</f>
        <v>All/SB</v>
      </c>
      <c r="E1000" s="1" t="str">
        <f ca="1">IFERROR(__xludf.DUMMYFUNCTION("""COMPUTED_VALUE"""),"p2/庫存")</f>
        <v>p2/庫存</v>
      </c>
      <c r="F1000" s="1">
        <f ca="1">IFERROR(__xludf.DUMMYFUNCTION("""COMPUTED_VALUE"""),1)</f>
        <v>1</v>
      </c>
      <c r="G1000" s="1"/>
      <c r="H1000" s="1" t="str">
        <f ca="1">IFERROR(__xludf.DUMMYFUNCTION("""COMPUTED_VALUE"""),"P2")</f>
        <v>P2</v>
      </c>
      <c r="I1000" s="1" t="str">
        <f ca="1">IFERROR(__xludf.DUMMYFUNCTION("""COMPUTED_VALUE"""),"Simon")</f>
        <v>Simon</v>
      </c>
    </row>
    <row r="1001" spans="1:9" ht="12.7" x14ac:dyDescent="0.4">
      <c r="A1001" s="2">
        <f ca="1">IFERROR(__xludf.DUMMYFUNCTION("""COMPUTED_VALUE"""),45715.5924254282)</f>
        <v>45715.5924254282</v>
      </c>
      <c r="B1001" s="1" t="str">
        <f ca="1">IFERROR(__xludf.DUMMYFUNCTION("""COMPUTED_VALUE"""),"進貨")</f>
        <v>進貨</v>
      </c>
      <c r="C1001" s="1" t="str">
        <f ca="1">IFERROR(__xludf.DUMMYFUNCTION("""COMPUTED_VALUE"""),"ME0120000085")</f>
        <v>ME0120000085</v>
      </c>
      <c r="D1001" s="1" t="str">
        <f ca="1">IFERROR(__xludf.DUMMYFUNCTION("""COMPUTED_VALUE"""),"All/BA")</f>
        <v>All/BA</v>
      </c>
      <c r="E1001" s="1" t="str">
        <f ca="1">IFERROR(__xludf.DUMMYFUNCTION("""COMPUTED_VALUE"""),"p2/庫存")</f>
        <v>p2/庫存</v>
      </c>
      <c r="F1001" s="1">
        <f ca="1">IFERROR(__xludf.DUMMYFUNCTION("""COMPUTED_VALUE"""),80)</f>
        <v>80</v>
      </c>
      <c r="G1001" s="1"/>
      <c r="H1001" s="1" t="str">
        <f ca="1">IFERROR(__xludf.DUMMYFUNCTION("""COMPUTED_VALUE"""),"P2")</f>
        <v>P2</v>
      </c>
      <c r="I1001" s="1" t="str">
        <f ca="1">IFERROR(__xludf.DUMMYFUNCTION("""COMPUTED_VALUE"""),"Simon")</f>
        <v>Simon</v>
      </c>
    </row>
    <row r="1002" spans="1:9" ht="12.7" x14ac:dyDescent="0.4">
      <c r="A1002" s="2">
        <f ca="1">IFERROR(__xludf.DUMMYFUNCTION("""COMPUTED_VALUE"""),45715.5974171643)</f>
        <v>45715.597417164303</v>
      </c>
      <c r="B1002" s="1" t="str">
        <f ca="1">IFERROR(__xludf.DUMMYFUNCTION("""COMPUTED_VALUE"""),"進貨")</f>
        <v>進貨</v>
      </c>
      <c r="C1002" s="1" t="str">
        <f ca="1">IFERROR(__xludf.DUMMYFUNCTION("""COMPUTED_VALUE"""),"A00700000352")</f>
        <v>A00700000352</v>
      </c>
      <c r="D1002" s="1" t="str">
        <f ca="1">IFERROR(__xludf.DUMMYFUNCTION("""COMPUTED_VALUE"""),"All/RL")</f>
        <v>All/RL</v>
      </c>
      <c r="E1002" s="1" t="str">
        <f ca="1">IFERROR(__xludf.DUMMYFUNCTION("""COMPUTED_VALUE"""),"p1/庫存")</f>
        <v>p1/庫存</v>
      </c>
      <c r="F1002" s="1">
        <f ca="1">IFERROR(__xludf.DUMMYFUNCTION("""COMPUTED_VALUE"""),1)</f>
        <v>1</v>
      </c>
      <c r="G1002" s="1"/>
      <c r="H1002" s="1" t="str">
        <f ca="1">IFERROR(__xludf.DUMMYFUNCTION("""COMPUTED_VALUE"""),"P1")</f>
        <v>P1</v>
      </c>
      <c r="I1002" s="1" t="str">
        <f ca="1">IFERROR(__xludf.DUMMYFUNCTION("""COMPUTED_VALUE"""),"Simon")</f>
        <v>Simon</v>
      </c>
    </row>
    <row r="1003" spans="1:9" ht="12.7" x14ac:dyDescent="0.4">
      <c r="A1003" s="2">
        <f ca="1">IFERROR(__xludf.DUMMYFUNCTION("""COMPUTED_VALUE"""),45715.6239235069)</f>
        <v>45715.623923506901</v>
      </c>
      <c r="B1003" s="1" t="str">
        <f ca="1">IFERROR(__xludf.DUMMYFUNCTION("""COMPUTED_VALUE"""),"領料")</f>
        <v>領料</v>
      </c>
      <c r="C1003" s="1" t="str">
        <f ca="1">IFERROR(__xludf.DUMMYFUNCTION("""COMPUTED_VALUE"""),"AGT000000009")</f>
        <v>AGT000000009</v>
      </c>
      <c r="D1003" s="1" t="str">
        <f ca="1">IFERROR(__xludf.DUMMYFUNCTION("""COMPUTED_VALUE"""),"All/共用")</f>
        <v>All/共用</v>
      </c>
      <c r="E1003" s="1" t="str">
        <f ca="1">IFERROR(__xludf.DUMMYFUNCTION("""COMPUTED_VALUE"""),"p2/庫存")</f>
        <v>p2/庫存</v>
      </c>
      <c r="F1003" s="1">
        <f ca="1">IFERROR(__xludf.DUMMYFUNCTION("""COMPUTED_VALUE"""),10)</f>
        <v>10</v>
      </c>
      <c r="G1003" s="1"/>
      <c r="H1003" s="1" t="str">
        <f ca="1">IFERROR(__xludf.DUMMYFUNCTION("""COMPUTED_VALUE"""),"P2")</f>
        <v>P2</v>
      </c>
      <c r="I1003" s="1" t="str">
        <f ca="1">IFERROR(__xludf.DUMMYFUNCTION("""COMPUTED_VALUE"""),"Barry")</f>
        <v>Barry</v>
      </c>
    </row>
    <row r="1004" spans="1:9" ht="12.7" x14ac:dyDescent="0.4">
      <c r="A1004" s="2">
        <f ca="1">IFERROR(__xludf.DUMMYFUNCTION("""COMPUTED_VALUE"""),45715.6246662615)</f>
        <v>45715.624666261501</v>
      </c>
      <c r="B1004" s="1" t="str">
        <f ca="1">IFERROR(__xludf.DUMMYFUNCTION("""COMPUTED_VALUE"""),"領料")</f>
        <v>領料</v>
      </c>
      <c r="C1004" s="1" t="str">
        <f ca="1">IFERROR(__xludf.DUMMYFUNCTION("""COMPUTED_VALUE"""),"AGT000000010")</f>
        <v>AGT000000010</v>
      </c>
      <c r="D1004" s="1" t="str">
        <f ca="1">IFERROR(__xludf.DUMMYFUNCTION("""COMPUTED_VALUE"""),"All/共用")</f>
        <v>All/共用</v>
      </c>
      <c r="E1004" s="1" t="str">
        <f ca="1">IFERROR(__xludf.DUMMYFUNCTION("""COMPUTED_VALUE"""),"p2/庫存")</f>
        <v>p2/庫存</v>
      </c>
      <c r="F1004" s="1">
        <f ca="1">IFERROR(__xludf.DUMMYFUNCTION("""COMPUTED_VALUE"""),10)</f>
        <v>10</v>
      </c>
      <c r="G1004" s="1"/>
      <c r="H1004" s="1" t="str">
        <f ca="1">IFERROR(__xludf.DUMMYFUNCTION("""COMPUTED_VALUE"""),"P2")</f>
        <v>P2</v>
      </c>
      <c r="I1004" s="1" t="str">
        <f ca="1">IFERROR(__xludf.DUMMYFUNCTION("""COMPUTED_VALUE"""),"Barry")</f>
        <v>Barry</v>
      </c>
    </row>
    <row r="1005" spans="1:9" ht="12.7" x14ac:dyDescent="0.4">
      <c r="A1005" s="2">
        <f ca="1">IFERROR(__xludf.DUMMYFUNCTION("""COMPUTED_VALUE"""),45715.7177785763)</f>
        <v>45715.717778576298</v>
      </c>
      <c r="B1005" s="1" t="str">
        <f ca="1">IFERROR(__xludf.DUMMYFUNCTION("""COMPUTED_VALUE"""),"進貨")</f>
        <v>進貨</v>
      </c>
      <c r="C1005" s="1" t="str">
        <f ca="1">IFERROR(__xludf.DUMMYFUNCTION("""COMPUTED_VALUE"""),"MM0220000040")</f>
        <v>MM0220000040</v>
      </c>
      <c r="D1005" s="1" t="str">
        <f ca="1">IFERROR(__xludf.DUMMYFUNCTION("""COMPUTED_VALUE"""),"All/共用")</f>
        <v>All/共用</v>
      </c>
      <c r="E1005" s="1" t="str">
        <f ca="1">IFERROR(__xludf.DUMMYFUNCTION("""COMPUTED_VALUE"""),"p2/庫存")</f>
        <v>p2/庫存</v>
      </c>
      <c r="F1005" s="1">
        <f ca="1">IFERROR(__xludf.DUMMYFUNCTION("""COMPUTED_VALUE"""),2)</f>
        <v>2</v>
      </c>
      <c r="G1005" s="1"/>
      <c r="H1005" s="1" t="str">
        <f ca="1">IFERROR(__xludf.DUMMYFUNCTION("""COMPUTED_VALUE"""),"P2")</f>
        <v>P2</v>
      </c>
      <c r="I1005" s="1" t="str">
        <f ca="1">IFERROR(__xludf.DUMMYFUNCTION("""COMPUTED_VALUE"""),"Simon")</f>
        <v>Simon</v>
      </c>
    </row>
    <row r="1006" spans="1:9" ht="12.7" x14ac:dyDescent="0.4">
      <c r="A1006" s="2">
        <f ca="1">IFERROR(__xludf.DUMMYFUNCTION("""COMPUTED_VALUE"""),45715.7295608449)</f>
        <v>45715.729560844899</v>
      </c>
      <c r="B1006" s="1" t="str">
        <f ca="1">IFERROR(__xludf.DUMMYFUNCTION("""COMPUTED_VALUE"""),"進貨")</f>
        <v>進貨</v>
      </c>
      <c r="C1006" s="1" t="str">
        <f ca="1">IFERROR(__xludf.DUMMYFUNCTION("""COMPUTED_VALUE"""),"ME0060000277")</f>
        <v>ME0060000277</v>
      </c>
      <c r="D1006" s="1" t="str">
        <f ca="1">IFERROR(__xludf.DUMMYFUNCTION("""COMPUTED_VALUE"""),"All/共用")</f>
        <v>All/共用</v>
      </c>
      <c r="E1006" s="1" t="str">
        <f ca="1">IFERROR(__xludf.DUMMYFUNCTION("""COMPUTED_VALUE"""),"p2/庫存")</f>
        <v>p2/庫存</v>
      </c>
      <c r="F1006" s="1">
        <f ca="1">IFERROR(__xludf.DUMMYFUNCTION("""COMPUTED_VALUE"""),1)</f>
        <v>1</v>
      </c>
      <c r="G1006" s="1"/>
      <c r="H1006" s="1" t="str">
        <f ca="1">IFERROR(__xludf.DUMMYFUNCTION("""COMPUTED_VALUE"""),"P2")</f>
        <v>P2</v>
      </c>
      <c r="I1006" s="1" t="str">
        <f ca="1">IFERROR(__xludf.DUMMYFUNCTION("""COMPUTED_VALUE"""),"Simon")</f>
        <v>Simon</v>
      </c>
    </row>
    <row r="1007" spans="1:9" ht="12.7" x14ac:dyDescent="0.4">
      <c r="A1007" s="2">
        <f ca="1">IFERROR(__xludf.DUMMYFUNCTION("""COMPUTED_VALUE"""),45715.8258257291)</f>
        <v>45715.825825729102</v>
      </c>
      <c r="B1007" s="1" t="str">
        <f ca="1">IFERROR(__xludf.DUMMYFUNCTION("""COMPUTED_VALUE"""),"進貨")</f>
        <v>進貨</v>
      </c>
      <c r="C1007" s="1" t="str">
        <f ca="1">IFERROR(__xludf.DUMMYFUNCTION("""COMPUTED_VALUE"""),"A01100000092")</f>
        <v>A01100000092</v>
      </c>
      <c r="D1007" s="1" t="str">
        <f ca="1">IFERROR(__xludf.DUMMYFUNCTION("""COMPUTED_VALUE"""),"All/SB")</f>
        <v>All/SB</v>
      </c>
      <c r="E1007" s="1" t="str">
        <f ca="1">IFERROR(__xludf.DUMMYFUNCTION("""COMPUTED_VALUE"""),"p2/庫存")</f>
        <v>p2/庫存</v>
      </c>
      <c r="F1007" s="1">
        <f ca="1">IFERROR(__xludf.DUMMYFUNCTION("""COMPUTED_VALUE"""),1)</f>
        <v>1</v>
      </c>
      <c r="G1007" s="1"/>
      <c r="H1007" s="1" t="str">
        <f ca="1">IFERROR(__xludf.DUMMYFUNCTION("""COMPUTED_VALUE"""),"P2")</f>
        <v>P2</v>
      </c>
      <c r="I1007" s="1" t="str">
        <f ca="1">IFERROR(__xludf.DUMMYFUNCTION("""COMPUTED_VALUE"""),"Simon")</f>
        <v>Simon</v>
      </c>
    </row>
    <row r="1008" spans="1:9" ht="12.7" x14ac:dyDescent="0.4">
      <c r="A1008" s="2">
        <f ca="1">IFERROR(__xludf.DUMMYFUNCTION("""COMPUTED_VALUE"""),45716.3562050347)</f>
        <v>45716.356205034703</v>
      </c>
      <c r="B1008" s="1" t="str">
        <f ca="1">IFERROR(__xludf.DUMMYFUNCTION("""COMPUTED_VALUE"""),"庫存調整")</f>
        <v>庫存調整</v>
      </c>
      <c r="C1008" s="1" t="str">
        <f ca="1">IFERROR(__xludf.DUMMYFUNCTION("""COMPUTED_VALUE"""),"A00700000837")</f>
        <v>A00700000837</v>
      </c>
      <c r="D1008" s="1" t="str">
        <f ca="1">IFERROR(__xludf.DUMMYFUNCTION("""COMPUTED_VALUE"""),"All/COLOR")</f>
        <v>All/COLOR</v>
      </c>
      <c r="E1008" s="1" t="str">
        <f ca="1">IFERROR(__xludf.DUMMYFUNCTION("""COMPUTED_VALUE"""),"p2/庫存")</f>
        <v>p2/庫存</v>
      </c>
      <c r="F1008" s="1">
        <f ca="1">IFERROR(__xludf.DUMMYFUNCTION("""COMPUTED_VALUE"""),-1)</f>
        <v>-1</v>
      </c>
      <c r="G1008" s="1"/>
      <c r="H1008" s="1" t="str">
        <f ca="1">IFERROR(__xludf.DUMMYFUNCTION("""COMPUTED_VALUE"""),"P2")</f>
        <v>P2</v>
      </c>
      <c r="I1008" s="1" t="str">
        <f ca="1">IFERROR(__xludf.DUMMYFUNCTION("""COMPUTED_VALUE"""),"Simon")</f>
        <v>Simon</v>
      </c>
    </row>
    <row r="1009" spans="1:9" ht="12.7" x14ac:dyDescent="0.4">
      <c r="A1009" s="2">
        <f ca="1">IFERROR(__xludf.DUMMYFUNCTION("""COMPUTED_VALUE"""),45718.5530173032)</f>
        <v>45718.553017303202</v>
      </c>
      <c r="B1009" s="1" t="str">
        <f ca="1">IFERROR(__xludf.DUMMYFUNCTION("""COMPUTED_VALUE"""),"送修")</f>
        <v>送修</v>
      </c>
      <c r="C1009" s="1" t="str">
        <f ca="1">IFERROR(__xludf.DUMMYFUNCTION("""COMPUTED_VALUE"""),"ME0270001323")</f>
        <v>ME0270001323</v>
      </c>
      <c r="D1009" s="1" t="str">
        <f ca="1">IFERROR(__xludf.DUMMYFUNCTION("""COMPUTED_VALUE"""),"All/COLOR")</f>
        <v>All/COLOR</v>
      </c>
      <c r="E1009" s="1" t="str">
        <f ca="1">IFERROR(__xludf.DUMMYFUNCTION("""COMPUTED_VALUE"""),"p2/庫存")</f>
        <v>p2/庫存</v>
      </c>
      <c r="F1009" s="1">
        <f ca="1">IFERROR(__xludf.DUMMYFUNCTION("""COMPUTED_VALUE"""),1)</f>
        <v>1</v>
      </c>
      <c r="G1009" s="1"/>
      <c r="H1009" s="1" t="str">
        <f ca="1">IFERROR(__xludf.DUMMYFUNCTION("""COMPUTED_VALUE"""),"P2_3003")</f>
        <v>P2_3003</v>
      </c>
      <c r="I1009" s="1" t="str">
        <f ca="1">IFERROR(__xludf.DUMMYFUNCTION("""COMPUTED_VALUE"""),"Chiao Yu")</f>
        <v>Chiao Yu</v>
      </c>
    </row>
    <row r="1010" spans="1:9" ht="12.7" x14ac:dyDescent="0.4">
      <c r="A1010" s="2">
        <f ca="1">IFERROR(__xludf.DUMMYFUNCTION("""COMPUTED_VALUE"""),45718.5536410763)</f>
        <v>45718.553641076302</v>
      </c>
      <c r="B1010" s="1" t="str">
        <f ca="1">IFERROR(__xludf.DUMMYFUNCTION("""COMPUTED_VALUE"""),"送修")</f>
        <v>送修</v>
      </c>
      <c r="C1010" s="1" t="str">
        <f ca="1">IFERROR(__xludf.DUMMYFUNCTION("""COMPUTED_VALUE"""),"ME0270001324")</f>
        <v>ME0270001324</v>
      </c>
      <c r="D1010" s="1" t="str">
        <f ca="1">IFERROR(__xludf.DUMMYFUNCTION("""COMPUTED_VALUE"""),"All/COLOR")</f>
        <v>All/COLOR</v>
      </c>
      <c r="E1010" s="1" t="str">
        <f ca="1">IFERROR(__xludf.DUMMYFUNCTION("""COMPUTED_VALUE"""),"p2/庫存")</f>
        <v>p2/庫存</v>
      </c>
      <c r="F1010" s="1">
        <f ca="1">IFERROR(__xludf.DUMMYFUNCTION("""COMPUTED_VALUE"""),1)</f>
        <v>1</v>
      </c>
      <c r="G1010" s="1"/>
      <c r="H1010" s="1" t="str">
        <f ca="1">IFERROR(__xludf.DUMMYFUNCTION("""COMPUTED_VALUE"""),"P2_3003")</f>
        <v>P2_3003</v>
      </c>
      <c r="I1010" s="1" t="str">
        <f ca="1">IFERROR(__xludf.DUMMYFUNCTION("""COMPUTED_VALUE"""),"Chiao Yu")</f>
        <v>Chiao Yu</v>
      </c>
    </row>
    <row r="1011" spans="1:9" ht="12.7" x14ac:dyDescent="0.4">
      <c r="A1011" s="2">
        <f ca="1">IFERROR(__xludf.DUMMYFUNCTION("""COMPUTED_VALUE"""),45718.5543810416)</f>
        <v>45718.554381041598</v>
      </c>
      <c r="B1011" s="1" t="str">
        <f ca="1">IFERROR(__xludf.DUMMYFUNCTION("""COMPUTED_VALUE"""),"送修")</f>
        <v>送修</v>
      </c>
      <c r="C1011" s="1" t="str">
        <f ca="1">IFERROR(__xludf.DUMMYFUNCTION("""COMPUTED_VALUE"""),"ME0100000079")</f>
        <v>ME0100000079</v>
      </c>
      <c r="D1011" s="1" t="str">
        <f ca="1">IFERROR(__xludf.DUMMYFUNCTION("""COMPUTED_VALUE"""),"All/COLOR")</f>
        <v>All/COLOR</v>
      </c>
      <c r="E1011" s="1" t="str">
        <f ca="1">IFERROR(__xludf.DUMMYFUNCTION("""COMPUTED_VALUE"""),"p2/庫存")</f>
        <v>p2/庫存</v>
      </c>
      <c r="F1011" s="1">
        <f ca="1">IFERROR(__xludf.DUMMYFUNCTION("""COMPUTED_VALUE"""),1)</f>
        <v>1</v>
      </c>
      <c r="G1011" s="1"/>
      <c r="H1011" s="1" t="str">
        <f ca="1">IFERROR(__xludf.DUMMYFUNCTION("""COMPUTED_VALUE"""),"P2")</f>
        <v>P2</v>
      </c>
      <c r="I1011" s="1" t="str">
        <f ca="1">IFERROR(__xludf.DUMMYFUNCTION("""COMPUTED_VALUE"""),"Chiao Yu")</f>
        <v>Chiao Yu</v>
      </c>
    </row>
    <row r="1012" spans="1:9" ht="12.7" x14ac:dyDescent="0.4">
      <c r="A1012" s="2">
        <f ca="1">IFERROR(__xludf.DUMMYFUNCTION("""COMPUTED_VALUE"""),45721.6844072106)</f>
        <v>45721.684407210603</v>
      </c>
      <c r="B1012" s="1" t="str">
        <f ca="1">IFERROR(__xludf.DUMMYFUNCTION("""COMPUTED_VALUE"""),"返修")</f>
        <v>返修</v>
      </c>
      <c r="C1012" s="1" t="str">
        <f ca="1">IFERROR(__xludf.DUMMYFUNCTION("""COMPUTED_VALUE"""),"ME0270001323")</f>
        <v>ME0270001323</v>
      </c>
      <c r="D1012" s="1" t="str">
        <f ca="1">IFERROR(__xludf.DUMMYFUNCTION("""COMPUTED_VALUE"""),"All/COLOR")</f>
        <v>All/COLOR</v>
      </c>
      <c r="E1012" s="1" t="str">
        <f ca="1">IFERROR(__xludf.DUMMYFUNCTION("""COMPUTED_VALUE"""),"p2/庫存")</f>
        <v>p2/庫存</v>
      </c>
      <c r="F1012" s="1">
        <f ca="1">IFERROR(__xludf.DUMMYFUNCTION("""COMPUTED_VALUE"""),1)</f>
        <v>1</v>
      </c>
      <c r="G1012" s="1"/>
      <c r="H1012" s="1" t="str">
        <f ca="1">IFERROR(__xludf.DUMMYFUNCTION("""COMPUTED_VALUE"""),"P2")</f>
        <v>P2</v>
      </c>
      <c r="I1012" s="1" t="str">
        <f ca="1">IFERROR(__xludf.DUMMYFUNCTION("""COMPUTED_VALUE"""),"Chiao Yu")</f>
        <v>Chiao Yu</v>
      </c>
    </row>
    <row r="1013" spans="1:9" ht="12.7" x14ac:dyDescent="0.4">
      <c r="A1013" s="2">
        <f ca="1">IFERROR(__xludf.DUMMYFUNCTION("""COMPUTED_VALUE"""),45721.6857025231)</f>
        <v>45721.6857025231</v>
      </c>
      <c r="B1013" s="1" t="str">
        <f ca="1">IFERROR(__xludf.DUMMYFUNCTION("""COMPUTED_VALUE"""),"返修")</f>
        <v>返修</v>
      </c>
      <c r="C1013" s="1" t="str">
        <f ca="1">IFERROR(__xludf.DUMMYFUNCTION("""COMPUTED_VALUE"""),"ME0270001324")</f>
        <v>ME0270001324</v>
      </c>
      <c r="D1013" s="1" t="str">
        <f ca="1">IFERROR(__xludf.DUMMYFUNCTION("""COMPUTED_VALUE"""),"All/COLOR")</f>
        <v>All/COLOR</v>
      </c>
      <c r="E1013" s="1" t="str">
        <f ca="1">IFERROR(__xludf.DUMMYFUNCTION("""COMPUTED_VALUE"""),"p2/庫存")</f>
        <v>p2/庫存</v>
      </c>
      <c r="F1013" s="1">
        <f ca="1">IFERROR(__xludf.DUMMYFUNCTION("""COMPUTED_VALUE"""),1)</f>
        <v>1</v>
      </c>
      <c r="G1013" s="1"/>
      <c r="H1013" s="1" t="str">
        <f ca="1">IFERROR(__xludf.DUMMYFUNCTION("""COMPUTED_VALUE"""),"P2")</f>
        <v>P2</v>
      </c>
      <c r="I1013" s="1" t="str">
        <f ca="1">IFERROR(__xludf.DUMMYFUNCTION("""COMPUTED_VALUE"""),"Chiao Yu")</f>
        <v>Chiao Yu</v>
      </c>
    </row>
    <row r="1014" spans="1:9" ht="12.7" x14ac:dyDescent="0.4">
      <c r="A1014" s="2">
        <f ca="1">IFERROR(__xludf.DUMMYFUNCTION("""COMPUTED_VALUE"""),45721.6863404745)</f>
        <v>45721.686340474502</v>
      </c>
      <c r="B1014" s="1" t="str">
        <f ca="1">IFERROR(__xludf.DUMMYFUNCTION("""COMPUTED_VALUE"""),"返修")</f>
        <v>返修</v>
      </c>
      <c r="C1014" s="1" t="str">
        <f ca="1">IFERROR(__xludf.DUMMYFUNCTION("""COMPUTED_VALUE"""),"ME0100000079")</f>
        <v>ME0100000079</v>
      </c>
      <c r="D1014" s="1" t="str">
        <f ca="1">IFERROR(__xludf.DUMMYFUNCTION("""COMPUTED_VALUE"""),"All/COLOR")</f>
        <v>All/COLOR</v>
      </c>
      <c r="E1014" s="1" t="str">
        <f ca="1">IFERROR(__xludf.DUMMYFUNCTION("""COMPUTED_VALUE"""),"p2/庫存")</f>
        <v>p2/庫存</v>
      </c>
      <c r="F1014" s="1">
        <f ca="1">IFERROR(__xludf.DUMMYFUNCTION("""COMPUTED_VALUE"""),1)</f>
        <v>1</v>
      </c>
      <c r="G1014" s="1"/>
      <c r="H1014" s="1" t="str">
        <f ca="1">IFERROR(__xludf.DUMMYFUNCTION("""COMPUTED_VALUE"""),"P2")</f>
        <v>P2</v>
      </c>
      <c r="I1014" s="1" t="str">
        <f ca="1">IFERROR(__xludf.DUMMYFUNCTION("""COMPUTED_VALUE"""),"Chiao Yu")</f>
        <v>Chiao Yu</v>
      </c>
    </row>
    <row r="1015" spans="1:9" ht="12.7" x14ac:dyDescent="0.4">
      <c r="A1015" s="2">
        <f ca="1">IFERROR(__xludf.DUMMYFUNCTION("""COMPUTED_VALUE"""),45722.6884817013)</f>
        <v>45722.688481701298</v>
      </c>
      <c r="B1015" s="1" t="str">
        <f ca="1">IFERROR(__xludf.DUMMYFUNCTION("""COMPUTED_VALUE"""),"進貨")</f>
        <v>進貨</v>
      </c>
      <c r="C1015" s="1" t="str">
        <f ca="1">IFERROR(__xludf.DUMMYFUNCTION("""COMPUTED_VALUE"""),"A00700000482")</f>
        <v>A00700000482</v>
      </c>
      <c r="D1015" s="1" t="str">
        <f ca="1">IFERROR(__xludf.DUMMYFUNCTION("""COMPUTED_VALUE"""),"All/SB")</f>
        <v>All/SB</v>
      </c>
      <c r="E1015" s="1" t="str">
        <f ca="1">IFERROR(__xludf.DUMMYFUNCTION("""COMPUTED_VALUE"""),"p2/庫存")</f>
        <v>p2/庫存</v>
      </c>
      <c r="F1015" s="1">
        <f ca="1">IFERROR(__xludf.DUMMYFUNCTION("""COMPUTED_VALUE"""),9)</f>
        <v>9</v>
      </c>
      <c r="G1015" s="1"/>
      <c r="H1015" s="1" t="str">
        <f ca="1">IFERROR(__xludf.DUMMYFUNCTION("""COMPUTED_VALUE"""),"P2")</f>
        <v>P2</v>
      </c>
      <c r="I1015" s="1" t="str">
        <f ca="1">IFERROR(__xludf.DUMMYFUNCTION("""COMPUTED_VALUE"""),"Simon")</f>
        <v>Simon</v>
      </c>
    </row>
    <row r="1016" spans="1:9" ht="12.7" x14ac:dyDescent="0.4">
      <c r="A1016" s="2">
        <f ca="1">IFERROR(__xludf.DUMMYFUNCTION("""COMPUTED_VALUE"""),45723.3680280324)</f>
        <v>45723.368028032397</v>
      </c>
      <c r="B1016" s="1" t="str">
        <f ca="1">IFERROR(__xludf.DUMMYFUNCTION("""COMPUTED_VALUE"""),"料件上線時間")</f>
        <v>料件上線時間</v>
      </c>
      <c r="C1016" s="1" t="str">
        <f ca="1">IFERROR(__xludf.DUMMYFUNCTION("""COMPUTED_VALUE"""),"ME0160000073")</f>
        <v>ME0160000073</v>
      </c>
      <c r="D1016" s="1" t="str">
        <f ca="1">IFERROR(__xludf.DUMMYFUNCTION("""COMPUTED_VALUE"""),"All/BA")</f>
        <v>All/BA</v>
      </c>
      <c r="E1016" s="1" t="str">
        <f ca="1">IFERROR(__xludf.DUMMYFUNCTION("""COMPUTED_VALUE"""),"p1/庫存")</f>
        <v>p1/庫存</v>
      </c>
      <c r="F1016" s="1">
        <f ca="1">IFERROR(__xludf.DUMMYFUNCTION("""COMPUTED_VALUE"""),1)</f>
        <v>1</v>
      </c>
      <c r="G1016" s="1" t="str">
        <f ca="1">IFERROR(__xludf.DUMMYFUNCTION("""COMPUTED_VALUE"""),"B2002347")</f>
        <v>B2002347</v>
      </c>
      <c r="H1016" s="1" t="str">
        <f ca="1">IFERROR(__xludf.DUMMYFUNCTION("""COMPUTED_VALUE"""),"P1_008")</f>
        <v>P1_008</v>
      </c>
      <c r="I1016" s="1" t="str">
        <f ca="1">IFERROR(__xludf.DUMMYFUNCTION("""COMPUTED_VALUE"""),"Chiao Yu")</f>
        <v>Chiao Yu</v>
      </c>
    </row>
    <row r="1017" spans="1:9" ht="12.7" x14ac:dyDescent="0.4">
      <c r="A1017" s="2">
        <f ca="1">IFERROR(__xludf.DUMMYFUNCTION("""COMPUTED_VALUE"""),45723.6551634259)</f>
        <v>45723.655163425901</v>
      </c>
      <c r="B1017" s="1" t="str">
        <f ca="1">IFERROR(__xludf.DUMMYFUNCTION("""COMPUTED_VALUE"""),"庫存調整")</f>
        <v>庫存調整</v>
      </c>
      <c r="C1017" s="1" t="str">
        <f ca="1">IFERROR(__xludf.DUMMYFUNCTION("""COMPUTED_VALUE"""),"ME0030000076")</f>
        <v>ME0030000076</v>
      </c>
      <c r="D1017" s="1" t="str">
        <f ca="1">IFERROR(__xludf.DUMMYFUNCTION("""COMPUTED_VALUE"""),"All/共用")</f>
        <v>All/共用</v>
      </c>
      <c r="E1017" s="1" t="str">
        <f ca="1">IFERROR(__xludf.DUMMYFUNCTION("""COMPUTED_VALUE"""),"p1/庫存")</f>
        <v>p1/庫存</v>
      </c>
      <c r="F1017" s="1">
        <f ca="1">IFERROR(__xludf.DUMMYFUNCTION("""COMPUTED_VALUE"""),-1)</f>
        <v>-1</v>
      </c>
      <c r="G1017" s="1"/>
      <c r="H1017" s="1" t="str">
        <f ca="1">IFERROR(__xludf.DUMMYFUNCTION("""COMPUTED_VALUE"""),"P1")</f>
        <v>P1</v>
      </c>
      <c r="I1017" s="1" t="str">
        <f ca="1">IFERROR(__xludf.DUMMYFUNCTION("""COMPUTED_VALUE"""),"Chiao Yu")</f>
        <v>Chiao Yu</v>
      </c>
    </row>
    <row r="1018" spans="1:9" ht="12.7" x14ac:dyDescent="0.4">
      <c r="A1018" s="2">
        <f ca="1">IFERROR(__xludf.DUMMYFUNCTION("""COMPUTED_VALUE"""),45726.2861757175)</f>
        <v>45726.286175717498</v>
      </c>
      <c r="B1018" s="1" t="str">
        <f ca="1">IFERROR(__xludf.DUMMYFUNCTION("""COMPUTED_VALUE"""),"領料")</f>
        <v>領料</v>
      </c>
      <c r="C1018" s="1" t="str">
        <f ca="1">IFERROR(__xludf.DUMMYFUNCTION("""COMPUTED_VALUE"""),"AGT000000006")</f>
        <v>AGT000000006</v>
      </c>
      <c r="D1018" s="1" t="str">
        <f ca="1">IFERROR(__xludf.DUMMYFUNCTION("""COMPUTED_VALUE"""),"All/BA")</f>
        <v>All/BA</v>
      </c>
      <c r="E1018" s="1" t="str">
        <f ca="1">IFERROR(__xludf.DUMMYFUNCTION("""COMPUTED_VALUE"""),"p1/庫存")</f>
        <v>p1/庫存</v>
      </c>
      <c r="F1018" s="1">
        <f ca="1">IFERROR(__xludf.DUMMYFUNCTION("""COMPUTED_VALUE"""),3)</f>
        <v>3</v>
      </c>
      <c r="G1018" s="1"/>
      <c r="H1018" s="1" t="str">
        <f ca="1">IFERROR(__xludf.DUMMYFUNCTION("""COMPUTED_VALUE"""),"P1_009,P1_024,P1_029,")</f>
        <v>P1_009,P1_024,P1_029,</v>
      </c>
      <c r="I1018" s="1" t="str">
        <f ca="1">IFERROR(__xludf.DUMMYFUNCTION("""COMPUTED_VALUE"""),"Jason")</f>
        <v>Jason</v>
      </c>
    </row>
    <row r="1019" spans="1:9" ht="12.7" x14ac:dyDescent="0.4">
      <c r="A1019" s="2">
        <f ca="1">IFERROR(__xludf.DUMMYFUNCTION("""COMPUTED_VALUE"""),45727.290661412)</f>
        <v>45727.290661412</v>
      </c>
      <c r="B1019" s="1" t="str">
        <f ca="1">IFERROR(__xludf.DUMMYFUNCTION("""COMPUTED_VALUE"""),"領料")</f>
        <v>領料</v>
      </c>
      <c r="C1019" s="1" t="str">
        <f ca="1">IFERROR(__xludf.DUMMYFUNCTION("""COMPUTED_VALUE"""),"AGT000000005")</f>
        <v>AGT000000005</v>
      </c>
      <c r="D1019" s="1" t="str">
        <f ca="1">IFERROR(__xludf.DUMMYFUNCTION("""COMPUTED_VALUE"""),"All/BA")</f>
        <v>All/BA</v>
      </c>
      <c r="E1019" s="1" t="str">
        <f ca="1">IFERROR(__xludf.DUMMYFUNCTION("""COMPUTED_VALUE"""),"p1/庫存")</f>
        <v>p1/庫存</v>
      </c>
      <c r="F1019" s="1">
        <f ca="1">IFERROR(__xludf.DUMMYFUNCTION("""COMPUTED_VALUE"""),1)</f>
        <v>1</v>
      </c>
      <c r="G1019" s="1"/>
      <c r="H1019" s="1" t="str">
        <f ca="1">IFERROR(__xludf.DUMMYFUNCTION("""COMPUTED_VALUE"""),"P1_003")</f>
        <v>P1_003</v>
      </c>
      <c r="I1019" s="1" t="str">
        <f ca="1">IFERROR(__xludf.DUMMYFUNCTION("""COMPUTED_VALUE"""),"Jason")</f>
        <v>Jason</v>
      </c>
    </row>
    <row r="1020" spans="1:9" ht="12.7" x14ac:dyDescent="0.4">
      <c r="A1020" s="2">
        <f ca="1">IFERROR(__xludf.DUMMYFUNCTION("""COMPUTED_VALUE"""),45728.5749575925)</f>
        <v>45728.5749575925</v>
      </c>
      <c r="B1020" s="1" t="str">
        <f ca="1">IFERROR(__xludf.DUMMYFUNCTION("""COMPUTED_VALUE"""),"返修")</f>
        <v>返修</v>
      </c>
      <c r="C1020" s="1" t="str">
        <f ca="1">IFERROR(__xludf.DUMMYFUNCTION("""COMPUTED_VALUE"""),"ME0030000076")</f>
        <v>ME0030000076</v>
      </c>
      <c r="D1020" s="1" t="str">
        <f ca="1">IFERROR(__xludf.DUMMYFUNCTION("""COMPUTED_VALUE"""),"All/共用")</f>
        <v>All/共用</v>
      </c>
      <c r="E1020" s="1" t="str">
        <f ca="1">IFERROR(__xludf.DUMMYFUNCTION("""COMPUTED_VALUE"""),"p2/庫存")</f>
        <v>p2/庫存</v>
      </c>
      <c r="F1020" s="1">
        <f ca="1">IFERROR(__xludf.DUMMYFUNCTION("""COMPUTED_VALUE"""),1)</f>
        <v>1</v>
      </c>
      <c r="G1020" s="1" t="str">
        <f ca="1">IFERROR(__xludf.DUMMYFUNCTION("""COMPUTED_VALUE"""),"224374對04227")</f>
        <v>224374對04227</v>
      </c>
      <c r="H1020" s="1" t="str">
        <f ca="1">IFERROR(__xludf.DUMMYFUNCTION("""COMPUTED_VALUE"""),"P2")</f>
        <v>P2</v>
      </c>
      <c r="I1020" s="1" t="str">
        <f ca="1">IFERROR(__xludf.DUMMYFUNCTION("""COMPUTED_VALUE"""),"Simon")</f>
        <v>Simon</v>
      </c>
    </row>
    <row r="1021" spans="1:9" ht="12.7" x14ac:dyDescent="0.4">
      <c r="A1021" s="2">
        <f ca="1">IFERROR(__xludf.DUMMYFUNCTION("""COMPUTED_VALUE"""),45728.5815786921)</f>
        <v>45728.581578692101</v>
      </c>
      <c r="B1021" s="1" t="str">
        <f ca="1">IFERROR(__xludf.DUMMYFUNCTION("""COMPUTED_VALUE"""),"送修")</f>
        <v>送修</v>
      </c>
      <c r="C1021" s="1" t="str">
        <f ca="1">IFERROR(__xludf.DUMMYFUNCTION("""COMPUTED_VALUE"""),"ME0020000592")</f>
        <v>ME0020000592</v>
      </c>
      <c r="D1021" s="1" t="str">
        <f ca="1">IFERROR(__xludf.DUMMYFUNCTION("""COMPUTED_VALUE"""),"All/共用")</f>
        <v>All/共用</v>
      </c>
      <c r="E1021" s="1" t="str">
        <f ca="1">IFERROR(__xludf.DUMMYFUNCTION("""COMPUTED_VALUE"""),"p1/庫存")</f>
        <v>p1/庫存</v>
      </c>
      <c r="F1021" s="1">
        <f ca="1">IFERROR(__xludf.DUMMYFUNCTION("""COMPUTED_VALUE"""),1)</f>
        <v>1</v>
      </c>
      <c r="G1021" s="1" t="str">
        <f ca="1">IFERROR(__xludf.DUMMYFUNCTION("""COMPUTED_VALUE"""),"R9TX50GGX7A")</f>
        <v>R9TX50GGX7A</v>
      </c>
      <c r="H1021" s="1" t="str">
        <f ca="1">IFERROR(__xludf.DUMMYFUNCTION("""COMPUTED_VALUE"""),"P1_4008")</f>
        <v>P1_4008</v>
      </c>
      <c r="I1021" s="1" t="str">
        <f ca="1">IFERROR(__xludf.DUMMYFUNCTION("""COMPUTED_VALUE"""),"Simon")</f>
        <v>Simon</v>
      </c>
    </row>
    <row r="1022" spans="1:9" ht="12.7" x14ac:dyDescent="0.4">
      <c r="A1022" s="2">
        <f ca="1">IFERROR(__xludf.DUMMYFUNCTION("""COMPUTED_VALUE"""),45728.5830589351)</f>
        <v>45728.583058935103</v>
      </c>
      <c r="B1022" s="1" t="str">
        <f ca="1">IFERROR(__xludf.DUMMYFUNCTION("""COMPUTED_VALUE"""),"返修")</f>
        <v>返修</v>
      </c>
      <c r="C1022" s="1" t="str">
        <f ca="1">IFERROR(__xludf.DUMMYFUNCTION("""COMPUTED_VALUE"""),"ME0020000592")</f>
        <v>ME0020000592</v>
      </c>
      <c r="D1022" s="1" t="str">
        <f ca="1">IFERROR(__xludf.DUMMYFUNCTION("""COMPUTED_VALUE"""),"All/共用")</f>
        <v>All/共用</v>
      </c>
      <c r="E1022" s="1" t="str">
        <f ca="1">IFERROR(__xludf.DUMMYFUNCTION("""COMPUTED_VALUE"""),"p1/庫存")</f>
        <v>p1/庫存</v>
      </c>
      <c r="F1022" s="1">
        <f ca="1">IFERROR(__xludf.DUMMYFUNCTION("""COMPUTED_VALUE"""),1)</f>
        <v>1</v>
      </c>
      <c r="G1022" s="1" t="str">
        <f ca="1">IFERROR(__xludf.DUMMYFUNCTION("""COMPUTED_VALUE"""),"R9TX50GGX7A")</f>
        <v>R9TX50GGX7A</v>
      </c>
      <c r="H1022" s="1" t="str">
        <f ca="1">IFERROR(__xludf.DUMMYFUNCTION("""COMPUTED_VALUE"""),"P1")</f>
        <v>P1</v>
      </c>
      <c r="I1022" s="1" t="str">
        <f ca="1">IFERROR(__xludf.DUMMYFUNCTION("""COMPUTED_VALUE"""),"Simon")</f>
        <v>Simon</v>
      </c>
    </row>
    <row r="1023" spans="1:9" ht="12.7" x14ac:dyDescent="0.4">
      <c r="A1023" s="2">
        <f ca="1">IFERROR(__xludf.DUMMYFUNCTION("""COMPUTED_VALUE"""),45729.2916040277)</f>
        <v>45729.291604027698</v>
      </c>
      <c r="B1023" s="1" t="str">
        <f ca="1">IFERROR(__xludf.DUMMYFUNCTION("""COMPUTED_VALUE"""),"領料")</f>
        <v>領料</v>
      </c>
      <c r="C1023" s="1" t="str">
        <f ca="1">IFERROR(__xludf.DUMMYFUNCTION("""COMPUTED_VALUE"""),"MM0260000077")</f>
        <v>MM0260000077</v>
      </c>
      <c r="D1023" s="1" t="str">
        <f ca="1">IFERROR(__xludf.DUMMYFUNCTION("""COMPUTED_VALUE"""),"All/BA")</f>
        <v>All/BA</v>
      </c>
      <c r="E1023" s="1" t="str">
        <f ca="1">IFERROR(__xludf.DUMMYFUNCTION("""COMPUTED_VALUE"""),"p1/庫存")</f>
        <v>p1/庫存</v>
      </c>
      <c r="F1023" s="1">
        <f ca="1">IFERROR(__xludf.DUMMYFUNCTION("""COMPUTED_VALUE"""),60)</f>
        <v>60</v>
      </c>
      <c r="G1023" s="1"/>
      <c r="H1023" s="1" t="str">
        <f ca="1">IFERROR(__xludf.DUMMYFUNCTION("""COMPUTED_VALUE"""),"P1")</f>
        <v>P1</v>
      </c>
      <c r="I1023" s="1" t="str">
        <f ca="1">IFERROR(__xludf.DUMMYFUNCTION("""COMPUTED_VALUE"""),"Nick")</f>
        <v>Nick</v>
      </c>
    </row>
    <row r="1024" spans="1:9" ht="12.7" x14ac:dyDescent="0.4">
      <c r="A1024" s="2">
        <f ca="1">IFERROR(__xludf.DUMMYFUNCTION("""COMPUTED_VALUE"""),45729.2952960648)</f>
        <v>45729.295296064804</v>
      </c>
      <c r="B1024" s="1" t="str">
        <f ca="1">IFERROR(__xludf.DUMMYFUNCTION("""COMPUTED_VALUE"""),"領料")</f>
        <v>領料</v>
      </c>
      <c r="C1024" s="1" t="str">
        <f ca="1">IFERROR(__xludf.DUMMYFUNCTION("""COMPUTED_VALUE"""),"ME0020000525")</f>
        <v>ME0020000525</v>
      </c>
      <c r="D1024" s="1" t="str">
        <f ca="1">IFERROR(__xludf.DUMMYFUNCTION("""COMPUTED_VALUE"""),"All/共用")</f>
        <v>All/共用</v>
      </c>
      <c r="E1024" s="1" t="str">
        <f ca="1">IFERROR(__xludf.DUMMYFUNCTION("""COMPUTED_VALUE"""),"p2/庫存")</f>
        <v>p2/庫存</v>
      </c>
      <c r="F1024" s="1">
        <f ca="1">IFERROR(__xludf.DUMMYFUNCTION("""COMPUTED_VALUE"""),1)</f>
        <v>1</v>
      </c>
      <c r="G1024" s="1"/>
      <c r="H1024" s="1" t="str">
        <f ca="1">IFERROR(__xludf.DUMMYFUNCTION("""COMPUTED_VALUE"""),"P2_4003")</f>
        <v>P2_4003</v>
      </c>
      <c r="I1024" s="1" t="str">
        <f ca="1">IFERROR(__xludf.DUMMYFUNCTION("""COMPUTED_VALUE"""),"Nick")</f>
        <v>Nick</v>
      </c>
    </row>
    <row r="1025" spans="1:9" ht="12.7" x14ac:dyDescent="0.4">
      <c r="A1025" s="2">
        <f ca="1">IFERROR(__xludf.DUMMYFUNCTION("""COMPUTED_VALUE"""),45730.4483684143)</f>
        <v>45730.448368414298</v>
      </c>
      <c r="B1025" s="1" t="str">
        <f ca="1">IFERROR(__xludf.DUMMYFUNCTION("""COMPUTED_VALUE"""),"料件上線時間")</f>
        <v>料件上線時間</v>
      </c>
      <c r="C1025" s="1" t="str">
        <f ca="1">IFERROR(__xludf.DUMMYFUNCTION("""COMPUTED_VALUE"""),"ME0160000073")</f>
        <v>ME0160000073</v>
      </c>
      <c r="D1025" s="1" t="str">
        <f ca="1">IFERROR(__xludf.DUMMYFUNCTION("""COMPUTED_VALUE"""),"All/BA")</f>
        <v>All/BA</v>
      </c>
      <c r="E1025" s="1" t="str">
        <f ca="1">IFERROR(__xludf.DUMMYFUNCTION("""COMPUTED_VALUE"""),"p2/庫存")</f>
        <v>p2/庫存</v>
      </c>
      <c r="F1025" s="1">
        <f ca="1">IFERROR(__xludf.DUMMYFUNCTION("""COMPUTED_VALUE"""),1)</f>
        <v>1</v>
      </c>
      <c r="G1025" s="1" t="str">
        <f ca="1">IFERROR(__xludf.DUMMYFUNCTION("""COMPUTED_VALUE"""),"B2211391")</f>
        <v>B2211391</v>
      </c>
      <c r="H1025" s="1" t="str">
        <f ca="1">IFERROR(__xludf.DUMMYFUNCTION("""COMPUTED_VALUE"""),"P2_040")</f>
        <v>P2_040</v>
      </c>
      <c r="I1025" s="1" t="str">
        <f ca="1">IFERROR(__xludf.DUMMYFUNCTION("""COMPUTED_VALUE"""),"Chiao Yu")</f>
        <v>Chiao Yu</v>
      </c>
    </row>
    <row r="1026" spans="1:9" ht="12.7" x14ac:dyDescent="0.4">
      <c r="A1026" s="2">
        <f ca="1">IFERROR(__xludf.DUMMYFUNCTION("""COMPUTED_VALUE"""),45730.4789448263)</f>
        <v>45730.478944826304</v>
      </c>
      <c r="B1026" s="1" t="str">
        <f ca="1">IFERROR(__xludf.DUMMYFUNCTION("""COMPUTED_VALUE"""),"料件上線時間")</f>
        <v>料件上線時間</v>
      </c>
      <c r="C1026" s="1" t="str">
        <f ca="1">IFERROR(__xludf.DUMMYFUNCTION("""COMPUTED_VALUE"""),"ME0020000525")</f>
        <v>ME0020000525</v>
      </c>
      <c r="D1026" s="1" t="str">
        <f ca="1">IFERROR(__xludf.DUMMYFUNCTION("""COMPUTED_VALUE"""),"All/共用")</f>
        <v>All/共用</v>
      </c>
      <c r="E1026" s="1" t="str">
        <f ca="1">IFERROR(__xludf.DUMMYFUNCTION("""COMPUTED_VALUE"""),"p2/庫存")</f>
        <v>p2/庫存</v>
      </c>
      <c r="F1026" s="1">
        <f ca="1">IFERROR(__xludf.DUMMYFUNCTION("""COMPUTED_VALUE"""),1)</f>
        <v>1</v>
      </c>
      <c r="G1026" s="1" t="str">
        <f ca="1">IFERROR(__xludf.DUMMYFUNCTION("""COMPUTED_VALUE"""),"2418E8ACDCAB")</f>
        <v>2418E8ACDCAB</v>
      </c>
      <c r="H1026" s="1" t="str">
        <f ca="1">IFERROR(__xludf.DUMMYFUNCTION("""COMPUTED_VALUE"""),"P2_4003")</f>
        <v>P2_4003</v>
      </c>
      <c r="I1026" s="1" t="str">
        <f ca="1">IFERROR(__xludf.DUMMYFUNCTION("""COMPUTED_VALUE"""),"Nick")</f>
        <v>Nick</v>
      </c>
    </row>
    <row r="1027" spans="1:9" ht="12.7" x14ac:dyDescent="0.4">
      <c r="A1027" s="2">
        <f ca="1">IFERROR(__xludf.DUMMYFUNCTION("""COMPUTED_VALUE"""),45731.9458024189)</f>
        <v>45731.945802418901</v>
      </c>
      <c r="B1027" s="1" t="str">
        <f ca="1">IFERROR(__xludf.DUMMYFUNCTION("""COMPUTED_VALUE"""),"領料")</f>
        <v>領料</v>
      </c>
      <c r="C1027" s="1" t="str">
        <f ca="1">IFERROR(__xludf.DUMMYFUNCTION("""COMPUTED_VALUE"""),"ME0120000048")</f>
        <v>ME0120000048</v>
      </c>
      <c r="D1027" s="1" t="str">
        <f ca="1">IFERROR(__xludf.DUMMYFUNCTION("""COMPUTED_VALUE"""),"All/共用")</f>
        <v>All/共用</v>
      </c>
      <c r="E1027" s="1" t="str">
        <f ca="1">IFERROR(__xludf.DUMMYFUNCTION("""COMPUTED_VALUE"""),"p2/庫存")</f>
        <v>p2/庫存</v>
      </c>
      <c r="F1027" s="1">
        <f ca="1">IFERROR(__xludf.DUMMYFUNCTION("""COMPUTED_VALUE"""),1)</f>
        <v>1</v>
      </c>
      <c r="G1027" s="1"/>
      <c r="H1027" s="1" t="str">
        <f ca="1">IFERROR(__xludf.DUMMYFUNCTION("""COMPUTED_VALUE"""),"P2")</f>
        <v>P2</v>
      </c>
      <c r="I1027" s="1" t="str">
        <f ca="1">IFERROR(__xludf.DUMMYFUNCTION("""COMPUTED_VALUE"""),"Nick")</f>
        <v>Nick</v>
      </c>
    </row>
    <row r="1028" spans="1:9" ht="12.7" x14ac:dyDescent="0.4">
      <c r="A1028" s="2">
        <f ca="1">IFERROR(__xludf.DUMMYFUNCTION("""COMPUTED_VALUE"""),45732.4290094675)</f>
        <v>45732.429009467502</v>
      </c>
      <c r="B1028" s="1" t="str">
        <f ca="1">IFERROR(__xludf.DUMMYFUNCTION("""COMPUTED_VALUE"""),"送修")</f>
        <v>送修</v>
      </c>
      <c r="C1028" s="1" t="str">
        <f ca="1">IFERROR(__xludf.DUMMYFUNCTION("""COMPUTED_VALUE"""),"ME0020000464")</f>
        <v>ME0020000464</v>
      </c>
      <c r="D1028" s="1" t="str">
        <f ca="1">IFERROR(__xludf.DUMMYFUNCTION("""COMPUTED_VALUE"""),"All/RL")</f>
        <v>All/RL</v>
      </c>
      <c r="E1028" s="1" t="str">
        <f ca="1">IFERROR(__xludf.DUMMYFUNCTION("""COMPUTED_VALUE"""),"p2/庫存")</f>
        <v>p2/庫存</v>
      </c>
      <c r="F1028" s="1">
        <f ca="1">IFERROR(__xludf.DUMMYFUNCTION("""COMPUTED_VALUE"""),1)</f>
        <v>1</v>
      </c>
      <c r="G1028" s="1" t="str">
        <f ca="1">IFERROR(__xludf.DUMMYFUNCTION("""COMPUTED_VALUE"""),"E1926Q6011000052-0E")</f>
        <v>E1926Q6011000052-0E</v>
      </c>
      <c r="H1028" s="1" t="str">
        <f ca="1">IFERROR(__xludf.DUMMYFUNCTION("""COMPUTED_VALUE"""),"P2_1006")</f>
        <v>P2_1006</v>
      </c>
      <c r="I1028" s="1" t="str">
        <f ca="1">IFERROR(__xludf.DUMMYFUNCTION("""COMPUTED_VALUE"""),"Nick")</f>
        <v>Nick</v>
      </c>
    </row>
    <row r="1029" spans="1:9" ht="12.7" x14ac:dyDescent="0.4">
      <c r="A1029" s="2">
        <f ca="1">IFERROR(__xludf.DUMMYFUNCTION("""COMPUTED_VALUE"""),45733.2066169675)</f>
        <v>45733.206616967502</v>
      </c>
      <c r="B1029" s="1" t="str">
        <f ca="1">IFERROR(__xludf.DUMMYFUNCTION("""COMPUTED_VALUE"""),"領料")</f>
        <v>領料</v>
      </c>
      <c r="C1029" s="1" t="str">
        <f ca="1">IFERROR(__xludf.DUMMYFUNCTION("""COMPUTED_VALUE"""),"AGT000000005")</f>
        <v>AGT000000005</v>
      </c>
      <c r="D1029" s="1" t="str">
        <f ca="1">IFERROR(__xludf.DUMMYFUNCTION("""COMPUTED_VALUE"""),"All/共用")</f>
        <v>All/共用</v>
      </c>
      <c r="E1029" s="1" t="str">
        <f ca="1">IFERROR(__xludf.DUMMYFUNCTION("""COMPUTED_VALUE"""),"p1/庫存")</f>
        <v>p1/庫存</v>
      </c>
      <c r="F1029" s="1">
        <f ca="1">IFERROR(__xludf.DUMMYFUNCTION("""COMPUTED_VALUE"""),3)</f>
        <v>3</v>
      </c>
      <c r="G1029" s="1"/>
      <c r="H1029" s="1" t="str">
        <f ca="1">IFERROR(__xludf.DUMMYFUNCTION("""COMPUTED_VALUE"""),"P1_020,P1_021")</f>
        <v>P1_020,P1_021</v>
      </c>
      <c r="I1029" s="1" t="str">
        <f ca="1">IFERROR(__xludf.DUMMYFUNCTION("""COMPUTED_VALUE"""),"Nick")</f>
        <v>Nick</v>
      </c>
    </row>
    <row r="1030" spans="1:9" ht="12.7" x14ac:dyDescent="0.4">
      <c r="A1030" s="2">
        <f ca="1">IFERROR(__xludf.DUMMYFUNCTION("""COMPUTED_VALUE"""),45733.3346085879)</f>
        <v>45733.334608587902</v>
      </c>
      <c r="B1030" s="1" t="str">
        <f ca="1">IFERROR(__xludf.DUMMYFUNCTION("""COMPUTED_VALUE"""),"領料")</f>
        <v>領料</v>
      </c>
      <c r="C1030" s="1" t="str">
        <f ca="1">IFERROR(__xludf.DUMMYFUNCTION("""COMPUTED_VALUE"""),"A00700000482")</f>
        <v>A00700000482</v>
      </c>
      <c r="D1030" s="1" t="str">
        <f ca="1">IFERROR(__xludf.DUMMYFUNCTION("""COMPUTED_VALUE"""),"All/SB")</f>
        <v>All/SB</v>
      </c>
      <c r="E1030" s="1" t="str">
        <f ca="1">IFERROR(__xludf.DUMMYFUNCTION("""COMPUTED_VALUE"""),"p2/庫存")</f>
        <v>p2/庫存</v>
      </c>
      <c r="F1030" s="1">
        <f ca="1">IFERROR(__xludf.DUMMYFUNCTION("""COMPUTED_VALUE"""),9)</f>
        <v>9</v>
      </c>
      <c r="G1030" s="1"/>
      <c r="H1030" s="1" t="str">
        <f ca="1">IFERROR(__xludf.DUMMYFUNCTION("""COMPUTED_VALUE"""),"P2")</f>
        <v>P2</v>
      </c>
      <c r="I1030" s="1" t="str">
        <f ca="1">IFERROR(__xludf.DUMMYFUNCTION("""COMPUTED_VALUE"""),"Nick")</f>
        <v>Nick</v>
      </c>
    </row>
    <row r="1031" spans="1:9" ht="12.7" x14ac:dyDescent="0.4">
      <c r="A1031" s="2">
        <f ca="1">IFERROR(__xludf.DUMMYFUNCTION("""COMPUTED_VALUE"""),45733.4908713541)</f>
        <v>45733.490871354101</v>
      </c>
      <c r="B1031" s="1" t="str">
        <f ca="1">IFERROR(__xludf.DUMMYFUNCTION("""COMPUTED_VALUE"""),"庫存調整")</f>
        <v>庫存調整</v>
      </c>
      <c r="C1031" s="1" t="str">
        <f ca="1">IFERROR(__xludf.DUMMYFUNCTION("""COMPUTED_VALUE"""),"ME0070000181")</f>
        <v>ME0070000181</v>
      </c>
      <c r="D1031" s="1" t="str">
        <f ca="1">IFERROR(__xludf.DUMMYFUNCTION("""COMPUTED_VALUE"""),"All/RL")</f>
        <v>All/RL</v>
      </c>
      <c r="E1031" s="1" t="str">
        <f ca="1">IFERROR(__xludf.DUMMYFUNCTION("""COMPUTED_VALUE"""),"p1/庫存")</f>
        <v>p1/庫存</v>
      </c>
      <c r="F1031" s="1">
        <f ca="1">IFERROR(__xludf.DUMMYFUNCTION("""COMPUTED_VALUE"""),-1)</f>
        <v>-1</v>
      </c>
      <c r="G1031" s="1"/>
      <c r="H1031" s="1" t="str">
        <f ca="1">IFERROR(__xludf.DUMMYFUNCTION("""COMPUTED_VALUE"""),"P1")</f>
        <v>P1</v>
      </c>
      <c r="I1031" s="1" t="str">
        <f ca="1">IFERROR(__xludf.DUMMYFUNCTION("""COMPUTED_VALUE"""),"Simon")</f>
        <v>Simon</v>
      </c>
    </row>
    <row r="1032" spans="1:9" ht="12.7" x14ac:dyDescent="0.4">
      <c r="A1032" s="2">
        <f ca="1">IFERROR(__xludf.DUMMYFUNCTION("""COMPUTED_VALUE"""),45733.4916002199)</f>
        <v>45733.491600219902</v>
      </c>
      <c r="B1032" s="1" t="str">
        <f ca="1">IFERROR(__xludf.DUMMYFUNCTION("""COMPUTED_VALUE"""),"庫存調整")</f>
        <v>庫存調整</v>
      </c>
      <c r="C1032" s="1" t="str">
        <f ca="1">IFERROR(__xludf.DUMMYFUNCTION("""COMPUTED_VALUE"""),"ME0070000181")</f>
        <v>ME0070000181</v>
      </c>
      <c r="D1032" s="1" t="str">
        <f ca="1">IFERROR(__xludf.DUMMYFUNCTION("""COMPUTED_VALUE"""),"All/RL")</f>
        <v>All/RL</v>
      </c>
      <c r="E1032" s="1" t="str">
        <f ca="1">IFERROR(__xludf.DUMMYFUNCTION("""COMPUTED_VALUE"""),"p2/庫存")</f>
        <v>p2/庫存</v>
      </c>
      <c r="F1032" s="1">
        <f ca="1">IFERROR(__xludf.DUMMYFUNCTION("""COMPUTED_VALUE"""),1)</f>
        <v>1</v>
      </c>
      <c r="G1032" s="1"/>
      <c r="H1032" s="1" t="str">
        <f ca="1">IFERROR(__xludf.DUMMYFUNCTION("""COMPUTED_VALUE"""),"P2")</f>
        <v>P2</v>
      </c>
      <c r="I1032" s="1" t="str">
        <f ca="1">IFERROR(__xludf.DUMMYFUNCTION("""COMPUTED_VALUE"""),"Simon")</f>
        <v>Simon</v>
      </c>
    </row>
    <row r="1033" spans="1:9" ht="12.7" x14ac:dyDescent="0.4">
      <c r="A1033" s="2">
        <f ca="1">IFERROR(__xludf.DUMMYFUNCTION("""COMPUTED_VALUE"""),45734.4646461226)</f>
        <v>45734.4646461226</v>
      </c>
      <c r="B1033" s="1" t="str">
        <f ca="1">IFERROR(__xludf.DUMMYFUNCTION("""COMPUTED_VALUE"""),"返修")</f>
        <v>返修</v>
      </c>
      <c r="C1033" s="1" t="str">
        <f ca="1">IFERROR(__xludf.DUMMYFUNCTION("""COMPUTED_VALUE"""),"A00900000618")</f>
        <v>A00900000618</v>
      </c>
      <c r="D1033" s="1" t="str">
        <f ca="1">IFERROR(__xludf.DUMMYFUNCTION("""COMPUTED_VALUE"""),"All/共用")</f>
        <v>All/共用</v>
      </c>
      <c r="E1033" s="1" t="str">
        <f ca="1">IFERROR(__xludf.DUMMYFUNCTION("""COMPUTED_VALUE"""),"p2/庫存")</f>
        <v>p2/庫存</v>
      </c>
      <c r="F1033" s="1">
        <f ca="1">IFERROR(__xludf.DUMMYFUNCTION("""COMPUTED_VALUE"""),1)</f>
        <v>1</v>
      </c>
      <c r="G1033" s="1"/>
      <c r="H1033" s="1" t="str">
        <f ca="1">IFERROR(__xludf.DUMMYFUNCTION("""COMPUTED_VALUE"""),"P2_039")</f>
        <v>P2_039</v>
      </c>
      <c r="I1033" s="1" t="str">
        <f ca="1">IFERROR(__xludf.DUMMYFUNCTION("""COMPUTED_VALUE"""),"Chiao Yu")</f>
        <v>Chiao Yu</v>
      </c>
    </row>
    <row r="1034" spans="1:9" ht="12.7" x14ac:dyDescent="0.4">
      <c r="A1034" s="2">
        <f ca="1">IFERROR(__xludf.DUMMYFUNCTION("""COMPUTED_VALUE"""),45734.4668894791)</f>
        <v>45734.466889479103</v>
      </c>
      <c r="B1034" s="1" t="str">
        <f ca="1">IFERROR(__xludf.DUMMYFUNCTION("""COMPUTED_VALUE"""),"庫存調整")</f>
        <v>庫存調整</v>
      </c>
      <c r="C1034" s="1" t="str">
        <f ca="1">IFERROR(__xludf.DUMMYFUNCTION("""COMPUTED_VALUE"""),"A00900000618")</f>
        <v>A00900000618</v>
      </c>
      <c r="D1034" s="1" t="str">
        <f ca="1">IFERROR(__xludf.DUMMYFUNCTION("""COMPUTED_VALUE"""),"All/共用")</f>
        <v>All/共用</v>
      </c>
      <c r="E1034" s="1" t="str">
        <f ca="1">IFERROR(__xludf.DUMMYFUNCTION("""COMPUTED_VALUE"""),"p2/庫存")</f>
        <v>p2/庫存</v>
      </c>
      <c r="F1034" s="1">
        <f ca="1">IFERROR(__xludf.DUMMYFUNCTION("""COMPUTED_VALUE"""),-1)</f>
        <v>-1</v>
      </c>
      <c r="G1034" s="1"/>
      <c r="H1034" s="1" t="str">
        <f ca="1">IFERROR(__xludf.DUMMYFUNCTION("""COMPUTED_VALUE"""),"P2")</f>
        <v>P2</v>
      </c>
      <c r="I1034" s="1" t="str">
        <f ca="1">IFERROR(__xludf.DUMMYFUNCTION("""COMPUTED_VALUE"""),"Chiao Yu")</f>
        <v>Chiao Yu</v>
      </c>
    </row>
    <row r="1035" spans="1:9" ht="12.7" x14ac:dyDescent="0.4">
      <c r="A1035" s="2">
        <f ca="1">IFERROR(__xludf.DUMMYFUNCTION("""COMPUTED_VALUE"""),45734.4672803935)</f>
        <v>45734.467280393503</v>
      </c>
      <c r="B1035" s="1" t="str">
        <f ca="1">IFERROR(__xludf.DUMMYFUNCTION("""COMPUTED_VALUE"""),"庫存調整")</f>
        <v>庫存調整</v>
      </c>
      <c r="C1035" s="1" t="str">
        <f ca="1">IFERROR(__xludf.DUMMYFUNCTION("""COMPUTED_VALUE"""),"A00900000618")</f>
        <v>A00900000618</v>
      </c>
      <c r="D1035" s="1" t="str">
        <f ca="1">IFERROR(__xludf.DUMMYFUNCTION("""COMPUTED_VALUE"""),"All/共用")</f>
        <v>All/共用</v>
      </c>
      <c r="E1035" s="1" t="str">
        <f ca="1">IFERROR(__xludf.DUMMYFUNCTION("""COMPUTED_VALUE"""),"p1/庫存")</f>
        <v>p1/庫存</v>
      </c>
      <c r="F1035" s="1">
        <f ca="1">IFERROR(__xludf.DUMMYFUNCTION("""COMPUTED_VALUE"""),1)</f>
        <v>1</v>
      </c>
      <c r="G1035" s="1"/>
      <c r="H1035" s="1" t="str">
        <f ca="1">IFERROR(__xludf.DUMMYFUNCTION("""COMPUTED_VALUE"""),"P1")</f>
        <v>P1</v>
      </c>
      <c r="I1035" s="1" t="str">
        <f ca="1">IFERROR(__xludf.DUMMYFUNCTION("""COMPUTED_VALUE"""),"Chiao Yu")</f>
        <v>Chiao Yu</v>
      </c>
    </row>
    <row r="1036" spans="1:9" ht="12.7" x14ac:dyDescent="0.4">
      <c r="A1036" s="2">
        <f ca="1">IFERROR(__xludf.DUMMYFUNCTION("""COMPUTED_VALUE"""),45735.5629454398)</f>
        <v>45735.5629454398</v>
      </c>
      <c r="B1036" s="1" t="str">
        <f ca="1">IFERROR(__xludf.DUMMYFUNCTION("""COMPUTED_VALUE"""),"庫存調整")</f>
        <v>庫存調整</v>
      </c>
      <c r="C1036" s="1" t="str">
        <f ca="1">IFERROR(__xludf.DUMMYFUNCTION("""COMPUTED_VALUE"""),"A00700000837")</f>
        <v>A00700000837</v>
      </c>
      <c r="D1036" s="1" t="str">
        <f ca="1">IFERROR(__xludf.DUMMYFUNCTION("""COMPUTED_VALUE"""),"All/COLOR")</f>
        <v>All/COLOR</v>
      </c>
      <c r="E1036" s="1" t="str">
        <f ca="1">IFERROR(__xludf.DUMMYFUNCTION("""COMPUTED_VALUE"""),"p1/庫存")</f>
        <v>p1/庫存</v>
      </c>
      <c r="F1036" s="1">
        <f ca="1">IFERROR(__xludf.DUMMYFUNCTION("""COMPUTED_VALUE"""),-2)</f>
        <v>-2</v>
      </c>
      <c r="G1036" s="1"/>
      <c r="H1036" s="1" t="str">
        <f ca="1">IFERROR(__xludf.DUMMYFUNCTION("""COMPUTED_VALUE"""),"P1")</f>
        <v>P1</v>
      </c>
      <c r="I1036" s="1" t="str">
        <f ca="1">IFERROR(__xludf.DUMMYFUNCTION("""COMPUTED_VALUE"""),"Chiao Yu")</f>
        <v>Chiao Yu</v>
      </c>
    </row>
    <row r="1037" spans="1:9" ht="12.7" x14ac:dyDescent="0.4">
      <c r="A1037" s="2">
        <f ca="1">IFERROR(__xludf.DUMMYFUNCTION("""COMPUTED_VALUE"""),45735.56354853)</f>
        <v>45735.563548530001</v>
      </c>
      <c r="B1037" s="1" t="str">
        <f ca="1">IFERROR(__xludf.DUMMYFUNCTION("""COMPUTED_VALUE"""),"庫存調整")</f>
        <v>庫存調整</v>
      </c>
      <c r="C1037" s="1" t="str">
        <f ca="1">IFERROR(__xludf.DUMMYFUNCTION("""COMPUTED_VALUE"""),"A00700000837")</f>
        <v>A00700000837</v>
      </c>
      <c r="D1037" s="1" t="str">
        <f ca="1">IFERROR(__xludf.DUMMYFUNCTION("""COMPUTED_VALUE"""),"All/COLOR")</f>
        <v>All/COLOR</v>
      </c>
      <c r="E1037" s="1" t="str">
        <f ca="1">IFERROR(__xludf.DUMMYFUNCTION("""COMPUTED_VALUE"""),"p2/庫存")</f>
        <v>p2/庫存</v>
      </c>
      <c r="F1037" s="1">
        <f ca="1">IFERROR(__xludf.DUMMYFUNCTION("""COMPUTED_VALUE"""),2)</f>
        <v>2</v>
      </c>
      <c r="G1037" s="1"/>
      <c r="H1037" s="1" t="str">
        <f ca="1">IFERROR(__xludf.DUMMYFUNCTION("""COMPUTED_VALUE"""),"P2")</f>
        <v>P2</v>
      </c>
      <c r="I1037" s="1" t="str">
        <f ca="1">IFERROR(__xludf.DUMMYFUNCTION("""COMPUTED_VALUE"""),"Chiao Yu")</f>
        <v>Chiao Yu</v>
      </c>
    </row>
    <row r="1038" spans="1:9" ht="12.7" x14ac:dyDescent="0.4">
      <c r="A1038" s="2">
        <f ca="1">IFERROR(__xludf.DUMMYFUNCTION("""COMPUTED_VALUE"""),45736.5484734953)</f>
        <v>45736.548473495299</v>
      </c>
      <c r="B1038" s="1" t="str">
        <f ca="1">IFERROR(__xludf.DUMMYFUNCTION("""COMPUTED_VALUE"""),"領料")</f>
        <v>領料</v>
      </c>
      <c r="C1038" s="1" t="str">
        <f ca="1">IFERROR(__xludf.DUMMYFUNCTION("""COMPUTED_VALUE"""),"A00700000482")</f>
        <v>A00700000482</v>
      </c>
      <c r="D1038" s="1" t="str">
        <f ca="1">IFERROR(__xludf.DUMMYFUNCTION("""COMPUTED_VALUE"""),"All/SB")</f>
        <v>All/SB</v>
      </c>
      <c r="E1038" s="1" t="str">
        <f ca="1">IFERROR(__xludf.DUMMYFUNCTION("""COMPUTED_VALUE"""),"p2/庫存")</f>
        <v>p2/庫存</v>
      </c>
      <c r="F1038" s="1">
        <f ca="1">IFERROR(__xludf.DUMMYFUNCTION("""COMPUTED_VALUE"""),2)</f>
        <v>2</v>
      </c>
      <c r="G1038" s="1"/>
      <c r="H1038" s="1" t="str">
        <f ca="1">IFERROR(__xludf.DUMMYFUNCTION("""COMPUTED_VALUE"""),"P2_7001")</f>
        <v>P2_7001</v>
      </c>
      <c r="I1038" s="1" t="str">
        <f ca="1">IFERROR(__xludf.DUMMYFUNCTION("""COMPUTED_VALUE"""),"Chiao Yu")</f>
        <v>Chiao Yu</v>
      </c>
    </row>
    <row r="1039" spans="1:9" ht="12.7" x14ac:dyDescent="0.4">
      <c r="A1039" s="2">
        <f ca="1">IFERROR(__xludf.DUMMYFUNCTION("""COMPUTED_VALUE"""),45736.5492457175)</f>
        <v>45736.549245717499</v>
      </c>
      <c r="B1039" s="1" t="str">
        <f ca="1">IFERROR(__xludf.DUMMYFUNCTION("""COMPUTED_VALUE"""),"領料")</f>
        <v>領料</v>
      </c>
      <c r="C1039" s="1" t="str">
        <f ca="1">IFERROR(__xludf.DUMMYFUNCTION("""COMPUTED_VALUE"""),"A00700000482")</f>
        <v>A00700000482</v>
      </c>
      <c r="D1039" s="1" t="str">
        <f ca="1">IFERROR(__xludf.DUMMYFUNCTION("""COMPUTED_VALUE"""),"All/SB")</f>
        <v>All/SB</v>
      </c>
      <c r="E1039" s="1" t="str">
        <f ca="1">IFERROR(__xludf.DUMMYFUNCTION("""COMPUTED_VALUE"""),"p1/庫存")</f>
        <v>p1/庫存</v>
      </c>
      <c r="F1039" s="1">
        <f ca="1">IFERROR(__xludf.DUMMYFUNCTION("""COMPUTED_VALUE"""),2)</f>
        <v>2</v>
      </c>
      <c r="G1039" s="1"/>
      <c r="H1039" s="1" t="str">
        <f ca="1">IFERROR(__xludf.DUMMYFUNCTION("""COMPUTED_VALUE"""),"P2_7002")</f>
        <v>P2_7002</v>
      </c>
      <c r="I1039" s="1" t="str">
        <f ca="1">IFERROR(__xludf.DUMMYFUNCTION("""COMPUTED_VALUE"""),"Chiao Yu")</f>
        <v>Chiao Yu</v>
      </c>
    </row>
    <row r="1040" spans="1:9" ht="12.7" x14ac:dyDescent="0.4">
      <c r="A1040" s="2">
        <f ca="1">IFERROR(__xludf.DUMMYFUNCTION("""COMPUTED_VALUE"""),45737.5613809837)</f>
        <v>45737.561380983701</v>
      </c>
      <c r="B1040" s="1" t="str">
        <f ca="1">IFERROR(__xludf.DUMMYFUNCTION("""COMPUTED_VALUE"""),"領料")</f>
        <v>領料</v>
      </c>
      <c r="C1040" s="1" t="str">
        <f ca="1">IFERROR(__xludf.DUMMYFUNCTION("""COMPUTED_VALUE"""),"ME0120000048")</f>
        <v>ME0120000048</v>
      </c>
      <c r="D1040" s="1" t="str">
        <f ca="1">IFERROR(__xludf.DUMMYFUNCTION("""COMPUTED_VALUE"""),"All/RL")</f>
        <v>All/RL</v>
      </c>
      <c r="E1040" s="1" t="str">
        <f ca="1">IFERROR(__xludf.DUMMYFUNCTION("""COMPUTED_VALUE"""),"p2/庫存")</f>
        <v>p2/庫存</v>
      </c>
      <c r="F1040" s="1">
        <f ca="1">IFERROR(__xludf.DUMMYFUNCTION("""COMPUTED_VALUE"""),1)</f>
        <v>1</v>
      </c>
      <c r="G1040" s="1"/>
      <c r="H1040" s="1" t="str">
        <f ca="1">IFERROR(__xludf.DUMMYFUNCTION("""COMPUTED_VALUE"""),"P2_041")</f>
        <v>P2_041</v>
      </c>
      <c r="I1040" s="1" t="str">
        <f ca="1">IFERROR(__xludf.DUMMYFUNCTION("""COMPUTED_VALUE"""),"Simon")</f>
        <v>Simon</v>
      </c>
    </row>
    <row r="1041" spans="1:9" ht="12.7" x14ac:dyDescent="0.4">
      <c r="A1041" s="2">
        <f ca="1">IFERROR(__xludf.DUMMYFUNCTION("""COMPUTED_VALUE"""),45740.2195003125)</f>
        <v>45740.219500312502</v>
      </c>
      <c r="B1041" s="1" t="str">
        <f ca="1">IFERROR(__xludf.DUMMYFUNCTION("""COMPUTED_VALUE"""),"領料")</f>
        <v>領料</v>
      </c>
      <c r="C1041" s="1" t="str">
        <f ca="1">IFERROR(__xludf.DUMMYFUNCTION("""COMPUTED_VALUE"""),"AGT000000005")</f>
        <v>AGT000000005</v>
      </c>
      <c r="D1041" s="1" t="str">
        <f ca="1">IFERROR(__xludf.DUMMYFUNCTION("""COMPUTED_VALUE"""),"All/共用")</f>
        <v>All/共用</v>
      </c>
      <c r="E1041" s="1" t="str">
        <f ca="1">IFERROR(__xludf.DUMMYFUNCTION("""COMPUTED_VALUE"""),"p1/庫存")</f>
        <v>p1/庫存</v>
      </c>
      <c r="F1041" s="1">
        <f ca="1">IFERROR(__xludf.DUMMYFUNCTION("""COMPUTED_VALUE"""),1)</f>
        <v>1</v>
      </c>
      <c r="G1041" s="1"/>
      <c r="H1041" s="1" t="str">
        <f ca="1">IFERROR(__xludf.DUMMYFUNCTION("""COMPUTED_VALUE"""),"P1_017")</f>
        <v>P1_017</v>
      </c>
      <c r="I1041" s="1" t="str">
        <f ca="1">IFERROR(__xludf.DUMMYFUNCTION("""COMPUTED_VALUE"""),"Nick")</f>
        <v>Nick</v>
      </c>
    </row>
    <row r="1042" spans="1:9" ht="12.7" x14ac:dyDescent="0.4">
      <c r="A1042" s="2">
        <f ca="1">IFERROR(__xludf.DUMMYFUNCTION("""COMPUTED_VALUE"""),45740.6046929166)</f>
        <v>45740.604692916597</v>
      </c>
      <c r="B1042" s="1" t="str">
        <f ca="1">IFERROR(__xludf.DUMMYFUNCTION("""COMPUTED_VALUE"""),"返修")</f>
        <v>返修</v>
      </c>
      <c r="C1042" s="1" t="str">
        <f ca="1">IFERROR(__xludf.DUMMYFUNCTION("""COMPUTED_VALUE"""),"ME0100000079")</f>
        <v>ME0100000079</v>
      </c>
      <c r="D1042" s="1" t="str">
        <f ca="1">IFERROR(__xludf.DUMMYFUNCTION("""COMPUTED_VALUE"""),"All/COLOR")</f>
        <v>All/COLOR</v>
      </c>
      <c r="E1042" s="1" t="str">
        <f ca="1">IFERROR(__xludf.DUMMYFUNCTION("""COMPUTED_VALUE"""),"p1/庫存")</f>
        <v>p1/庫存</v>
      </c>
      <c r="F1042" s="1">
        <f ca="1">IFERROR(__xludf.DUMMYFUNCTION("""COMPUTED_VALUE"""),1)</f>
        <v>1</v>
      </c>
      <c r="G1042" s="1"/>
      <c r="H1042" s="1" t="str">
        <f ca="1">IFERROR(__xludf.DUMMYFUNCTION("""COMPUTED_VALUE"""),"P2_3002")</f>
        <v>P2_3002</v>
      </c>
      <c r="I1042" s="1" t="str">
        <f ca="1">IFERROR(__xludf.DUMMYFUNCTION("""COMPUTED_VALUE"""),"Simon")</f>
        <v>Simon</v>
      </c>
    </row>
    <row r="1043" spans="1:9" ht="12.7" x14ac:dyDescent="0.4">
      <c r="A1043" s="2">
        <f ca="1">IFERROR(__xludf.DUMMYFUNCTION("""COMPUTED_VALUE"""),45740.6059075694)</f>
        <v>45740.605907569399</v>
      </c>
      <c r="B1043" s="1" t="str">
        <f ca="1">IFERROR(__xludf.DUMMYFUNCTION("""COMPUTED_VALUE"""),"返修")</f>
        <v>返修</v>
      </c>
      <c r="C1043" s="1" t="str">
        <f ca="1">IFERROR(__xludf.DUMMYFUNCTION("""COMPUTED_VALUE"""),"ME0020000464")</f>
        <v>ME0020000464</v>
      </c>
      <c r="D1043" s="1" t="str">
        <f ca="1">IFERROR(__xludf.DUMMYFUNCTION("""COMPUTED_VALUE"""),"All/RL")</f>
        <v>All/RL</v>
      </c>
      <c r="E1043" s="1" t="str">
        <f ca="1">IFERROR(__xludf.DUMMYFUNCTION("""COMPUTED_VALUE"""),"p2/庫存")</f>
        <v>p2/庫存</v>
      </c>
      <c r="F1043" s="1">
        <f ca="1">IFERROR(__xludf.DUMMYFUNCTION("""COMPUTED_VALUE"""),1)</f>
        <v>1</v>
      </c>
      <c r="G1043" s="1" t="str">
        <f ca="1">IFERROR(__xludf.DUMMYFUNCTION("""COMPUTED_VALUE"""),"E1926Q6011000052-0E")</f>
        <v>E1926Q6011000052-0E</v>
      </c>
      <c r="H1043" s="1" t="str">
        <f ca="1">IFERROR(__xludf.DUMMYFUNCTION("""COMPUTED_VALUE"""),"P2_1006")</f>
        <v>P2_1006</v>
      </c>
      <c r="I1043" s="1" t="str">
        <f ca="1">IFERROR(__xludf.DUMMYFUNCTION("""COMPUTED_VALUE"""),"Simon")</f>
        <v>Simon</v>
      </c>
    </row>
    <row r="1044" spans="1:9" ht="12.7" x14ac:dyDescent="0.4">
      <c r="A1044" s="2">
        <f ca="1">IFERROR(__xludf.DUMMYFUNCTION("""COMPUTED_VALUE"""),45744.5605254745)</f>
        <v>45744.560525474502</v>
      </c>
      <c r="B1044" s="1" t="str">
        <f ca="1">IFERROR(__xludf.DUMMYFUNCTION("""COMPUTED_VALUE"""),"進貨")</f>
        <v>進貨</v>
      </c>
      <c r="C1044" s="1" t="str">
        <f ca="1">IFERROR(__xludf.DUMMYFUNCTION("""COMPUTED_VALUE"""),"ME0120000085")</f>
        <v>ME0120000085</v>
      </c>
      <c r="D1044" s="1" t="str">
        <f ca="1">IFERROR(__xludf.DUMMYFUNCTION("""COMPUTED_VALUE"""),"All/BA")</f>
        <v>All/BA</v>
      </c>
      <c r="E1044" s="1" t="str">
        <f ca="1">IFERROR(__xludf.DUMMYFUNCTION("""COMPUTED_VALUE"""),"p2/庫存")</f>
        <v>p2/庫存</v>
      </c>
      <c r="F1044" s="1">
        <f ca="1">IFERROR(__xludf.DUMMYFUNCTION("""COMPUTED_VALUE"""),100)</f>
        <v>100</v>
      </c>
      <c r="G1044" s="1"/>
      <c r="H1044" s="1" t="str">
        <f ca="1">IFERROR(__xludf.DUMMYFUNCTION("""COMPUTED_VALUE"""),"P2")</f>
        <v>P2</v>
      </c>
      <c r="I1044" s="1" t="str">
        <f ca="1">IFERROR(__xludf.DUMMYFUNCTION("""COMPUTED_VALUE"""),"Chiao Yu")</f>
        <v>Chiao Yu</v>
      </c>
    </row>
    <row r="1045" spans="1:9" ht="12.7" x14ac:dyDescent="0.4">
      <c r="A1045" s="2">
        <f ca="1">IFERROR(__xludf.DUMMYFUNCTION("""COMPUTED_VALUE"""),45744.5605954166)</f>
        <v>45744.560595416602</v>
      </c>
      <c r="B1045" s="1" t="str">
        <f ca="1">IFERROR(__xludf.DUMMYFUNCTION("""COMPUTED_VALUE"""),"進貨")</f>
        <v>進貨</v>
      </c>
      <c r="C1045" s="1" t="str">
        <f ca="1">IFERROR(__xludf.DUMMYFUNCTION("""COMPUTED_VALUE"""),"ME0030000065")</f>
        <v>ME0030000065</v>
      </c>
      <c r="D1045" s="1" t="str">
        <f ca="1">IFERROR(__xludf.DUMMYFUNCTION("""COMPUTED_VALUE"""),"All/共用")</f>
        <v>All/共用</v>
      </c>
      <c r="E1045" s="1" t="str">
        <f ca="1">IFERROR(__xludf.DUMMYFUNCTION("""COMPUTED_VALUE"""),"p1/庫存")</f>
        <v>p1/庫存</v>
      </c>
      <c r="F1045" s="1">
        <f ca="1">IFERROR(__xludf.DUMMYFUNCTION("""COMPUTED_VALUE"""),6)</f>
        <v>6</v>
      </c>
      <c r="G1045" s="1"/>
      <c r="H1045" s="1" t="str">
        <f ca="1">IFERROR(__xludf.DUMMYFUNCTION("""COMPUTED_VALUE"""),"P1")</f>
        <v>P1</v>
      </c>
      <c r="I1045" s="1" t="str">
        <f ca="1">IFERROR(__xludf.DUMMYFUNCTION("""COMPUTED_VALUE"""),"Simon")</f>
        <v>Simon</v>
      </c>
    </row>
    <row r="1046" spans="1:9" ht="12.7" x14ac:dyDescent="0.4">
      <c r="A1046" s="2">
        <f ca="1">IFERROR(__xludf.DUMMYFUNCTION("""COMPUTED_VALUE"""),45744.561513449)</f>
        <v>45744.561513449</v>
      </c>
      <c r="B1046" s="1" t="str">
        <f ca="1">IFERROR(__xludf.DUMMYFUNCTION("""COMPUTED_VALUE"""),"進貨")</f>
        <v>進貨</v>
      </c>
      <c r="C1046" s="1" t="str">
        <f ca="1">IFERROR(__xludf.DUMMYFUNCTION("""COMPUTED_VALUE"""),"A00700000862")</f>
        <v>A00700000862</v>
      </c>
      <c r="D1046" s="1" t="str">
        <f ca="1">IFERROR(__xludf.DUMMYFUNCTION("""COMPUTED_VALUE"""),"All/SB")</f>
        <v>All/SB</v>
      </c>
      <c r="E1046" s="1" t="str">
        <f ca="1">IFERROR(__xludf.DUMMYFUNCTION("""COMPUTED_VALUE"""),"p1/庫存")</f>
        <v>p1/庫存</v>
      </c>
      <c r="F1046" s="1">
        <f ca="1">IFERROR(__xludf.DUMMYFUNCTION("""COMPUTED_VALUE"""),9)</f>
        <v>9</v>
      </c>
      <c r="G1046" s="1"/>
      <c r="H1046" s="1" t="str">
        <f ca="1">IFERROR(__xludf.DUMMYFUNCTION("""COMPUTED_VALUE"""),"P1")</f>
        <v>P1</v>
      </c>
      <c r="I1046" s="1" t="str">
        <f ca="1">IFERROR(__xludf.DUMMYFUNCTION("""COMPUTED_VALUE"""),"Chiao Yu")</f>
        <v>Chiao Yu</v>
      </c>
    </row>
    <row r="1047" spans="1:9" ht="12.7" x14ac:dyDescent="0.4">
      <c r="A1047" s="2">
        <f ca="1">IFERROR(__xludf.DUMMYFUNCTION("""COMPUTED_VALUE"""),45744.56175478)</f>
        <v>45744.561754779999</v>
      </c>
      <c r="B1047" s="1" t="str">
        <f ca="1">IFERROR(__xludf.DUMMYFUNCTION("""COMPUTED_VALUE"""),"進貨")</f>
        <v>進貨</v>
      </c>
      <c r="C1047" s="1" t="str">
        <f ca="1">IFERROR(__xludf.DUMMYFUNCTION("""COMPUTED_VALUE"""),"ME0300000017")</f>
        <v>ME0300000017</v>
      </c>
      <c r="D1047" s="1" t="str">
        <f ca="1">IFERROR(__xludf.DUMMYFUNCTION("""COMPUTED_VALUE"""),"All/RL")</f>
        <v>All/RL</v>
      </c>
      <c r="E1047" s="1" t="str">
        <f ca="1">IFERROR(__xludf.DUMMYFUNCTION("""COMPUTED_VALUE"""),"p1/庫存")</f>
        <v>p1/庫存</v>
      </c>
      <c r="F1047" s="1">
        <f ca="1">IFERROR(__xludf.DUMMYFUNCTION("""COMPUTED_VALUE"""),1)</f>
        <v>1</v>
      </c>
      <c r="G1047" s="1"/>
      <c r="H1047" s="1" t="str">
        <f ca="1">IFERROR(__xludf.DUMMYFUNCTION("""COMPUTED_VALUE"""),"P1")</f>
        <v>P1</v>
      </c>
      <c r="I1047" s="1" t="str">
        <f ca="1">IFERROR(__xludf.DUMMYFUNCTION("""COMPUTED_VALUE"""),"Simon")</f>
        <v>Simon</v>
      </c>
    </row>
    <row r="1048" spans="1:9" ht="12.7" x14ac:dyDescent="0.4">
      <c r="A1048" s="2">
        <f ca="1">IFERROR(__xludf.DUMMYFUNCTION("""COMPUTED_VALUE"""),45744.5618172222)</f>
        <v>45744.561817222202</v>
      </c>
      <c r="B1048" s="1" t="str">
        <f ca="1">IFERROR(__xludf.DUMMYFUNCTION("""COMPUTED_VALUE"""),"進貨")</f>
        <v>進貨</v>
      </c>
      <c r="C1048" s="1" t="str">
        <f ca="1">IFERROR(__xludf.DUMMYFUNCTION("""COMPUTED_VALUE"""),"A00700000862")</f>
        <v>A00700000862</v>
      </c>
      <c r="D1048" s="1" t="str">
        <f ca="1">IFERROR(__xludf.DUMMYFUNCTION("""COMPUTED_VALUE"""),"All/SB")</f>
        <v>All/SB</v>
      </c>
      <c r="E1048" s="1" t="str">
        <f ca="1">IFERROR(__xludf.DUMMYFUNCTION("""COMPUTED_VALUE"""),"p2/庫存")</f>
        <v>p2/庫存</v>
      </c>
      <c r="F1048" s="1">
        <f ca="1">IFERROR(__xludf.DUMMYFUNCTION("""COMPUTED_VALUE"""),6)</f>
        <v>6</v>
      </c>
      <c r="G1048" s="1"/>
      <c r="H1048" s="1" t="str">
        <f ca="1">IFERROR(__xludf.DUMMYFUNCTION("""COMPUTED_VALUE"""),"P2")</f>
        <v>P2</v>
      </c>
      <c r="I1048" s="1" t="str">
        <f ca="1">IFERROR(__xludf.DUMMYFUNCTION("""COMPUTED_VALUE"""),"Chiao Yu")</f>
        <v>Chiao Yu</v>
      </c>
    </row>
    <row r="1049" spans="1:9" ht="12.7" x14ac:dyDescent="0.4">
      <c r="A1049" s="2">
        <f ca="1">IFERROR(__xludf.DUMMYFUNCTION("""COMPUTED_VALUE"""),45746.8240190162)</f>
        <v>45746.824019016203</v>
      </c>
      <c r="B1049" s="1" t="str">
        <f ca="1">IFERROR(__xludf.DUMMYFUNCTION("""COMPUTED_VALUE"""),"送修")</f>
        <v>送修</v>
      </c>
      <c r="C1049" s="1" t="str">
        <f ca="1">IFERROR(__xludf.DUMMYFUNCTION("""COMPUTED_VALUE"""),"ME0020000464")</f>
        <v>ME0020000464</v>
      </c>
      <c r="D1049" s="1" t="str">
        <f ca="1">IFERROR(__xludf.DUMMYFUNCTION("""COMPUTED_VALUE"""),"All/RL")</f>
        <v>All/RL</v>
      </c>
      <c r="E1049" s="1" t="str">
        <f ca="1">IFERROR(__xludf.DUMMYFUNCTION("""COMPUTED_VALUE"""),"p2/庫存")</f>
        <v>p2/庫存</v>
      </c>
      <c r="F1049" s="1">
        <f ca="1">IFERROR(__xludf.DUMMYFUNCTION("""COMPUTED_VALUE"""),1)</f>
        <v>1</v>
      </c>
      <c r="G1049" s="1" t="str">
        <f ca="1">IFERROR(__xludf.DUMMYFUNCTION("""COMPUTED_VALUE"""),"E19C6Q6011000021-0G")</f>
        <v>E19C6Q6011000021-0G</v>
      </c>
      <c r="H1049" s="1" t="str">
        <f ca="1">IFERROR(__xludf.DUMMYFUNCTION("""COMPUTED_VALUE"""),"P2_1004")</f>
        <v>P2_1004</v>
      </c>
      <c r="I1049" s="1" t="str">
        <f ca="1">IFERROR(__xludf.DUMMYFUNCTION("""COMPUTED_VALUE"""),"Simon")</f>
        <v>Simon</v>
      </c>
    </row>
    <row r="1050" spans="1:9" ht="12.7" x14ac:dyDescent="0.4">
      <c r="A1050" s="2">
        <f ca="1">IFERROR(__xludf.DUMMYFUNCTION("""COMPUTED_VALUE"""),45746.8249570717)</f>
        <v>45746.824957071702</v>
      </c>
      <c r="B1050" s="1" t="str">
        <f ca="1">IFERROR(__xludf.DUMMYFUNCTION("""COMPUTED_VALUE"""),"料件上線時間")</f>
        <v>料件上線時間</v>
      </c>
      <c r="C1050" s="1" t="str">
        <f ca="1">IFERROR(__xludf.DUMMYFUNCTION("""COMPUTED_VALUE"""),"ME0020000464")</f>
        <v>ME0020000464</v>
      </c>
      <c r="D1050" s="1" t="str">
        <f ca="1">IFERROR(__xludf.DUMMYFUNCTION("""COMPUTED_VALUE"""),"All/RL")</f>
        <v>All/RL</v>
      </c>
      <c r="E1050" s="1" t="str">
        <f ca="1">IFERROR(__xludf.DUMMYFUNCTION("""COMPUTED_VALUE"""),"p2/庫存")</f>
        <v>p2/庫存</v>
      </c>
      <c r="F1050" s="1">
        <f ca="1">IFERROR(__xludf.DUMMYFUNCTION("""COMPUTED_VALUE"""),1)</f>
        <v>1</v>
      </c>
      <c r="G1050" s="1" t="str">
        <f ca="1">IFERROR(__xludf.DUMMYFUNCTION("""COMPUTED_VALUE"""),"E1926Q6011000052-0E")</f>
        <v>E1926Q6011000052-0E</v>
      </c>
      <c r="H1050" s="1" t="str">
        <f ca="1">IFERROR(__xludf.DUMMYFUNCTION("""COMPUTED_VALUE"""),"P2_1004")</f>
        <v>P2_1004</v>
      </c>
      <c r="I1050" s="1" t="str">
        <f ca="1">IFERROR(__xludf.DUMMYFUNCTION("""COMPUTED_VALUE"""),"Simon")</f>
        <v>Simon</v>
      </c>
    </row>
    <row r="1051" spans="1:9" ht="12.7" x14ac:dyDescent="0.4">
      <c r="A1051" s="2">
        <f ca="1">IFERROR(__xludf.DUMMYFUNCTION("""COMPUTED_VALUE"""),45748.2836719097)</f>
        <v>45748.283671909703</v>
      </c>
      <c r="B1051" s="1" t="str">
        <f ca="1">IFERROR(__xludf.DUMMYFUNCTION("""COMPUTED_VALUE"""),"領料")</f>
        <v>領料</v>
      </c>
      <c r="C1051" s="1" t="str">
        <f ca="1">IFERROR(__xludf.DUMMYFUNCTION("""COMPUTED_VALUE"""),"MM0260000157")</f>
        <v>MM0260000157</v>
      </c>
      <c r="D1051" s="1" t="str">
        <f ca="1">IFERROR(__xludf.DUMMYFUNCTION("""COMPUTED_VALUE"""),"All/BA")</f>
        <v>All/BA</v>
      </c>
      <c r="E1051" s="1" t="str">
        <f ca="1">IFERROR(__xludf.DUMMYFUNCTION("""COMPUTED_VALUE"""),"p2/庫存")</f>
        <v>p2/庫存</v>
      </c>
      <c r="F1051" s="1">
        <f ca="1">IFERROR(__xludf.DUMMYFUNCTION("""COMPUTED_VALUE"""),1)</f>
        <v>1</v>
      </c>
      <c r="G1051" s="1"/>
      <c r="H1051" s="1" t="str">
        <f ca="1">IFERROR(__xludf.DUMMYFUNCTION("""COMPUTED_VALUE"""),"P2_042")</f>
        <v>P2_042</v>
      </c>
      <c r="I1051" s="1" t="str">
        <f ca="1">IFERROR(__xludf.DUMMYFUNCTION("""COMPUTED_VALUE"""),"Nick")</f>
        <v>Nick</v>
      </c>
    </row>
    <row r="1052" spans="1:9" ht="12.7" x14ac:dyDescent="0.4">
      <c r="A1052" s="2">
        <f ca="1">IFERROR(__xludf.DUMMYFUNCTION("""COMPUTED_VALUE"""),45748.2855357754)</f>
        <v>45748.285535775402</v>
      </c>
      <c r="B1052" s="1" t="str">
        <f ca="1">IFERROR(__xludf.DUMMYFUNCTION("""COMPUTED_VALUE"""),"送修")</f>
        <v>送修</v>
      </c>
      <c r="C1052" s="1" t="str">
        <f ca="1">IFERROR(__xludf.DUMMYFUNCTION("""COMPUTED_VALUE"""),"A00100000708")</f>
        <v>A00100000708</v>
      </c>
      <c r="D1052" s="1" t="str">
        <f ca="1">IFERROR(__xludf.DUMMYFUNCTION("""COMPUTED_VALUE"""),"All/BA")</f>
        <v>All/BA</v>
      </c>
      <c r="E1052" s="1" t="str">
        <f ca="1">IFERROR(__xludf.DUMMYFUNCTION("""COMPUTED_VALUE"""),"p2/庫存")</f>
        <v>p2/庫存</v>
      </c>
      <c r="F1052" s="1">
        <f ca="1">IFERROR(__xludf.DUMMYFUNCTION("""COMPUTED_VALUE"""),1)</f>
        <v>1</v>
      </c>
      <c r="G1052" s="1"/>
      <c r="H1052" s="1" t="str">
        <f ca="1">IFERROR(__xludf.DUMMYFUNCTION("""COMPUTED_VALUE"""),"P2_042")</f>
        <v>P2_042</v>
      </c>
      <c r="I1052" s="1" t="str">
        <f ca="1">IFERROR(__xludf.DUMMYFUNCTION("""COMPUTED_VALUE"""),"Jason")</f>
        <v>Jason</v>
      </c>
    </row>
    <row r="1053" spans="1:9" ht="12.7" x14ac:dyDescent="0.4">
      <c r="A1053" s="2">
        <f ca="1">IFERROR(__xludf.DUMMYFUNCTION("""COMPUTED_VALUE"""),45748.4703717245)</f>
        <v>45748.470371724499</v>
      </c>
      <c r="B1053" s="1" t="str">
        <f ca="1">IFERROR(__xludf.DUMMYFUNCTION("""COMPUTED_VALUE"""),"送修")</f>
        <v>送修</v>
      </c>
      <c r="C1053" s="1" t="str">
        <f ca="1">IFERROR(__xludf.DUMMYFUNCTION("""COMPUTED_VALUE"""),"ME0020000525")</f>
        <v>ME0020000525</v>
      </c>
      <c r="D1053" s="1" t="str">
        <f ca="1">IFERROR(__xludf.DUMMYFUNCTION("""COMPUTED_VALUE"""),"All/共用")</f>
        <v>All/共用</v>
      </c>
      <c r="E1053" s="1" t="str">
        <f ca="1">IFERROR(__xludf.DUMMYFUNCTION("""COMPUTED_VALUE"""),"p1/庫存")</f>
        <v>p1/庫存</v>
      </c>
      <c r="F1053" s="1">
        <f ca="1">IFERROR(__xludf.DUMMYFUNCTION("""COMPUTED_VALUE"""),1)</f>
        <v>1</v>
      </c>
      <c r="G1053" s="1" t="str">
        <f ca="1">IFERROR(__xludf.DUMMYFUNCTION("""COMPUTED_VALUE"""),"2223E63980E2")</f>
        <v>2223E63980E2</v>
      </c>
      <c r="H1053" s="1" t="str">
        <f ca="1">IFERROR(__xludf.DUMMYFUNCTION("""COMPUTED_VALUE"""),"P1_030")</f>
        <v>P1_030</v>
      </c>
      <c r="I1053" s="1" t="str">
        <f ca="1">IFERROR(__xludf.DUMMYFUNCTION("""COMPUTED_VALUE"""),"Chiao Yu")</f>
        <v>Chiao Yu</v>
      </c>
    </row>
    <row r="1054" spans="1:9" ht="12.7" x14ac:dyDescent="0.4">
      <c r="A1054" s="2">
        <f ca="1">IFERROR(__xludf.DUMMYFUNCTION("""COMPUTED_VALUE"""),45748.4714111805)</f>
        <v>45748.471411180501</v>
      </c>
      <c r="B1054" s="1" t="str">
        <f ca="1">IFERROR(__xludf.DUMMYFUNCTION("""COMPUTED_VALUE"""),"料件上線時間")</f>
        <v>料件上線時間</v>
      </c>
      <c r="C1054" s="1" t="str">
        <f ca="1">IFERROR(__xludf.DUMMYFUNCTION("""COMPUTED_VALUE"""),"ME0020000525")</f>
        <v>ME0020000525</v>
      </c>
      <c r="D1054" s="1" t="str">
        <f ca="1">IFERROR(__xludf.DUMMYFUNCTION("""COMPUTED_VALUE"""),"All/共用")</f>
        <v>All/共用</v>
      </c>
      <c r="E1054" s="1" t="str">
        <f ca="1">IFERROR(__xludf.DUMMYFUNCTION("""COMPUTED_VALUE"""),"p1/庫存")</f>
        <v>p1/庫存</v>
      </c>
      <c r="F1054" s="1">
        <f ca="1">IFERROR(__xludf.DUMMYFUNCTION("""COMPUTED_VALUE"""),1)</f>
        <v>1</v>
      </c>
      <c r="G1054" s="1" t="str">
        <f ca="1">IFERROR(__xludf.DUMMYFUNCTION("""COMPUTED_VALUE"""),"2408E8999DBD")</f>
        <v>2408E8999DBD</v>
      </c>
      <c r="H1054" s="1" t="str">
        <f ca="1">IFERROR(__xludf.DUMMYFUNCTION("""COMPUTED_VALUE"""),"P1_030")</f>
        <v>P1_030</v>
      </c>
      <c r="I1054" s="1" t="str">
        <f ca="1">IFERROR(__xludf.DUMMYFUNCTION("""COMPUTED_VALUE"""),"Chiao Yu")</f>
        <v>Chiao Yu</v>
      </c>
    </row>
    <row r="1055" spans="1:9" ht="12.7" x14ac:dyDescent="0.4">
      <c r="A1055" s="2">
        <f ca="1">IFERROR(__xludf.DUMMYFUNCTION("""COMPUTED_VALUE"""),45754.6363460763)</f>
        <v>45754.636346076302</v>
      </c>
      <c r="B1055" s="1" t="str">
        <f ca="1">IFERROR(__xludf.DUMMYFUNCTION("""COMPUTED_VALUE"""),"返修")</f>
        <v>返修</v>
      </c>
      <c r="C1055" s="1" t="str">
        <f ca="1">IFERROR(__xludf.DUMMYFUNCTION("""COMPUTED_VALUE"""),"ME0020000632")</f>
        <v>ME0020000632</v>
      </c>
      <c r="D1055" s="1" t="str">
        <f ca="1">IFERROR(__xludf.DUMMYFUNCTION("""COMPUTED_VALUE"""),"All/共用")</f>
        <v>All/共用</v>
      </c>
      <c r="E1055" s="1" t="str">
        <f ca="1">IFERROR(__xludf.DUMMYFUNCTION("""COMPUTED_VALUE"""),"p1/庫存")</f>
        <v>p1/庫存</v>
      </c>
      <c r="F1055" s="1">
        <f ca="1">IFERROR(__xludf.DUMMYFUNCTION("""COMPUTED_VALUE"""),1)</f>
        <v>1</v>
      </c>
      <c r="G1055" s="1" t="str">
        <f ca="1">IFERROR(__xludf.DUMMYFUNCTION("""COMPUTED_VALUE"""),"50026B79837")</f>
        <v>50026B79837</v>
      </c>
      <c r="H1055" s="1" t="str">
        <f ca="1">IFERROR(__xludf.DUMMYFUNCTION("""COMPUTED_VALUE"""),"P2_4003")</f>
        <v>P2_4003</v>
      </c>
      <c r="I1055" s="1" t="str">
        <f ca="1">IFERROR(__xludf.DUMMYFUNCTION("""COMPUTED_VALUE"""),"Simon")</f>
        <v>Simon</v>
      </c>
    </row>
    <row r="1056" spans="1:9" ht="12.7" x14ac:dyDescent="0.4">
      <c r="A1056" s="2">
        <f ca="1">IFERROR(__xludf.DUMMYFUNCTION("""COMPUTED_VALUE"""),45755.3348854513)</f>
        <v>45755.334885451302</v>
      </c>
      <c r="B1056" s="1" t="str">
        <f ca="1">IFERROR(__xludf.DUMMYFUNCTION("""COMPUTED_VALUE"""),"領料")</f>
        <v>領料</v>
      </c>
      <c r="C1056" s="1" t="str">
        <f ca="1">IFERROR(__xludf.DUMMYFUNCTION("""COMPUTED_VALUE"""),"AGT000000005")</f>
        <v>AGT000000005</v>
      </c>
      <c r="D1056" s="1" t="str">
        <f ca="1">IFERROR(__xludf.DUMMYFUNCTION("""COMPUTED_VALUE"""),"All/共用")</f>
        <v>All/共用</v>
      </c>
      <c r="E1056" s="1" t="str">
        <f ca="1">IFERROR(__xludf.DUMMYFUNCTION("""COMPUTED_VALUE"""),"p1/庫存")</f>
        <v>p1/庫存</v>
      </c>
      <c r="F1056" s="1">
        <f ca="1">IFERROR(__xludf.DUMMYFUNCTION("""COMPUTED_VALUE"""),1)</f>
        <v>1</v>
      </c>
      <c r="G1056" s="1"/>
      <c r="H1056" s="1" t="str">
        <f ca="1">IFERROR(__xludf.DUMMYFUNCTION("""COMPUTED_VALUE"""),"P1_027")</f>
        <v>P1_027</v>
      </c>
      <c r="I1056" s="1" t="str">
        <f ca="1">IFERROR(__xludf.DUMMYFUNCTION("""COMPUTED_VALUE"""),"Nick")</f>
        <v>Nick</v>
      </c>
    </row>
    <row r="1057" spans="1:9" ht="12.7" x14ac:dyDescent="0.4">
      <c r="A1057" s="2">
        <f ca="1">IFERROR(__xludf.DUMMYFUNCTION("""COMPUTED_VALUE"""),45755.3364291551)</f>
        <v>45755.336429155097</v>
      </c>
      <c r="B1057" s="1" t="str">
        <f ca="1">IFERROR(__xludf.DUMMYFUNCTION("""COMPUTED_VALUE"""),"領料")</f>
        <v>領料</v>
      </c>
      <c r="C1057" s="1" t="str">
        <f ca="1">IFERROR(__xludf.DUMMYFUNCTION("""COMPUTED_VALUE"""),"ME0120000085")</f>
        <v>ME0120000085</v>
      </c>
      <c r="D1057" s="1" t="str">
        <f ca="1">IFERROR(__xludf.DUMMYFUNCTION("""COMPUTED_VALUE"""),"All/BA")</f>
        <v>All/BA</v>
      </c>
      <c r="E1057" s="1" t="str">
        <f ca="1">IFERROR(__xludf.DUMMYFUNCTION("""COMPUTED_VALUE"""),"p2/庫存")</f>
        <v>p2/庫存</v>
      </c>
      <c r="F1057" s="1">
        <f ca="1">IFERROR(__xludf.DUMMYFUNCTION("""COMPUTED_VALUE"""),180)</f>
        <v>180</v>
      </c>
      <c r="G1057" s="1"/>
      <c r="H1057" s="1" t="str">
        <f ca="1">IFERROR(__xludf.DUMMYFUNCTION("""COMPUTED_VALUE"""),"P2")</f>
        <v>P2</v>
      </c>
      <c r="I1057" s="1" t="str">
        <f ca="1">IFERROR(__xludf.DUMMYFUNCTION("""COMPUTED_VALUE"""),"Nick")</f>
        <v>Nick</v>
      </c>
    </row>
    <row r="1058" spans="1:9" ht="12.7" x14ac:dyDescent="0.4">
      <c r="A1058" s="2">
        <f ca="1">IFERROR(__xludf.DUMMYFUNCTION("""COMPUTED_VALUE"""),45761.4086181134)</f>
        <v>45761.408618113397</v>
      </c>
      <c r="B1058" s="1" t="str">
        <f ca="1">IFERROR(__xludf.DUMMYFUNCTION("""COMPUTED_VALUE"""),"庫存調整")</f>
        <v>庫存調整</v>
      </c>
      <c r="C1058" s="1" t="str">
        <f ca="1">IFERROR(__xludf.DUMMYFUNCTION("""COMPUTED_VALUE"""),"ME0010000263")</f>
        <v>ME0010000263</v>
      </c>
      <c r="D1058" s="1" t="str">
        <f ca="1">IFERROR(__xludf.DUMMYFUNCTION("""COMPUTED_VALUE"""),"All/共用")</f>
        <v>All/共用</v>
      </c>
      <c r="E1058" s="1" t="str">
        <f ca="1">IFERROR(__xludf.DUMMYFUNCTION("""COMPUTED_VALUE"""),"p1/庫存")</f>
        <v>p1/庫存</v>
      </c>
      <c r="F1058" s="1">
        <f ca="1">IFERROR(__xludf.DUMMYFUNCTION("""COMPUTED_VALUE"""),1)</f>
        <v>1</v>
      </c>
      <c r="G1058" s="1"/>
      <c r="H1058" s="1" t="str">
        <f ca="1">IFERROR(__xludf.DUMMYFUNCTION("""COMPUTED_VALUE"""),"P1")</f>
        <v>P1</v>
      </c>
      <c r="I1058" s="1" t="str">
        <f ca="1">IFERROR(__xludf.DUMMYFUNCTION("""COMPUTED_VALUE"""),"Chiao Yu")</f>
        <v>Chiao Yu</v>
      </c>
    </row>
    <row r="1059" spans="1:9" ht="12.7" x14ac:dyDescent="0.4">
      <c r="A1059" s="2">
        <f ca="1">IFERROR(__xludf.DUMMYFUNCTION("""COMPUTED_VALUE"""),45761.5103556944)</f>
        <v>45761.510355694401</v>
      </c>
      <c r="B1059" s="1" t="str">
        <f ca="1">IFERROR(__xludf.DUMMYFUNCTION("""COMPUTED_VALUE"""),"返修")</f>
        <v>返修</v>
      </c>
      <c r="C1059" s="1" t="str">
        <f ca="1">IFERROR(__xludf.DUMMYFUNCTION("""COMPUTED_VALUE"""),"A00100000731")</f>
        <v>A00100000731</v>
      </c>
      <c r="D1059" s="1" t="str">
        <f ca="1">IFERROR(__xludf.DUMMYFUNCTION("""COMPUTED_VALUE"""),"All/BA")</f>
        <v>All/BA</v>
      </c>
      <c r="E1059" s="1" t="str">
        <f ca="1">IFERROR(__xludf.DUMMYFUNCTION("""COMPUTED_VALUE"""),"p1/庫存")</f>
        <v>p1/庫存</v>
      </c>
      <c r="F1059" s="1">
        <f ca="1">IFERROR(__xludf.DUMMYFUNCTION("""COMPUTED_VALUE"""),1)</f>
        <v>1</v>
      </c>
      <c r="G1059" s="1" t="str">
        <f ca="1">IFERROR(__xludf.DUMMYFUNCTION("""COMPUTED_VALUE"""),"06F338")</f>
        <v>06F338</v>
      </c>
      <c r="H1059" s="1" t="str">
        <f ca="1">IFERROR(__xludf.DUMMYFUNCTION("""COMPUTED_VALUE"""),"P1")</f>
        <v>P1</v>
      </c>
      <c r="I1059" s="1" t="str">
        <f ca="1">IFERROR(__xludf.DUMMYFUNCTION("""COMPUTED_VALUE"""),"Chiao Yu")</f>
        <v>Chiao Yu</v>
      </c>
    </row>
    <row r="1060" spans="1:9" ht="12.7" x14ac:dyDescent="0.4">
      <c r="A1060" s="2">
        <f ca="1">IFERROR(__xludf.DUMMYFUNCTION("""COMPUTED_VALUE"""),45763.6673656481)</f>
        <v>45763.6673656481</v>
      </c>
      <c r="B1060" s="1" t="str">
        <f ca="1">IFERROR(__xludf.DUMMYFUNCTION("""COMPUTED_VALUE"""),"送修")</f>
        <v>送修</v>
      </c>
      <c r="C1060" s="1" t="str">
        <f ca="1">IFERROR(__xludf.DUMMYFUNCTION("""COMPUTED_VALUE"""),"A00900000618")</f>
        <v>A00900000618</v>
      </c>
      <c r="D1060" s="1" t="str">
        <f ca="1">IFERROR(__xludf.DUMMYFUNCTION("""COMPUTED_VALUE"""),"All/共用")</f>
        <v>All/共用</v>
      </c>
      <c r="E1060" s="1" t="str">
        <f ca="1">IFERROR(__xludf.DUMMYFUNCTION("""COMPUTED_VALUE"""),"p1/庫存")</f>
        <v>p1/庫存</v>
      </c>
      <c r="F1060" s="1">
        <f ca="1">IFERROR(__xludf.DUMMYFUNCTION("""COMPUTED_VALUE"""),1)</f>
        <v>1</v>
      </c>
      <c r="G1060" s="1" t="str">
        <f ca="1">IFERROR(__xludf.DUMMYFUNCTION("""COMPUTED_VALUE"""),"CST350BK2307000003")</f>
        <v>CST350BK2307000003</v>
      </c>
      <c r="H1060" s="1" t="str">
        <f ca="1">IFERROR(__xludf.DUMMYFUNCTION("""COMPUTED_VALUE"""),"P1_4006")</f>
        <v>P1_4006</v>
      </c>
      <c r="I1060" s="1" t="str">
        <f ca="1">IFERROR(__xludf.DUMMYFUNCTION("""COMPUTED_VALUE"""),"Barry")</f>
        <v>Barry</v>
      </c>
    </row>
    <row r="1061" spans="1:9" ht="12.7" x14ac:dyDescent="0.4">
      <c r="A1061" s="2">
        <f ca="1">IFERROR(__xludf.DUMMYFUNCTION("""COMPUTED_VALUE"""),45763.6681016203)</f>
        <v>45763.6681016203</v>
      </c>
      <c r="B1061" s="1" t="str">
        <f ca="1">IFERROR(__xludf.DUMMYFUNCTION("""COMPUTED_VALUE"""),"料件上線時間")</f>
        <v>料件上線時間</v>
      </c>
      <c r="C1061" s="1" t="str">
        <f ca="1">IFERROR(__xludf.DUMMYFUNCTION("""COMPUTED_VALUE"""),"A00900000618")</f>
        <v>A00900000618</v>
      </c>
      <c r="D1061" s="1" t="str">
        <f ca="1">IFERROR(__xludf.DUMMYFUNCTION("""COMPUTED_VALUE"""),"All/共用")</f>
        <v>All/共用</v>
      </c>
      <c r="E1061" s="1" t="str">
        <f ca="1">IFERROR(__xludf.DUMMYFUNCTION("""COMPUTED_VALUE"""),"p1/庫存")</f>
        <v>p1/庫存</v>
      </c>
      <c r="F1061" s="1">
        <f ca="1">IFERROR(__xludf.DUMMYFUNCTION("""COMPUTED_VALUE"""),1)</f>
        <v>1</v>
      </c>
      <c r="G1061" s="1"/>
      <c r="H1061" s="1" t="str">
        <f ca="1">IFERROR(__xludf.DUMMYFUNCTION("""COMPUTED_VALUE"""),"P1_4006")</f>
        <v>P1_4006</v>
      </c>
      <c r="I1061" s="1" t="str">
        <f ca="1">IFERROR(__xludf.DUMMYFUNCTION("""COMPUTED_VALUE"""),"Simon")</f>
        <v>Simon</v>
      </c>
    </row>
    <row r="1062" spans="1:9" ht="12.7" x14ac:dyDescent="0.4">
      <c r="A1062" s="2">
        <f ca="1">IFERROR(__xludf.DUMMYFUNCTION("""COMPUTED_VALUE"""),45764.2589077314)</f>
        <v>45764.258907731397</v>
      </c>
      <c r="B1062" s="1" t="str">
        <f ca="1">IFERROR(__xludf.DUMMYFUNCTION("""COMPUTED_VALUE"""),"送修")</f>
        <v>送修</v>
      </c>
      <c r="C1062" s="1" t="str">
        <f ca="1">IFERROR(__xludf.DUMMYFUNCTION("""COMPUTED_VALUE"""),"A00100000731")</f>
        <v>A00100000731</v>
      </c>
      <c r="D1062" s="1" t="str">
        <f ca="1">IFERROR(__xludf.DUMMYFUNCTION("""COMPUTED_VALUE"""),"All/BA")</f>
        <v>All/BA</v>
      </c>
      <c r="E1062" s="1" t="str">
        <f ca="1">IFERROR(__xludf.DUMMYFUNCTION("""COMPUTED_VALUE"""),"p1/庫存")</f>
        <v>p1/庫存</v>
      </c>
      <c r="F1062" s="1">
        <f ca="1">IFERROR(__xludf.DUMMYFUNCTION("""COMPUTED_VALUE"""),1)</f>
        <v>1</v>
      </c>
      <c r="G1062" s="1" t="str">
        <f ca="1">IFERROR(__xludf.DUMMYFUNCTION("""COMPUTED_VALUE"""),"04F553")</f>
        <v>04F553</v>
      </c>
      <c r="H1062" s="1" t="str">
        <f ca="1">IFERROR(__xludf.DUMMYFUNCTION("""COMPUTED_VALUE"""),"P1_023")</f>
        <v>P1_023</v>
      </c>
      <c r="I1062" s="1" t="str">
        <f ca="1">IFERROR(__xludf.DUMMYFUNCTION("""COMPUTED_VALUE"""),"Nick")</f>
        <v>Nick</v>
      </c>
    </row>
    <row r="1063" spans="1:9" ht="12.7" x14ac:dyDescent="0.4">
      <c r="A1063" s="2">
        <f ca="1">IFERROR(__xludf.DUMMYFUNCTION("""COMPUTED_VALUE"""),45764.3387970949)</f>
        <v>45764.338797094897</v>
      </c>
      <c r="B1063" s="1" t="str">
        <f ca="1">IFERROR(__xludf.DUMMYFUNCTION("""COMPUTED_VALUE"""),"料件上線時間")</f>
        <v>料件上線時間</v>
      </c>
      <c r="C1063" s="1" t="str">
        <f ca="1">IFERROR(__xludf.DUMMYFUNCTION("""COMPUTED_VALUE"""),"A00100000731")</f>
        <v>A00100000731</v>
      </c>
      <c r="D1063" s="1" t="str">
        <f ca="1">IFERROR(__xludf.DUMMYFUNCTION("""COMPUTED_VALUE"""),"All/BA")</f>
        <v>All/BA</v>
      </c>
      <c r="E1063" s="1" t="str">
        <f ca="1">IFERROR(__xludf.DUMMYFUNCTION("""COMPUTED_VALUE"""),"p1/庫存")</f>
        <v>p1/庫存</v>
      </c>
      <c r="F1063" s="1">
        <f ca="1">IFERROR(__xludf.DUMMYFUNCTION("""COMPUTED_VALUE"""),1)</f>
        <v>1</v>
      </c>
      <c r="G1063" s="1" t="str">
        <f ca="1">IFERROR(__xludf.DUMMYFUNCTION("""COMPUTED_VALUE"""),"06F338")</f>
        <v>06F338</v>
      </c>
      <c r="H1063" s="1" t="str">
        <f ca="1">IFERROR(__xludf.DUMMYFUNCTION("""COMPUTED_VALUE"""),"P1_023")</f>
        <v>P1_023</v>
      </c>
      <c r="I1063" s="1" t="str">
        <f ca="1">IFERROR(__xludf.DUMMYFUNCTION("""COMPUTED_VALUE"""),"Nick")</f>
        <v>Nick</v>
      </c>
    </row>
    <row r="1064" spans="1:9" ht="12.7" x14ac:dyDescent="0.4">
      <c r="A1064" s="2">
        <f ca="1">IFERROR(__xludf.DUMMYFUNCTION("""COMPUTED_VALUE"""),45765.5710805439)</f>
        <v>45765.571080543901</v>
      </c>
      <c r="B1064" s="1" t="str">
        <f ca="1">IFERROR(__xludf.DUMMYFUNCTION("""COMPUTED_VALUE"""),"領料")</f>
        <v>領料</v>
      </c>
      <c r="C1064" s="1" t="str">
        <f ca="1">IFERROR(__xludf.DUMMYFUNCTION("""COMPUTED_VALUE"""),"A00700000862")</f>
        <v>A00700000862</v>
      </c>
      <c r="D1064" s="1" t="str">
        <f ca="1">IFERROR(__xludf.DUMMYFUNCTION("""COMPUTED_VALUE"""),"All/SB")</f>
        <v>All/SB</v>
      </c>
      <c r="E1064" s="1" t="str">
        <f ca="1">IFERROR(__xludf.DUMMYFUNCTION("""COMPUTED_VALUE"""),"p1/庫存")</f>
        <v>p1/庫存</v>
      </c>
      <c r="F1064" s="1">
        <f ca="1">IFERROR(__xludf.DUMMYFUNCTION("""COMPUTED_VALUE"""),3)</f>
        <v>3</v>
      </c>
      <c r="G1064" s="1"/>
      <c r="H1064" s="1" t="str">
        <f ca="1">IFERROR(__xludf.DUMMYFUNCTION("""COMPUTED_VALUE"""),"P1_4006")</f>
        <v>P1_4006</v>
      </c>
      <c r="I1064" s="1" t="str">
        <f ca="1">IFERROR(__xludf.DUMMYFUNCTION("""COMPUTED_VALUE"""),"Jason")</f>
        <v>Jason</v>
      </c>
    </row>
    <row r="1065" spans="1:9" ht="12.7" x14ac:dyDescent="0.4">
      <c r="A1065" s="2">
        <f ca="1">IFERROR(__xludf.DUMMYFUNCTION("""COMPUTED_VALUE"""),45765.5720280555)</f>
        <v>45765.572028055503</v>
      </c>
      <c r="B1065" s="1" t="str">
        <f ca="1">IFERROR(__xludf.DUMMYFUNCTION("""COMPUTED_VALUE"""),"進貨")</f>
        <v>進貨</v>
      </c>
      <c r="C1065" s="1" t="str">
        <f ca="1">IFERROR(__xludf.DUMMYFUNCTION("""COMPUTED_VALUE"""),"A00700000862")</f>
        <v>A00700000862</v>
      </c>
      <c r="D1065" s="1" t="str">
        <f ca="1">IFERROR(__xludf.DUMMYFUNCTION("""COMPUTED_VALUE"""),"All/SB")</f>
        <v>All/SB</v>
      </c>
      <c r="E1065" s="1" t="str">
        <f ca="1">IFERROR(__xludf.DUMMYFUNCTION("""COMPUTED_VALUE"""),"p1/庫存")</f>
        <v>p1/庫存</v>
      </c>
      <c r="F1065" s="1">
        <f ca="1">IFERROR(__xludf.DUMMYFUNCTION("""COMPUTED_VALUE"""),3)</f>
        <v>3</v>
      </c>
      <c r="G1065" s="1"/>
      <c r="H1065" s="1" t="str">
        <f ca="1">IFERROR(__xludf.DUMMYFUNCTION("""COMPUTED_VALUE"""),"P1")</f>
        <v>P1</v>
      </c>
      <c r="I1065" s="1" t="str">
        <f ca="1">IFERROR(__xludf.DUMMYFUNCTION("""COMPUTED_VALUE"""),"Simon")</f>
        <v>Simon</v>
      </c>
    </row>
    <row r="1066" spans="1:9" ht="12.7" x14ac:dyDescent="0.4">
      <c r="A1066" s="2">
        <f ca="1">IFERROR(__xludf.DUMMYFUNCTION("""COMPUTED_VALUE"""),45765.5770772685)</f>
        <v>45765.577077268499</v>
      </c>
      <c r="B1066" s="1" t="str">
        <f ca="1">IFERROR(__xludf.DUMMYFUNCTION("""COMPUTED_VALUE"""),"領料")</f>
        <v>領料</v>
      </c>
      <c r="C1066" s="1" t="str">
        <f ca="1">IFERROR(__xludf.DUMMYFUNCTION("""COMPUTED_VALUE"""),"A00700000862")</f>
        <v>A00700000862</v>
      </c>
      <c r="D1066" s="1" t="str">
        <f ca="1">IFERROR(__xludf.DUMMYFUNCTION("""COMPUTED_VALUE"""),"All/SB")</f>
        <v>All/SB</v>
      </c>
      <c r="E1066" s="1" t="str">
        <f ca="1">IFERROR(__xludf.DUMMYFUNCTION("""COMPUTED_VALUE"""),"p2/庫存")</f>
        <v>p2/庫存</v>
      </c>
      <c r="F1066" s="1">
        <f ca="1">IFERROR(__xludf.DUMMYFUNCTION("""COMPUTED_VALUE"""),6)</f>
        <v>6</v>
      </c>
      <c r="G1066" s="1"/>
      <c r="H1066" s="1" t="str">
        <f ca="1">IFERROR(__xludf.DUMMYFUNCTION("""COMPUTED_VALUE"""),"P2")</f>
        <v>P2</v>
      </c>
      <c r="I1066" s="1" t="str">
        <f ca="1">IFERROR(__xludf.DUMMYFUNCTION("""COMPUTED_VALUE"""),"Jason")</f>
        <v>Jason</v>
      </c>
    </row>
    <row r="1067" spans="1:9" ht="12.7" x14ac:dyDescent="0.4">
      <c r="A1067" s="2">
        <f ca="1">IFERROR(__xludf.DUMMYFUNCTION("""COMPUTED_VALUE"""),45765.5783727546)</f>
        <v>45765.5783727546</v>
      </c>
      <c r="B1067" s="1" t="str">
        <f ca="1">IFERROR(__xludf.DUMMYFUNCTION("""COMPUTED_VALUE"""),"進貨")</f>
        <v>進貨</v>
      </c>
      <c r="C1067" s="1" t="str">
        <f ca="1">IFERROR(__xludf.DUMMYFUNCTION("""COMPUTED_VALUE"""),"A00700000862")</f>
        <v>A00700000862</v>
      </c>
      <c r="D1067" s="1" t="str">
        <f ca="1">IFERROR(__xludf.DUMMYFUNCTION("""COMPUTED_VALUE"""),"All/SB")</f>
        <v>All/SB</v>
      </c>
      <c r="E1067" s="1" t="str">
        <f ca="1">IFERROR(__xludf.DUMMYFUNCTION("""COMPUTED_VALUE"""),"p2/庫存")</f>
        <v>p2/庫存</v>
      </c>
      <c r="F1067" s="1">
        <f ca="1">IFERROR(__xludf.DUMMYFUNCTION("""COMPUTED_VALUE"""),3)</f>
        <v>3</v>
      </c>
      <c r="G1067" s="1"/>
      <c r="H1067" s="1" t="str">
        <f ca="1">IFERROR(__xludf.DUMMYFUNCTION("""COMPUTED_VALUE"""),"P2")</f>
        <v>P2</v>
      </c>
      <c r="I1067" s="1" t="str">
        <f ca="1">IFERROR(__xludf.DUMMYFUNCTION("""COMPUTED_VALUE"""),"Simon")</f>
        <v>Simon</v>
      </c>
    </row>
    <row r="1068" spans="1:9" ht="12.7" x14ac:dyDescent="0.4">
      <c r="A1068" s="2">
        <f ca="1">IFERROR(__xludf.DUMMYFUNCTION("""COMPUTED_VALUE"""),45765.581672662)</f>
        <v>45765.581672662003</v>
      </c>
      <c r="B1068" s="1" t="str">
        <f ca="1">IFERROR(__xludf.DUMMYFUNCTION("""COMPUTED_VALUE"""),"進貨")</f>
        <v>進貨</v>
      </c>
      <c r="C1068" s="1" t="str">
        <f ca="1">IFERROR(__xludf.DUMMYFUNCTION("""COMPUTED_VALUE"""),"A00700000837")</f>
        <v>A00700000837</v>
      </c>
      <c r="D1068" s="1" t="str">
        <f ca="1">IFERROR(__xludf.DUMMYFUNCTION("""COMPUTED_VALUE"""),"All/COLOR")</f>
        <v>All/COLOR</v>
      </c>
      <c r="E1068" s="1" t="str">
        <f ca="1">IFERROR(__xludf.DUMMYFUNCTION("""COMPUTED_VALUE"""),"p1/庫存")</f>
        <v>p1/庫存</v>
      </c>
      <c r="F1068" s="1">
        <f ca="1">IFERROR(__xludf.DUMMYFUNCTION("""COMPUTED_VALUE"""),3)</f>
        <v>3</v>
      </c>
      <c r="G1068" s="1"/>
      <c r="H1068" s="1" t="str">
        <f ca="1">IFERROR(__xludf.DUMMYFUNCTION("""COMPUTED_VALUE"""),"P1")</f>
        <v>P1</v>
      </c>
      <c r="I1068" s="1" t="str">
        <f ca="1">IFERROR(__xludf.DUMMYFUNCTION("""COMPUTED_VALUE"""),"Simon")</f>
        <v>Simon</v>
      </c>
    </row>
    <row r="1069" spans="1:9" ht="12.7" x14ac:dyDescent="0.4">
      <c r="A1069" s="2">
        <f ca="1">IFERROR(__xludf.DUMMYFUNCTION("""COMPUTED_VALUE"""),45765.5823222916)</f>
        <v>45765.582322291601</v>
      </c>
      <c r="B1069" s="1" t="str">
        <f ca="1">IFERROR(__xludf.DUMMYFUNCTION("""COMPUTED_VALUE"""),"進貨")</f>
        <v>進貨</v>
      </c>
      <c r="C1069" s="1" t="str">
        <f ca="1">IFERROR(__xludf.DUMMYFUNCTION("""COMPUTED_VALUE"""),"A00700000837")</f>
        <v>A00700000837</v>
      </c>
      <c r="D1069" s="1" t="str">
        <f ca="1">IFERROR(__xludf.DUMMYFUNCTION("""COMPUTED_VALUE"""),"All/COLOR")</f>
        <v>All/COLOR</v>
      </c>
      <c r="E1069" s="1" t="str">
        <f ca="1">IFERROR(__xludf.DUMMYFUNCTION("""COMPUTED_VALUE"""),"p2/庫存")</f>
        <v>p2/庫存</v>
      </c>
      <c r="F1069" s="1">
        <f ca="1">IFERROR(__xludf.DUMMYFUNCTION("""COMPUTED_VALUE"""),6)</f>
        <v>6</v>
      </c>
      <c r="G1069" s="1"/>
      <c r="H1069" s="1" t="str">
        <f ca="1">IFERROR(__xludf.DUMMYFUNCTION("""COMPUTED_VALUE"""),"P2")</f>
        <v>P2</v>
      </c>
      <c r="I1069" s="1" t="str">
        <f ca="1">IFERROR(__xludf.DUMMYFUNCTION("""COMPUTED_VALUE"""),"Simon")</f>
        <v>Simon</v>
      </c>
    </row>
    <row r="1070" spans="1:9" ht="12.7" x14ac:dyDescent="0.4">
      <c r="A1070" s="2">
        <f ca="1">IFERROR(__xludf.DUMMYFUNCTION("""COMPUTED_VALUE"""),45765.5832049189)</f>
        <v>45765.583204918898</v>
      </c>
      <c r="B1070" s="1" t="str">
        <f ca="1">IFERROR(__xludf.DUMMYFUNCTION("""COMPUTED_VALUE"""),"進貨")</f>
        <v>進貨</v>
      </c>
      <c r="C1070" s="1" t="str">
        <f ca="1">IFERROR(__xludf.DUMMYFUNCTION("""COMPUTED_VALUE"""),"MM0220000048")</f>
        <v>MM0220000048</v>
      </c>
      <c r="D1070" s="1" t="str">
        <f ca="1">IFERROR(__xludf.DUMMYFUNCTION("""COMPUTED_VALUE"""),"All/共用")</f>
        <v>All/共用</v>
      </c>
      <c r="E1070" s="1" t="str">
        <f ca="1">IFERROR(__xludf.DUMMYFUNCTION("""COMPUTED_VALUE"""),"p1/庫存")</f>
        <v>p1/庫存</v>
      </c>
      <c r="F1070" s="1">
        <f ca="1">IFERROR(__xludf.DUMMYFUNCTION("""COMPUTED_VALUE"""),27)</f>
        <v>27</v>
      </c>
      <c r="G1070" s="1"/>
      <c r="H1070" s="1" t="str">
        <f ca="1">IFERROR(__xludf.DUMMYFUNCTION("""COMPUTED_VALUE"""),"P1")</f>
        <v>P1</v>
      </c>
      <c r="I1070" s="1" t="str">
        <f ca="1">IFERROR(__xludf.DUMMYFUNCTION("""COMPUTED_VALUE"""),"Simon")</f>
        <v>Simon</v>
      </c>
    </row>
    <row r="1071" spans="1:9" ht="12.7" x14ac:dyDescent="0.4">
      <c r="A1071" s="2">
        <f ca="1">IFERROR(__xludf.DUMMYFUNCTION("""COMPUTED_VALUE"""),45765.5849824074)</f>
        <v>45765.584982407403</v>
      </c>
      <c r="B1071" s="1" t="str">
        <f ca="1">IFERROR(__xludf.DUMMYFUNCTION("""COMPUTED_VALUE"""),"進貨")</f>
        <v>進貨</v>
      </c>
      <c r="C1071" s="1" t="str">
        <f ca="1">IFERROR(__xludf.DUMMYFUNCTION("""COMPUTED_VALUE"""),"MM0230000010")</f>
        <v>MM0230000010</v>
      </c>
      <c r="D1071" s="1" t="str">
        <f ca="1">IFERROR(__xludf.DUMMYFUNCTION("""COMPUTED_VALUE"""),"All/COLOR")</f>
        <v>All/COLOR</v>
      </c>
      <c r="E1071" s="1" t="str">
        <f ca="1">IFERROR(__xludf.DUMMYFUNCTION("""COMPUTED_VALUE"""),"p2/庫存")</f>
        <v>p2/庫存</v>
      </c>
      <c r="F1071" s="1">
        <f ca="1">IFERROR(__xludf.DUMMYFUNCTION("""COMPUTED_VALUE"""),2)</f>
        <v>2</v>
      </c>
      <c r="G1071" s="1"/>
      <c r="H1071" s="1" t="str">
        <f ca="1">IFERROR(__xludf.DUMMYFUNCTION("""COMPUTED_VALUE"""),"P2")</f>
        <v>P2</v>
      </c>
      <c r="I1071" s="1" t="str">
        <f ca="1">IFERROR(__xludf.DUMMYFUNCTION("""COMPUTED_VALUE"""),"Simon")</f>
        <v>Simon</v>
      </c>
    </row>
    <row r="1072" spans="1:9" ht="12.7" x14ac:dyDescent="0.4">
      <c r="A1072" s="2">
        <f ca="1">IFERROR(__xludf.DUMMYFUNCTION("""COMPUTED_VALUE"""),45765.5856738773)</f>
        <v>45765.5856738773</v>
      </c>
      <c r="B1072" s="1" t="str">
        <f ca="1">IFERROR(__xludf.DUMMYFUNCTION("""COMPUTED_VALUE"""),"領料")</f>
        <v>領料</v>
      </c>
      <c r="C1072" s="1" t="str">
        <f ca="1">IFERROR(__xludf.DUMMYFUNCTION("""COMPUTED_VALUE"""),"MM0230000010")</f>
        <v>MM0230000010</v>
      </c>
      <c r="D1072" s="1" t="str">
        <f ca="1">IFERROR(__xludf.DUMMYFUNCTION("""COMPUTED_VALUE"""),"All/COLOR")</f>
        <v>All/COLOR</v>
      </c>
      <c r="E1072" s="1" t="str">
        <f ca="1">IFERROR(__xludf.DUMMYFUNCTION("""COMPUTED_VALUE"""),"p2/庫存")</f>
        <v>p2/庫存</v>
      </c>
      <c r="F1072" s="1">
        <f ca="1">IFERROR(__xludf.DUMMYFUNCTION("""COMPUTED_VALUE"""),1)</f>
        <v>1</v>
      </c>
      <c r="G1072" s="1"/>
      <c r="H1072" s="1" t="str">
        <f ca="1">IFERROR(__xludf.DUMMYFUNCTION("""COMPUTED_VALUE"""),"P1")</f>
        <v>P1</v>
      </c>
      <c r="I1072" s="1" t="str">
        <f ca="1">IFERROR(__xludf.DUMMYFUNCTION("""COMPUTED_VALUE"""),"Chiao Yu")</f>
        <v>Chiao Yu</v>
      </c>
    </row>
    <row r="1073" spans="1:9" ht="12.7" x14ac:dyDescent="0.4">
      <c r="A1073" s="2">
        <f ca="1">IFERROR(__xludf.DUMMYFUNCTION("""COMPUTED_VALUE"""),45765.5997518287)</f>
        <v>45765.599751828697</v>
      </c>
      <c r="B1073" s="1" t="str">
        <f ca="1">IFERROR(__xludf.DUMMYFUNCTION("""COMPUTED_VALUE"""),"庫存調整")</f>
        <v>庫存調整</v>
      </c>
      <c r="C1073" s="1" t="str">
        <f ca="1">IFERROR(__xludf.DUMMYFUNCTION("""COMPUTED_VALUE"""),"A00700000482")</f>
        <v>A00700000482</v>
      </c>
      <c r="D1073" s="1" t="str">
        <f ca="1">IFERROR(__xludf.DUMMYFUNCTION("""COMPUTED_VALUE"""),"All/SB")</f>
        <v>All/SB</v>
      </c>
      <c r="E1073" s="1" t="str">
        <f ca="1">IFERROR(__xludf.DUMMYFUNCTION("""COMPUTED_VALUE"""),"p1/庫存")</f>
        <v>p1/庫存</v>
      </c>
      <c r="F1073" s="1">
        <f ca="1">IFERROR(__xludf.DUMMYFUNCTION("""COMPUTED_VALUE"""),-2)</f>
        <v>-2</v>
      </c>
      <c r="G1073" s="1"/>
      <c r="H1073" s="1" t="str">
        <f ca="1">IFERROR(__xludf.DUMMYFUNCTION("""COMPUTED_VALUE"""),"P2")</f>
        <v>P2</v>
      </c>
      <c r="I1073" s="1" t="str">
        <f ca="1">IFERROR(__xludf.DUMMYFUNCTION("""COMPUTED_VALUE"""),"Simon")</f>
        <v>Simon</v>
      </c>
    </row>
    <row r="1074" spans="1:9" ht="12.7" x14ac:dyDescent="0.4">
      <c r="A1074" s="2">
        <f ca="1">IFERROR(__xludf.DUMMYFUNCTION("""COMPUTED_VALUE"""),45765.6003564814)</f>
        <v>45765.600356481402</v>
      </c>
      <c r="B1074" s="1" t="str">
        <f ca="1">IFERROR(__xludf.DUMMYFUNCTION("""COMPUTED_VALUE"""),"庫存調整")</f>
        <v>庫存調整</v>
      </c>
      <c r="C1074" s="1" t="str">
        <f ca="1">IFERROR(__xludf.DUMMYFUNCTION("""COMPUTED_VALUE"""),"A00700000482")</f>
        <v>A00700000482</v>
      </c>
      <c r="D1074" s="1" t="str">
        <f ca="1">IFERROR(__xludf.DUMMYFUNCTION("""COMPUTED_VALUE"""),"All/SB")</f>
        <v>All/SB</v>
      </c>
      <c r="E1074" s="1" t="str">
        <f ca="1">IFERROR(__xludf.DUMMYFUNCTION("""COMPUTED_VALUE"""),"p2/庫存")</f>
        <v>p2/庫存</v>
      </c>
      <c r="F1074" s="1">
        <f ca="1">IFERROR(__xludf.DUMMYFUNCTION("""COMPUTED_VALUE"""),2)</f>
        <v>2</v>
      </c>
      <c r="G1074" s="1"/>
      <c r="H1074" s="1" t="str">
        <f ca="1">IFERROR(__xludf.DUMMYFUNCTION("""COMPUTED_VALUE"""),"P2")</f>
        <v>P2</v>
      </c>
      <c r="I1074" s="1" t="str">
        <f ca="1">IFERROR(__xludf.DUMMYFUNCTION("""COMPUTED_VALUE"""),"Simon")</f>
        <v>Simon</v>
      </c>
    </row>
    <row r="1075" spans="1:9" ht="12.7" x14ac:dyDescent="0.4">
      <c r="A1075" s="2">
        <f ca="1">IFERROR(__xludf.DUMMYFUNCTION("""COMPUTED_VALUE"""),45768.4127123958)</f>
        <v>45768.412712395802</v>
      </c>
      <c r="B1075" s="1" t="str">
        <f ca="1">IFERROR(__xludf.DUMMYFUNCTION("""COMPUTED_VALUE"""),"領料")</f>
        <v>領料</v>
      </c>
      <c r="C1075" s="1" t="str">
        <f ca="1">IFERROR(__xludf.DUMMYFUNCTION("""COMPUTED_VALUE"""),"MM0010000125")</f>
        <v>MM0010000125</v>
      </c>
      <c r="D1075" s="1" t="str">
        <f ca="1">IFERROR(__xludf.DUMMYFUNCTION("""COMPUTED_VALUE"""),"All/RL")</f>
        <v>All/RL</v>
      </c>
      <c r="E1075" s="1" t="str">
        <f ca="1">IFERROR(__xludf.DUMMYFUNCTION("""COMPUTED_VALUE"""),"p2/庫存")</f>
        <v>p2/庫存</v>
      </c>
      <c r="F1075" s="1">
        <f ca="1">IFERROR(__xludf.DUMMYFUNCTION("""COMPUTED_VALUE"""),1)</f>
        <v>1</v>
      </c>
      <c r="G1075" s="1"/>
      <c r="H1075" s="1" t="str">
        <f ca="1">IFERROR(__xludf.DUMMYFUNCTION("""COMPUTED_VALUE"""),"P2_1003")</f>
        <v>P2_1003</v>
      </c>
      <c r="I1075" s="1" t="str">
        <f ca="1">IFERROR(__xludf.DUMMYFUNCTION("""COMPUTED_VALUE"""),"Nick")</f>
        <v>Nick</v>
      </c>
    </row>
    <row r="1076" spans="1:9" ht="12.7" x14ac:dyDescent="0.4">
      <c r="A1076" s="2">
        <f ca="1">IFERROR(__xludf.DUMMYFUNCTION("""COMPUTED_VALUE"""),45768.5786248495)</f>
        <v>45768.578624849499</v>
      </c>
      <c r="B1076" s="1" t="str">
        <f ca="1">IFERROR(__xludf.DUMMYFUNCTION("""COMPUTED_VALUE"""),"返修")</f>
        <v>返修</v>
      </c>
      <c r="C1076" s="1" t="str">
        <f ca="1">IFERROR(__xludf.DUMMYFUNCTION("""COMPUTED_VALUE"""),"ME0020000525")</f>
        <v>ME0020000525</v>
      </c>
      <c r="D1076" s="1" t="str">
        <f ca="1">IFERROR(__xludf.DUMMYFUNCTION("""COMPUTED_VALUE"""),"All/共用")</f>
        <v>All/共用</v>
      </c>
      <c r="E1076" s="1" t="str">
        <f ca="1">IFERROR(__xludf.DUMMYFUNCTION("""COMPUTED_VALUE"""),"p1/庫存")</f>
        <v>p1/庫存</v>
      </c>
      <c r="F1076" s="1">
        <f ca="1">IFERROR(__xludf.DUMMYFUNCTION("""COMPUTED_VALUE"""),1)</f>
        <v>1</v>
      </c>
      <c r="G1076" s="1"/>
      <c r="H1076" s="1" t="str">
        <f ca="1">IFERROR(__xludf.DUMMYFUNCTION("""COMPUTED_VALUE"""),"P1")</f>
        <v>P1</v>
      </c>
      <c r="I1076" s="1" t="str">
        <f ca="1">IFERROR(__xludf.DUMMYFUNCTION("""COMPUTED_VALUE"""),"Chiao Yu")</f>
        <v>Chiao Yu</v>
      </c>
    </row>
    <row r="1077" spans="1:9" ht="12.7" x14ac:dyDescent="0.4">
      <c r="A1077" s="2">
        <f ca="1">IFERROR(__xludf.DUMMYFUNCTION("""COMPUTED_VALUE"""),45768.5792174768)</f>
        <v>45768.579217476799</v>
      </c>
      <c r="B1077" s="1" t="str">
        <f ca="1">IFERROR(__xludf.DUMMYFUNCTION("""COMPUTED_VALUE"""),"返修")</f>
        <v>返修</v>
      </c>
      <c r="C1077" s="1" t="str">
        <f ca="1">IFERROR(__xludf.DUMMYFUNCTION("""COMPUTED_VALUE"""),"ME0020000464")</f>
        <v>ME0020000464</v>
      </c>
      <c r="D1077" s="1" t="str">
        <f ca="1">IFERROR(__xludf.DUMMYFUNCTION("""COMPUTED_VALUE"""),"All/RL")</f>
        <v>All/RL</v>
      </c>
      <c r="E1077" s="1" t="str">
        <f ca="1">IFERROR(__xludf.DUMMYFUNCTION("""COMPUTED_VALUE"""),"p2/庫存")</f>
        <v>p2/庫存</v>
      </c>
      <c r="F1077" s="1">
        <f ca="1">IFERROR(__xludf.DUMMYFUNCTION("""COMPUTED_VALUE"""),1)</f>
        <v>1</v>
      </c>
      <c r="G1077" s="1"/>
      <c r="H1077" s="1" t="str">
        <f ca="1">IFERROR(__xludf.DUMMYFUNCTION("""COMPUTED_VALUE"""),"P2")</f>
        <v>P2</v>
      </c>
      <c r="I1077" s="1" t="str">
        <f ca="1">IFERROR(__xludf.DUMMYFUNCTION("""COMPUTED_VALUE"""),"Chiao Yu")</f>
        <v>Chiao Yu</v>
      </c>
    </row>
    <row r="1078" spans="1:9" ht="12.7" x14ac:dyDescent="0.4">
      <c r="A1078" s="2">
        <f ca="1">IFERROR(__xludf.DUMMYFUNCTION("""COMPUTED_VALUE"""),45768.6312103124)</f>
        <v>45768.6312103124</v>
      </c>
      <c r="B1078" s="1" t="str">
        <f ca="1">IFERROR(__xludf.DUMMYFUNCTION("""COMPUTED_VALUE"""),"庫存調整")</f>
        <v>庫存調整</v>
      </c>
      <c r="C1078" s="1" t="str">
        <f ca="1">IFERROR(__xludf.DUMMYFUNCTION("""COMPUTED_VALUE"""),"ME0030000075")</f>
        <v>ME0030000075</v>
      </c>
      <c r="D1078" s="1" t="str">
        <f ca="1">IFERROR(__xludf.DUMMYFUNCTION("""COMPUTED_VALUE"""),"All/共用")</f>
        <v>All/共用</v>
      </c>
      <c r="E1078" s="1" t="str">
        <f ca="1">IFERROR(__xludf.DUMMYFUNCTION("""COMPUTED_VALUE"""),"p2/庫存")</f>
        <v>p2/庫存</v>
      </c>
      <c r="F1078" s="1">
        <f ca="1">IFERROR(__xludf.DUMMYFUNCTION("""COMPUTED_VALUE"""),-3)</f>
        <v>-3</v>
      </c>
      <c r="G1078" s="1"/>
      <c r="H1078" s="1" t="str">
        <f ca="1">IFERROR(__xludf.DUMMYFUNCTION("""COMPUTED_VALUE"""),"P2")</f>
        <v>P2</v>
      </c>
      <c r="I1078" s="1" t="str">
        <f ca="1">IFERROR(__xludf.DUMMYFUNCTION("""COMPUTED_VALUE"""),"Chiao Yu")</f>
        <v>Chiao Yu</v>
      </c>
    </row>
    <row r="1079" spans="1:9" ht="12.7" x14ac:dyDescent="0.4">
      <c r="A1079" s="2">
        <f ca="1">IFERROR(__xludf.DUMMYFUNCTION("""COMPUTED_VALUE"""),45768.6319562731)</f>
        <v>45768.631956273101</v>
      </c>
      <c r="B1079" s="1" t="str">
        <f ca="1">IFERROR(__xludf.DUMMYFUNCTION("""COMPUTED_VALUE"""),"庫存調整")</f>
        <v>庫存調整</v>
      </c>
      <c r="C1079" s="1" t="str">
        <f ca="1">IFERROR(__xludf.DUMMYFUNCTION("""COMPUTED_VALUE"""),"ME0030000075")</f>
        <v>ME0030000075</v>
      </c>
      <c r="D1079" s="1" t="str">
        <f ca="1">IFERROR(__xludf.DUMMYFUNCTION("""COMPUTED_VALUE"""),"All/共用")</f>
        <v>All/共用</v>
      </c>
      <c r="E1079" s="1" t="str">
        <f ca="1">IFERROR(__xludf.DUMMYFUNCTION("""COMPUTED_VALUE"""),"p1/庫存")</f>
        <v>p1/庫存</v>
      </c>
      <c r="F1079" s="1">
        <f ca="1">IFERROR(__xludf.DUMMYFUNCTION("""COMPUTED_VALUE"""),3)</f>
        <v>3</v>
      </c>
      <c r="G1079" s="1"/>
      <c r="H1079" s="1" t="str">
        <f ca="1">IFERROR(__xludf.DUMMYFUNCTION("""COMPUTED_VALUE"""),"P1")</f>
        <v>P1</v>
      </c>
      <c r="I1079" s="1" t="str">
        <f ca="1">IFERROR(__xludf.DUMMYFUNCTION("""COMPUTED_VALUE"""),"Chiao Yu")</f>
        <v>Chiao Yu</v>
      </c>
    </row>
    <row r="1080" spans="1:9" ht="12.7" x14ac:dyDescent="0.4">
      <c r="A1080" s="2">
        <f ca="1">IFERROR(__xludf.DUMMYFUNCTION("""COMPUTED_VALUE"""),45768.6325896412)</f>
        <v>45768.632589641202</v>
      </c>
      <c r="B1080" s="1" t="str">
        <f ca="1">IFERROR(__xludf.DUMMYFUNCTION("""COMPUTED_VALUE"""),"庫存調整")</f>
        <v>庫存調整</v>
      </c>
      <c r="C1080" s="1" t="str">
        <f ca="1">IFERROR(__xludf.DUMMYFUNCTION("""COMPUTED_VALUE"""),"ME0030000058")</f>
        <v>ME0030000058</v>
      </c>
      <c r="D1080" s="1" t="str">
        <f ca="1">IFERROR(__xludf.DUMMYFUNCTION("""COMPUTED_VALUE"""),"All/共用")</f>
        <v>All/共用</v>
      </c>
      <c r="E1080" s="1" t="str">
        <f ca="1">IFERROR(__xludf.DUMMYFUNCTION("""COMPUTED_VALUE"""),"p2/庫存")</f>
        <v>p2/庫存</v>
      </c>
      <c r="F1080" s="1">
        <f ca="1">IFERROR(__xludf.DUMMYFUNCTION("""COMPUTED_VALUE"""),-1)</f>
        <v>-1</v>
      </c>
      <c r="G1080" s="1"/>
      <c r="H1080" s="1" t="str">
        <f ca="1">IFERROR(__xludf.DUMMYFUNCTION("""COMPUTED_VALUE"""),"P2")</f>
        <v>P2</v>
      </c>
      <c r="I1080" s="1" t="str">
        <f ca="1">IFERROR(__xludf.DUMMYFUNCTION("""COMPUTED_VALUE"""),"Chiao Yu")</f>
        <v>Chiao Yu</v>
      </c>
    </row>
    <row r="1081" spans="1:9" ht="12.7" x14ac:dyDescent="0.4">
      <c r="A1081" s="2">
        <f ca="1">IFERROR(__xludf.DUMMYFUNCTION("""COMPUTED_VALUE"""),45768.6329971759)</f>
        <v>45768.632997175897</v>
      </c>
      <c r="B1081" s="1" t="str">
        <f ca="1">IFERROR(__xludf.DUMMYFUNCTION("""COMPUTED_VALUE"""),"庫存調整")</f>
        <v>庫存調整</v>
      </c>
      <c r="C1081" s="1" t="str">
        <f ca="1">IFERROR(__xludf.DUMMYFUNCTION("""COMPUTED_VALUE"""),"ME0030000058")</f>
        <v>ME0030000058</v>
      </c>
      <c r="D1081" s="1" t="str">
        <f ca="1">IFERROR(__xludf.DUMMYFUNCTION("""COMPUTED_VALUE"""),"All/共用")</f>
        <v>All/共用</v>
      </c>
      <c r="E1081" s="1" t="str">
        <f ca="1">IFERROR(__xludf.DUMMYFUNCTION("""COMPUTED_VALUE"""),"p1/庫存")</f>
        <v>p1/庫存</v>
      </c>
      <c r="F1081" s="1">
        <f ca="1">IFERROR(__xludf.DUMMYFUNCTION("""COMPUTED_VALUE"""),1)</f>
        <v>1</v>
      </c>
      <c r="G1081" s="1"/>
      <c r="H1081" s="1" t="str">
        <f ca="1">IFERROR(__xludf.DUMMYFUNCTION("""COMPUTED_VALUE"""),"P1")</f>
        <v>P1</v>
      </c>
      <c r="I1081" s="1" t="str">
        <f ca="1">IFERROR(__xludf.DUMMYFUNCTION("""COMPUTED_VALUE"""),"Chiao Yu")</f>
        <v>Chiao Yu</v>
      </c>
    </row>
    <row r="1082" spans="1:9" ht="12.7" x14ac:dyDescent="0.4">
      <c r="A1082" s="2">
        <f ca="1">IFERROR(__xludf.DUMMYFUNCTION("""COMPUTED_VALUE"""),45770.3685305439)</f>
        <v>45770.368530543899</v>
      </c>
      <c r="B1082" s="1" t="str">
        <f ca="1">IFERROR(__xludf.DUMMYFUNCTION("""COMPUTED_VALUE"""),"領料")</f>
        <v>領料</v>
      </c>
      <c r="C1082" s="1" t="str">
        <f ca="1">IFERROR(__xludf.DUMMYFUNCTION("""COMPUTED_VALUE"""),"ME0030000076")</f>
        <v>ME0030000076</v>
      </c>
      <c r="D1082" s="1" t="str">
        <f ca="1">IFERROR(__xludf.DUMMYFUNCTION("""COMPUTED_VALUE"""),"All/共用")</f>
        <v>All/共用</v>
      </c>
      <c r="E1082" s="1" t="str">
        <f ca="1">IFERROR(__xludf.DUMMYFUNCTION("""COMPUTED_VALUE"""),"p2/庫存")</f>
        <v>p2/庫存</v>
      </c>
      <c r="F1082" s="1">
        <f ca="1">IFERROR(__xludf.DUMMYFUNCTION("""COMPUTED_VALUE"""),1)</f>
        <v>1</v>
      </c>
      <c r="G1082" s="1"/>
      <c r="H1082" s="1" t="str">
        <f ca="1">IFERROR(__xludf.DUMMYFUNCTION("""COMPUTED_VALUE"""),"P2_1006")</f>
        <v>P2_1006</v>
      </c>
      <c r="I1082" s="1" t="str">
        <f ca="1">IFERROR(__xludf.DUMMYFUNCTION("""COMPUTED_VALUE"""),"Simon")</f>
        <v>Simon</v>
      </c>
    </row>
    <row r="1083" spans="1:9" ht="12.7" x14ac:dyDescent="0.4">
      <c r="A1083" s="2">
        <f ca="1">IFERROR(__xludf.DUMMYFUNCTION("""COMPUTED_VALUE"""),45770.5222383333)</f>
        <v>45770.522238333302</v>
      </c>
      <c r="B1083" s="1" t="str">
        <f ca="1">IFERROR(__xludf.DUMMYFUNCTION("""COMPUTED_VALUE"""),"進貨")</f>
        <v>進貨</v>
      </c>
      <c r="C1083" s="1" t="str">
        <f ca="1">IFERROR(__xludf.DUMMYFUNCTION("""COMPUTED_VALUE"""),"MM0220000048")</f>
        <v>MM0220000048</v>
      </c>
      <c r="D1083" s="1" t="str">
        <f ca="1">IFERROR(__xludf.DUMMYFUNCTION("""COMPUTED_VALUE"""),"All/共用")</f>
        <v>All/共用</v>
      </c>
      <c r="E1083" s="1" t="str">
        <f ca="1">IFERROR(__xludf.DUMMYFUNCTION("""COMPUTED_VALUE"""),"p1/庫存")</f>
        <v>p1/庫存</v>
      </c>
      <c r="F1083" s="1">
        <f ca="1">IFERROR(__xludf.DUMMYFUNCTION("""COMPUTED_VALUE"""),2)</f>
        <v>2</v>
      </c>
      <c r="G1083" s="1"/>
      <c r="H1083" s="1" t="str">
        <f ca="1">IFERROR(__xludf.DUMMYFUNCTION("""COMPUTED_VALUE"""),"P1")</f>
        <v>P1</v>
      </c>
      <c r="I1083" s="1" t="str">
        <f ca="1">IFERROR(__xludf.DUMMYFUNCTION("""COMPUTED_VALUE"""),"Simon")</f>
        <v>Simon</v>
      </c>
    </row>
    <row r="1084" spans="1:9" ht="12.7" x14ac:dyDescent="0.4">
      <c r="A1084" s="2">
        <f ca="1">IFERROR(__xludf.DUMMYFUNCTION("""COMPUTED_VALUE"""),45770.5233575925)</f>
        <v>45770.523357592501</v>
      </c>
      <c r="B1084" s="1" t="str">
        <f ca="1">IFERROR(__xludf.DUMMYFUNCTION("""COMPUTED_VALUE"""),"進貨")</f>
        <v>進貨</v>
      </c>
      <c r="C1084" s="1" t="str">
        <f ca="1">IFERROR(__xludf.DUMMYFUNCTION("""COMPUTED_VALUE"""),"ME0270001045")</f>
        <v>ME0270001045</v>
      </c>
      <c r="D1084" s="1" t="str">
        <f ca="1">IFERROR(__xludf.DUMMYFUNCTION("""COMPUTED_VALUE"""),"All/共用")</f>
        <v>All/共用</v>
      </c>
      <c r="E1084" s="1" t="str">
        <f ca="1">IFERROR(__xludf.DUMMYFUNCTION("""COMPUTED_VALUE"""),"p1/庫存")</f>
        <v>p1/庫存</v>
      </c>
      <c r="F1084" s="1">
        <f ca="1">IFERROR(__xludf.DUMMYFUNCTION("""COMPUTED_VALUE"""),30)</f>
        <v>30</v>
      </c>
      <c r="G1084" s="1"/>
      <c r="H1084" s="1" t="str">
        <f ca="1">IFERROR(__xludf.DUMMYFUNCTION("""COMPUTED_VALUE"""),"P1")</f>
        <v>P1</v>
      </c>
      <c r="I1084" s="1" t="str">
        <f ca="1">IFERROR(__xludf.DUMMYFUNCTION("""COMPUTED_VALUE"""),"Simon")</f>
        <v>Simon</v>
      </c>
    </row>
    <row r="1085" spans="1:9" ht="12.7" x14ac:dyDescent="0.4">
      <c r="A1085" s="2">
        <f ca="1">IFERROR(__xludf.DUMMYFUNCTION("""COMPUTED_VALUE"""),45770.5257675)</f>
        <v>45770.525767500003</v>
      </c>
      <c r="B1085" s="1" t="str">
        <f ca="1">IFERROR(__xludf.DUMMYFUNCTION("""COMPUTED_VALUE"""),"進貨")</f>
        <v>進貨</v>
      </c>
      <c r="C1085" s="1" t="str">
        <f ca="1">IFERROR(__xludf.DUMMYFUNCTION("""COMPUTED_VALUE"""),"MM0040003550")</f>
        <v>MM0040003550</v>
      </c>
      <c r="D1085" s="1" t="str">
        <f ca="1">IFERROR(__xludf.DUMMYFUNCTION("""COMPUTED_VALUE"""),"All/BA")</f>
        <v>All/BA</v>
      </c>
      <c r="E1085" s="1" t="str">
        <f ca="1">IFERROR(__xludf.DUMMYFUNCTION("""COMPUTED_VALUE"""),"p2/庫存")</f>
        <v>p2/庫存</v>
      </c>
      <c r="F1085" s="1">
        <f ca="1">IFERROR(__xludf.DUMMYFUNCTION("""COMPUTED_VALUE"""),1)</f>
        <v>1</v>
      </c>
      <c r="G1085" s="1"/>
      <c r="H1085" s="1" t="str">
        <f ca="1">IFERROR(__xludf.DUMMYFUNCTION("""COMPUTED_VALUE"""),"P2")</f>
        <v>P2</v>
      </c>
      <c r="I1085" s="1" t="str">
        <f ca="1">IFERROR(__xludf.DUMMYFUNCTION("""COMPUTED_VALUE"""),"Simon")</f>
        <v>Simon</v>
      </c>
    </row>
    <row r="1086" spans="1:9" ht="12.7" x14ac:dyDescent="0.4">
      <c r="A1086" s="2">
        <f ca="1">IFERROR(__xludf.DUMMYFUNCTION("""COMPUTED_VALUE"""),45770.5302625462)</f>
        <v>45770.530262546199</v>
      </c>
      <c r="B1086" s="1" t="str">
        <f ca="1">IFERROR(__xludf.DUMMYFUNCTION("""COMPUTED_VALUE"""),"進貨")</f>
        <v>進貨</v>
      </c>
      <c r="C1086" s="1" t="str">
        <f ca="1">IFERROR(__xludf.DUMMYFUNCTION("""COMPUTED_VALUE"""),"MM0040003551")</f>
        <v>MM0040003551</v>
      </c>
      <c r="D1086" s="1" t="str">
        <f ca="1">IFERROR(__xludf.DUMMYFUNCTION("""COMPUTED_VALUE"""),"All/BA")</f>
        <v>All/BA</v>
      </c>
      <c r="E1086" s="1" t="str">
        <f ca="1">IFERROR(__xludf.DUMMYFUNCTION("""COMPUTED_VALUE"""),"p2/庫存")</f>
        <v>p2/庫存</v>
      </c>
      <c r="F1086" s="1">
        <f ca="1">IFERROR(__xludf.DUMMYFUNCTION("""COMPUTED_VALUE"""),1)</f>
        <v>1</v>
      </c>
      <c r="G1086" s="1"/>
      <c r="H1086" s="1" t="str">
        <f ca="1">IFERROR(__xludf.DUMMYFUNCTION("""COMPUTED_VALUE"""),"P2")</f>
        <v>P2</v>
      </c>
      <c r="I1086" s="1" t="str">
        <f ca="1">IFERROR(__xludf.DUMMYFUNCTION("""COMPUTED_VALUE"""),"Simon")</f>
        <v>Simon</v>
      </c>
    </row>
    <row r="1087" spans="1:9" ht="12.7" x14ac:dyDescent="0.4">
      <c r="A1087" s="2">
        <f ca="1">IFERROR(__xludf.DUMMYFUNCTION("""COMPUTED_VALUE"""),45776.4144094907)</f>
        <v>45776.414409490702</v>
      </c>
      <c r="B1087" s="1" t="str">
        <f ca="1">IFERROR(__xludf.DUMMYFUNCTION("""COMPUTED_VALUE"""),"返修")</f>
        <v>返修</v>
      </c>
      <c r="C1087" s="1" t="str">
        <f ca="1">IFERROR(__xludf.DUMMYFUNCTION("""COMPUTED_VALUE"""),"A00900000618")</f>
        <v>A00900000618</v>
      </c>
      <c r="D1087" s="1" t="str">
        <f ca="1">IFERROR(__xludf.DUMMYFUNCTION("""COMPUTED_VALUE"""),"All/共用")</f>
        <v>All/共用</v>
      </c>
      <c r="E1087" s="1" t="str">
        <f ca="1">IFERROR(__xludf.DUMMYFUNCTION("""COMPUTED_VALUE"""),"p1/庫存")</f>
        <v>p1/庫存</v>
      </c>
      <c r="F1087" s="1">
        <f ca="1">IFERROR(__xludf.DUMMYFUNCTION("""COMPUTED_VALUE"""),1)</f>
        <v>1</v>
      </c>
      <c r="G1087" s="1" t="str">
        <f ca="1">IFERROR(__xludf.DUMMYFUNCTION("""COMPUTED_VALUE"""),"CST350BK2307000003")</f>
        <v>CST350BK2307000003</v>
      </c>
      <c r="H1087" s="1" t="str">
        <f ca="1">IFERROR(__xludf.DUMMYFUNCTION("""COMPUTED_VALUE"""),"P1_4006")</f>
        <v>P1_4006</v>
      </c>
      <c r="I1087" s="1" t="str">
        <f ca="1">IFERROR(__xludf.DUMMYFUNCTION("""COMPUTED_VALUE"""),"Simon")</f>
        <v>Simon</v>
      </c>
    </row>
    <row r="1088" spans="1:9" ht="12.7" x14ac:dyDescent="0.4">
      <c r="A1088" s="2">
        <f ca="1">IFERROR(__xludf.DUMMYFUNCTION("""COMPUTED_VALUE"""),45776.5616285995)</f>
        <v>45776.561628599498</v>
      </c>
      <c r="B1088" s="1" t="str">
        <f ca="1">IFERROR(__xludf.DUMMYFUNCTION("""COMPUTED_VALUE"""),"庫存調整")</f>
        <v>庫存調整</v>
      </c>
      <c r="C1088" s="1" t="str">
        <f ca="1">IFERROR(__xludf.DUMMYFUNCTION("""COMPUTED_VALUE"""),"ME0030000076")</f>
        <v>ME0030000076</v>
      </c>
      <c r="D1088" s="1" t="str">
        <f ca="1">IFERROR(__xludf.DUMMYFUNCTION("""COMPUTED_VALUE"""),"All/共用")</f>
        <v>All/共用</v>
      </c>
      <c r="E1088" s="1" t="str">
        <f ca="1">IFERROR(__xludf.DUMMYFUNCTION("""COMPUTED_VALUE"""),"p1/庫存")</f>
        <v>p1/庫存</v>
      </c>
      <c r="F1088" s="1">
        <f ca="1">IFERROR(__xludf.DUMMYFUNCTION("""COMPUTED_VALUE"""),1)</f>
        <v>1</v>
      </c>
      <c r="G1088" s="1"/>
      <c r="H1088" s="1" t="str">
        <f ca="1">IFERROR(__xludf.DUMMYFUNCTION("""COMPUTED_VALUE"""),"P1")</f>
        <v>P1</v>
      </c>
      <c r="I1088" s="1" t="str">
        <f ca="1">IFERROR(__xludf.DUMMYFUNCTION("""COMPUTED_VALUE"""),"Chiao Yu")</f>
        <v>Chiao Yu</v>
      </c>
    </row>
    <row r="1089" spans="1:9" ht="12.7" x14ac:dyDescent="0.4">
      <c r="A1089" s="2">
        <f ca="1">IFERROR(__xludf.DUMMYFUNCTION("""COMPUTED_VALUE"""),45776.56243728)</f>
        <v>45776.562437280001</v>
      </c>
      <c r="B1089" s="1" t="str">
        <f ca="1">IFERROR(__xludf.DUMMYFUNCTION("""COMPUTED_VALUE"""),"庫存調整")</f>
        <v>庫存調整</v>
      </c>
      <c r="C1089" s="1" t="str">
        <f ca="1">IFERROR(__xludf.DUMMYFUNCTION("""COMPUTED_VALUE"""),"AGT000000005")</f>
        <v>AGT000000005</v>
      </c>
      <c r="D1089" s="1" t="str">
        <f ca="1">IFERROR(__xludf.DUMMYFUNCTION("""COMPUTED_VALUE"""),"All/共用")</f>
        <v>All/共用</v>
      </c>
      <c r="E1089" s="1" t="str">
        <f ca="1">IFERROR(__xludf.DUMMYFUNCTION("""COMPUTED_VALUE"""),"p1/庫存")</f>
        <v>p1/庫存</v>
      </c>
      <c r="F1089" s="1">
        <f ca="1">IFERROR(__xludf.DUMMYFUNCTION("""COMPUTED_VALUE"""),-9)</f>
        <v>-9</v>
      </c>
      <c r="G1089" s="1"/>
      <c r="H1089" s="1" t="str">
        <f ca="1">IFERROR(__xludf.DUMMYFUNCTION("""COMPUTED_VALUE"""),"P1")</f>
        <v>P1</v>
      </c>
      <c r="I1089" s="1" t="str">
        <f ca="1">IFERROR(__xludf.DUMMYFUNCTION("""COMPUTED_VALUE"""),"Chiao Yu")</f>
        <v>Chiao Yu</v>
      </c>
    </row>
    <row r="1090" spans="1:9" ht="12.7" x14ac:dyDescent="0.4">
      <c r="A1090" s="2">
        <f ca="1">IFERROR(__xludf.DUMMYFUNCTION("""COMPUTED_VALUE"""),45776.5634148611)</f>
        <v>45776.563414861099</v>
      </c>
      <c r="B1090" s="1" t="str">
        <f ca="1">IFERROR(__xludf.DUMMYFUNCTION("""COMPUTED_VALUE"""),"庫存調整")</f>
        <v>庫存調整</v>
      </c>
      <c r="C1090" s="1" t="str">
        <f ca="1">IFERROR(__xludf.DUMMYFUNCTION("""COMPUTED_VALUE"""),"ME0060000277")</f>
        <v>ME0060000277</v>
      </c>
      <c r="D1090" s="1" t="str">
        <f ca="1">IFERROR(__xludf.DUMMYFUNCTION("""COMPUTED_VALUE"""),"All/共用")</f>
        <v>All/共用</v>
      </c>
      <c r="E1090" s="1" t="str">
        <f ca="1">IFERROR(__xludf.DUMMYFUNCTION("""COMPUTED_VALUE"""),"p1/庫存")</f>
        <v>p1/庫存</v>
      </c>
      <c r="F1090" s="1">
        <f ca="1">IFERROR(__xludf.DUMMYFUNCTION("""COMPUTED_VALUE"""),-2)</f>
        <v>-2</v>
      </c>
      <c r="G1090" s="1"/>
      <c r="H1090" s="1" t="str">
        <f ca="1">IFERROR(__xludf.DUMMYFUNCTION("""COMPUTED_VALUE"""),"P1")</f>
        <v>P1</v>
      </c>
      <c r="I1090" s="1" t="str">
        <f ca="1">IFERROR(__xludf.DUMMYFUNCTION("""COMPUTED_VALUE"""),"Chiao Yu")</f>
        <v>Chiao Yu</v>
      </c>
    </row>
    <row r="1091" spans="1:9" ht="12.7" x14ac:dyDescent="0.4">
      <c r="A1091" s="2">
        <f ca="1">IFERROR(__xludf.DUMMYFUNCTION("""COMPUTED_VALUE"""),45776.5642901736)</f>
        <v>45776.564290173599</v>
      </c>
      <c r="B1091" s="1" t="str">
        <f ca="1">IFERROR(__xludf.DUMMYFUNCTION("""COMPUTED_VALUE"""),"庫存調整")</f>
        <v>庫存調整</v>
      </c>
      <c r="C1091" s="1" t="str">
        <f ca="1">IFERROR(__xludf.DUMMYFUNCTION("""COMPUTED_VALUE"""),"ME0120000048")</f>
        <v>ME0120000048</v>
      </c>
      <c r="D1091" s="1" t="str">
        <f ca="1">IFERROR(__xludf.DUMMYFUNCTION("""COMPUTED_VALUE"""),"All/共用")</f>
        <v>All/共用</v>
      </c>
      <c r="E1091" s="1" t="str">
        <f ca="1">IFERROR(__xludf.DUMMYFUNCTION("""COMPUTED_VALUE"""),"p1/庫存")</f>
        <v>p1/庫存</v>
      </c>
      <c r="F1091" s="1">
        <f ca="1">IFERROR(__xludf.DUMMYFUNCTION("""COMPUTED_VALUE"""),-1)</f>
        <v>-1</v>
      </c>
      <c r="G1091" s="1"/>
      <c r="H1091" s="1" t="str">
        <f ca="1">IFERROR(__xludf.DUMMYFUNCTION("""COMPUTED_VALUE"""),"P1")</f>
        <v>P1</v>
      </c>
      <c r="I1091" s="1" t="str">
        <f ca="1">IFERROR(__xludf.DUMMYFUNCTION("""COMPUTED_VALUE"""),"Chiao Yu")</f>
        <v>Chiao Yu</v>
      </c>
    </row>
    <row r="1092" spans="1:9" ht="12.7" x14ac:dyDescent="0.4">
      <c r="A1092" s="2">
        <f ca="1">IFERROR(__xludf.DUMMYFUNCTION("""COMPUTED_VALUE"""),45776.5652522569)</f>
        <v>45776.5652522569</v>
      </c>
      <c r="B1092" s="1" t="str">
        <f ca="1">IFERROR(__xludf.DUMMYFUNCTION("""COMPUTED_VALUE"""),"庫存調整")</f>
        <v>庫存調整</v>
      </c>
      <c r="C1092" s="1" t="str">
        <f ca="1">IFERROR(__xludf.DUMMYFUNCTION("""COMPUTED_VALUE"""),"ME0270001323")</f>
        <v>ME0270001323</v>
      </c>
      <c r="D1092" s="1" t="str">
        <f ca="1">IFERROR(__xludf.DUMMYFUNCTION("""COMPUTED_VALUE"""),"All/COLOR")</f>
        <v>All/COLOR</v>
      </c>
      <c r="E1092" s="1" t="str">
        <f ca="1">IFERROR(__xludf.DUMMYFUNCTION("""COMPUTED_VALUE"""),"p1/庫存")</f>
        <v>p1/庫存</v>
      </c>
      <c r="F1092" s="1">
        <f ca="1">IFERROR(__xludf.DUMMYFUNCTION("""COMPUTED_VALUE"""),-1)</f>
        <v>-1</v>
      </c>
      <c r="G1092" s="1"/>
      <c r="H1092" s="1" t="str">
        <f ca="1">IFERROR(__xludf.DUMMYFUNCTION("""COMPUTED_VALUE"""),"P1")</f>
        <v>P1</v>
      </c>
      <c r="I1092" s="1" t="str">
        <f ca="1">IFERROR(__xludf.DUMMYFUNCTION("""COMPUTED_VALUE"""),"Chiao Yu")</f>
        <v>Chiao Yu</v>
      </c>
    </row>
    <row r="1093" spans="1:9" ht="12.7" x14ac:dyDescent="0.4">
      <c r="A1093" s="2">
        <f ca="1">IFERROR(__xludf.DUMMYFUNCTION("""COMPUTED_VALUE"""),45776.566930787)</f>
        <v>45776.566930786998</v>
      </c>
      <c r="B1093" s="1" t="str">
        <f ca="1">IFERROR(__xludf.DUMMYFUNCTION("""COMPUTED_VALUE"""),"庫存調整")</f>
        <v>庫存調整</v>
      </c>
      <c r="C1093" s="1" t="str">
        <f ca="1">IFERROR(__xludf.DUMMYFUNCTION("""COMPUTED_VALUE"""),"ME0270001324")</f>
        <v>ME0270001324</v>
      </c>
      <c r="D1093" s="1" t="str">
        <f ca="1">IFERROR(__xludf.DUMMYFUNCTION("""COMPUTED_VALUE"""),"All/COLOR")</f>
        <v>All/COLOR</v>
      </c>
      <c r="E1093" s="1" t="str">
        <f ca="1">IFERROR(__xludf.DUMMYFUNCTION("""COMPUTED_VALUE"""),"p1/庫存")</f>
        <v>p1/庫存</v>
      </c>
      <c r="F1093" s="1">
        <f ca="1">IFERROR(__xludf.DUMMYFUNCTION("""COMPUTED_VALUE"""),-1)</f>
        <v>-1</v>
      </c>
      <c r="G1093" s="1"/>
      <c r="H1093" s="1" t="str">
        <f ca="1">IFERROR(__xludf.DUMMYFUNCTION("""COMPUTED_VALUE"""),"P1")</f>
        <v>P1</v>
      </c>
      <c r="I1093" s="1" t="str">
        <f ca="1">IFERROR(__xludf.DUMMYFUNCTION("""COMPUTED_VALUE"""),"Chiao Yu")</f>
        <v>Chiao Yu</v>
      </c>
    </row>
    <row r="1094" spans="1:9" ht="12.7" x14ac:dyDescent="0.4">
      <c r="A1094" s="2">
        <f ca="1">IFERROR(__xludf.DUMMYFUNCTION("""COMPUTED_VALUE"""),45776.5675049652)</f>
        <v>45776.567504965198</v>
      </c>
      <c r="B1094" s="1" t="str">
        <f ca="1">IFERROR(__xludf.DUMMYFUNCTION("""COMPUTED_VALUE"""),"庫存調整")</f>
        <v>庫存調整</v>
      </c>
      <c r="C1094" s="1" t="str">
        <f ca="1">IFERROR(__xludf.DUMMYFUNCTION("""COMPUTED_VALUE"""),"MM0220000039")</f>
        <v>MM0220000039</v>
      </c>
      <c r="D1094" s="1" t="str">
        <f ca="1">IFERROR(__xludf.DUMMYFUNCTION("""COMPUTED_VALUE"""),"All/共用")</f>
        <v>All/共用</v>
      </c>
      <c r="E1094" s="1" t="str">
        <f ca="1">IFERROR(__xludf.DUMMYFUNCTION("""COMPUTED_VALUE"""),"p1/庫存")</f>
        <v>p1/庫存</v>
      </c>
      <c r="F1094" s="1">
        <f ca="1">IFERROR(__xludf.DUMMYFUNCTION("""COMPUTED_VALUE"""),-1)</f>
        <v>-1</v>
      </c>
      <c r="G1094" s="1"/>
      <c r="H1094" s="1" t="str">
        <f ca="1">IFERROR(__xludf.DUMMYFUNCTION("""COMPUTED_VALUE"""),"P1")</f>
        <v>P1</v>
      </c>
      <c r="I1094" s="1" t="str">
        <f ca="1">IFERROR(__xludf.DUMMYFUNCTION("""COMPUTED_VALUE"""),"Chiao Yu")</f>
        <v>Chiao Yu</v>
      </c>
    </row>
    <row r="1095" spans="1:9" ht="12.7" x14ac:dyDescent="0.4">
      <c r="A1095" s="2">
        <f ca="1">IFERROR(__xludf.DUMMYFUNCTION("""COMPUTED_VALUE"""),45776.5679905092)</f>
        <v>45776.567990509197</v>
      </c>
      <c r="B1095" s="1" t="str">
        <f ca="1">IFERROR(__xludf.DUMMYFUNCTION("""COMPUTED_VALUE"""),"庫存調整")</f>
        <v>庫存調整</v>
      </c>
      <c r="C1095" s="1" t="str">
        <f ca="1">IFERROR(__xludf.DUMMYFUNCTION("""COMPUTED_VALUE"""),"MM0220000046")</f>
        <v>MM0220000046</v>
      </c>
      <c r="D1095" s="1" t="str">
        <f ca="1">IFERROR(__xludf.DUMMYFUNCTION("""COMPUTED_VALUE"""),"All/共用")</f>
        <v>All/共用</v>
      </c>
      <c r="E1095" s="1" t="str">
        <f ca="1">IFERROR(__xludf.DUMMYFUNCTION("""COMPUTED_VALUE"""),"p1/庫存")</f>
        <v>p1/庫存</v>
      </c>
      <c r="F1095" s="1">
        <f ca="1">IFERROR(__xludf.DUMMYFUNCTION("""COMPUTED_VALUE"""),-1)</f>
        <v>-1</v>
      </c>
      <c r="G1095" s="1"/>
      <c r="H1095" s="1" t="str">
        <f ca="1">IFERROR(__xludf.DUMMYFUNCTION("""COMPUTED_VALUE"""),"P1")</f>
        <v>P1</v>
      </c>
      <c r="I1095" s="1" t="str">
        <f ca="1">IFERROR(__xludf.DUMMYFUNCTION("""COMPUTED_VALUE"""),"Chiao Yu")</f>
        <v>Chiao Yu</v>
      </c>
    </row>
    <row r="1096" spans="1:9" ht="12.7" x14ac:dyDescent="0.4">
      <c r="A1096" s="2">
        <f ca="1">IFERROR(__xludf.DUMMYFUNCTION("""COMPUTED_VALUE"""),45776.5685894328)</f>
        <v>45776.568589432798</v>
      </c>
      <c r="B1096" s="1" t="str">
        <f ca="1">IFERROR(__xludf.DUMMYFUNCTION("""COMPUTED_VALUE"""),"庫存調整")</f>
        <v>庫存調整</v>
      </c>
      <c r="C1096" s="1" t="str">
        <f ca="1">IFERROR(__xludf.DUMMYFUNCTION("""COMPUTED_VALUE"""),"MM0090000047")</f>
        <v>MM0090000047</v>
      </c>
      <c r="D1096" s="1" t="str">
        <f ca="1">IFERROR(__xludf.DUMMYFUNCTION("""COMPUTED_VALUE"""),"All/BA")</f>
        <v>All/BA</v>
      </c>
      <c r="E1096" s="1" t="str">
        <f ca="1">IFERROR(__xludf.DUMMYFUNCTION("""COMPUTED_VALUE"""),"p1/庫存")</f>
        <v>p1/庫存</v>
      </c>
      <c r="F1096" s="1">
        <f ca="1">IFERROR(__xludf.DUMMYFUNCTION("""COMPUTED_VALUE"""),5)</f>
        <v>5</v>
      </c>
      <c r="G1096" s="1"/>
      <c r="H1096" s="1" t="str">
        <f ca="1">IFERROR(__xludf.DUMMYFUNCTION("""COMPUTED_VALUE"""),"P1")</f>
        <v>P1</v>
      </c>
      <c r="I1096" s="1" t="str">
        <f ca="1">IFERROR(__xludf.DUMMYFUNCTION("""COMPUTED_VALUE"""),"Chiao Yu")</f>
        <v>Chiao Yu</v>
      </c>
    </row>
    <row r="1097" spans="1:9" ht="12.7" x14ac:dyDescent="0.4">
      <c r="A1097" s="2">
        <f ca="1">IFERROR(__xludf.DUMMYFUNCTION("""COMPUTED_VALUE"""),45776.76185103)</f>
        <v>45776.761851030002</v>
      </c>
      <c r="B1097" s="1" t="str">
        <f ca="1">IFERROR(__xludf.DUMMYFUNCTION("""COMPUTED_VALUE"""),"庫存調整")</f>
        <v>庫存調整</v>
      </c>
      <c r="C1097" s="1" t="str">
        <f ca="1">IFERROR(__xludf.DUMMYFUNCTION("""COMPUTED_VALUE"""),"A00700000482")</f>
        <v>A00700000482</v>
      </c>
      <c r="D1097" s="1" t="str">
        <f ca="1">IFERROR(__xludf.DUMMYFUNCTION("""COMPUTED_VALUE"""),"All/SB")</f>
        <v>All/SB</v>
      </c>
      <c r="E1097" s="1" t="str">
        <f ca="1">IFERROR(__xludf.DUMMYFUNCTION("""COMPUTED_VALUE"""),"p2/庫存")</f>
        <v>p2/庫存</v>
      </c>
      <c r="F1097" s="1">
        <f ca="1">IFERROR(__xludf.DUMMYFUNCTION("""COMPUTED_VALUE"""),-1)</f>
        <v>-1</v>
      </c>
      <c r="G1097" s="1"/>
      <c r="H1097" s="1" t="str">
        <f ca="1">IFERROR(__xludf.DUMMYFUNCTION("""COMPUTED_VALUE"""),"P2")</f>
        <v>P2</v>
      </c>
      <c r="I1097" s="1" t="str">
        <f ca="1">IFERROR(__xludf.DUMMYFUNCTION("""COMPUTED_VALUE"""),"Chiao Yu")</f>
        <v>Chiao Yu</v>
      </c>
    </row>
    <row r="1098" spans="1:9" ht="12.7" x14ac:dyDescent="0.4">
      <c r="A1098" s="2">
        <f ca="1">IFERROR(__xludf.DUMMYFUNCTION("""COMPUTED_VALUE"""),45776.7622823263)</f>
        <v>45776.762282326301</v>
      </c>
      <c r="B1098" s="1" t="str">
        <f ca="1">IFERROR(__xludf.DUMMYFUNCTION("""COMPUTED_VALUE"""),"庫存調整")</f>
        <v>庫存調整</v>
      </c>
      <c r="C1098" s="1" t="str">
        <f ca="1">IFERROR(__xludf.DUMMYFUNCTION("""COMPUTED_VALUE"""),"AGT000000005")</f>
        <v>AGT000000005</v>
      </c>
      <c r="D1098" s="1" t="str">
        <f ca="1">IFERROR(__xludf.DUMMYFUNCTION("""COMPUTED_VALUE"""),"All/共用")</f>
        <v>All/共用</v>
      </c>
      <c r="E1098" s="1" t="str">
        <f ca="1">IFERROR(__xludf.DUMMYFUNCTION("""COMPUTED_VALUE"""),"p2/庫存")</f>
        <v>p2/庫存</v>
      </c>
      <c r="F1098" s="1">
        <f ca="1">IFERROR(__xludf.DUMMYFUNCTION("""COMPUTED_VALUE"""),1)</f>
        <v>1</v>
      </c>
      <c r="G1098" s="1"/>
      <c r="H1098" s="1" t="str">
        <f ca="1">IFERROR(__xludf.DUMMYFUNCTION("""COMPUTED_VALUE"""),"P2")</f>
        <v>P2</v>
      </c>
      <c r="I1098" s="1" t="str">
        <f ca="1">IFERROR(__xludf.DUMMYFUNCTION("""COMPUTED_VALUE"""),"Chiao Yu")</f>
        <v>Chiao Yu</v>
      </c>
    </row>
    <row r="1099" spans="1:9" ht="12.7" x14ac:dyDescent="0.4">
      <c r="A1099" s="2">
        <f ca="1">IFERROR(__xludf.DUMMYFUNCTION("""COMPUTED_VALUE"""),45776.7628694907)</f>
        <v>45776.762869490703</v>
      </c>
      <c r="B1099" s="1" t="str">
        <f ca="1">IFERROR(__xludf.DUMMYFUNCTION("""COMPUTED_VALUE"""),"庫存調整")</f>
        <v>庫存調整</v>
      </c>
      <c r="C1099" s="1" t="str">
        <f ca="1">IFERROR(__xludf.DUMMYFUNCTION("""COMPUTED_VALUE"""),"ME0020000632")</f>
        <v>ME0020000632</v>
      </c>
      <c r="D1099" s="1" t="str">
        <f ca="1">IFERROR(__xludf.DUMMYFUNCTION("""COMPUTED_VALUE"""),"All/共用")</f>
        <v>All/共用</v>
      </c>
      <c r="E1099" s="1" t="str">
        <f ca="1">IFERROR(__xludf.DUMMYFUNCTION("""COMPUTED_VALUE"""),"p2/庫存")</f>
        <v>p2/庫存</v>
      </c>
      <c r="F1099" s="1">
        <f ca="1">IFERROR(__xludf.DUMMYFUNCTION("""COMPUTED_VALUE"""),-1)</f>
        <v>-1</v>
      </c>
      <c r="G1099" s="1"/>
      <c r="H1099" s="1" t="str">
        <f ca="1">IFERROR(__xludf.DUMMYFUNCTION("""COMPUTED_VALUE"""),"P2")</f>
        <v>P2</v>
      </c>
      <c r="I1099" s="1" t="str">
        <f ca="1">IFERROR(__xludf.DUMMYFUNCTION("""COMPUTED_VALUE"""),"Chiao Yu")</f>
        <v>Chiao Yu</v>
      </c>
    </row>
    <row r="1100" spans="1:9" ht="12.7" x14ac:dyDescent="0.4">
      <c r="A1100" s="2">
        <f ca="1">IFERROR(__xludf.DUMMYFUNCTION("""COMPUTED_VALUE"""),45776.7634067013)</f>
        <v>45776.763406701299</v>
      </c>
      <c r="B1100" s="1" t="str">
        <f ca="1">IFERROR(__xludf.DUMMYFUNCTION("""COMPUTED_VALUE"""),"庫存調整")</f>
        <v>庫存調整</v>
      </c>
      <c r="C1100" s="1" t="str">
        <f ca="1">IFERROR(__xludf.DUMMYFUNCTION("""COMPUTED_VALUE"""),"ME0060000277")</f>
        <v>ME0060000277</v>
      </c>
      <c r="D1100" s="1" t="str">
        <f ca="1">IFERROR(__xludf.DUMMYFUNCTION("""COMPUTED_VALUE"""),"All/共用")</f>
        <v>All/共用</v>
      </c>
      <c r="E1100" s="1" t="str">
        <f ca="1">IFERROR(__xludf.DUMMYFUNCTION("""COMPUTED_VALUE"""),"p2/庫存")</f>
        <v>p2/庫存</v>
      </c>
      <c r="F1100" s="1">
        <f ca="1">IFERROR(__xludf.DUMMYFUNCTION("""COMPUTED_VALUE"""),-1)</f>
        <v>-1</v>
      </c>
      <c r="G1100" s="1"/>
      <c r="H1100" s="1" t="str">
        <f ca="1">IFERROR(__xludf.DUMMYFUNCTION("""COMPUTED_VALUE"""),"P2")</f>
        <v>P2</v>
      </c>
      <c r="I1100" s="1" t="str">
        <f ca="1">IFERROR(__xludf.DUMMYFUNCTION("""COMPUTED_VALUE"""),"Chiao Yu")</f>
        <v>Chiao Yu</v>
      </c>
    </row>
    <row r="1101" spans="1:9" ht="12.7" x14ac:dyDescent="0.4">
      <c r="A1101" s="2">
        <f ca="1">IFERROR(__xludf.DUMMYFUNCTION("""COMPUTED_VALUE"""),45776.7641186458)</f>
        <v>45776.764118645799</v>
      </c>
      <c r="B1101" s="1" t="str">
        <f ca="1">IFERROR(__xludf.DUMMYFUNCTION("""COMPUTED_VALUE"""),"庫存調整")</f>
        <v>庫存調整</v>
      </c>
      <c r="C1101" s="1" t="str">
        <f ca="1">IFERROR(__xludf.DUMMYFUNCTION("""COMPUTED_VALUE"""),"ME0270001131")</f>
        <v>ME0270001131</v>
      </c>
      <c r="D1101" s="1" t="str">
        <f ca="1">IFERROR(__xludf.DUMMYFUNCTION("""COMPUTED_VALUE"""),"All/共用")</f>
        <v>All/共用</v>
      </c>
      <c r="E1101" s="1" t="str">
        <f ca="1">IFERROR(__xludf.DUMMYFUNCTION("""COMPUTED_VALUE"""),"p2/庫存")</f>
        <v>p2/庫存</v>
      </c>
      <c r="F1101" s="1">
        <f ca="1">IFERROR(__xludf.DUMMYFUNCTION("""COMPUTED_VALUE"""),-1)</f>
        <v>-1</v>
      </c>
      <c r="G1101" s="1"/>
      <c r="H1101" s="1" t="str">
        <f ca="1">IFERROR(__xludf.DUMMYFUNCTION("""COMPUTED_VALUE"""),"P2")</f>
        <v>P2</v>
      </c>
      <c r="I1101" s="1" t="str">
        <f ca="1">IFERROR(__xludf.DUMMYFUNCTION("""COMPUTED_VALUE"""),"Chiao Yu")</f>
        <v>Chiao Yu</v>
      </c>
    </row>
    <row r="1102" spans="1:9" ht="12.7" x14ac:dyDescent="0.4">
      <c r="A1102" s="2">
        <f ca="1">IFERROR(__xludf.DUMMYFUNCTION("""COMPUTED_VALUE"""),45776.7645263425)</f>
        <v>45776.7645263425</v>
      </c>
      <c r="B1102" s="1" t="str">
        <f ca="1">IFERROR(__xludf.DUMMYFUNCTION("""COMPUTED_VALUE"""),"庫存調整")</f>
        <v>庫存調整</v>
      </c>
      <c r="C1102" s="1" t="str">
        <f ca="1">IFERROR(__xludf.DUMMYFUNCTION("""COMPUTED_VALUE"""),"ME0270001323")</f>
        <v>ME0270001323</v>
      </c>
      <c r="D1102" s="1" t="str">
        <f ca="1">IFERROR(__xludf.DUMMYFUNCTION("""COMPUTED_VALUE"""),"All/COLOR")</f>
        <v>All/COLOR</v>
      </c>
      <c r="E1102" s="1" t="str">
        <f ca="1">IFERROR(__xludf.DUMMYFUNCTION("""COMPUTED_VALUE"""),"p2/庫存")</f>
        <v>p2/庫存</v>
      </c>
      <c r="F1102" s="1">
        <f ca="1">IFERROR(__xludf.DUMMYFUNCTION("""COMPUTED_VALUE"""),1)</f>
        <v>1</v>
      </c>
      <c r="G1102" s="1"/>
      <c r="H1102" s="1" t="str">
        <f ca="1">IFERROR(__xludf.DUMMYFUNCTION("""COMPUTED_VALUE"""),"P2")</f>
        <v>P2</v>
      </c>
      <c r="I1102" s="1" t="str">
        <f ca="1">IFERROR(__xludf.DUMMYFUNCTION("""COMPUTED_VALUE"""),"Chiao Yu")</f>
        <v>Chiao Yu</v>
      </c>
    </row>
    <row r="1103" spans="1:9" ht="12.7" x14ac:dyDescent="0.4">
      <c r="A1103" s="2">
        <f ca="1">IFERROR(__xludf.DUMMYFUNCTION("""COMPUTED_VALUE"""),45776.7647950347)</f>
        <v>45776.764795034702</v>
      </c>
      <c r="B1103" s="1" t="str">
        <f ca="1">IFERROR(__xludf.DUMMYFUNCTION("""COMPUTED_VALUE"""),"庫存調整")</f>
        <v>庫存調整</v>
      </c>
      <c r="C1103" s="1" t="str">
        <f ca="1">IFERROR(__xludf.DUMMYFUNCTION("""COMPUTED_VALUE"""),"ME0270001324")</f>
        <v>ME0270001324</v>
      </c>
      <c r="D1103" s="1" t="str">
        <f ca="1">IFERROR(__xludf.DUMMYFUNCTION("""COMPUTED_VALUE"""),"All/COLOR")</f>
        <v>All/COLOR</v>
      </c>
      <c r="E1103" s="1" t="str">
        <f ca="1">IFERROR(__xludf.DUMMYFUNCTION("""COMPUTED_VALUE"""),"p2/庫存")</f>
        <v>p2/庫存</v>
      </c>
      <c r="F1103" s="1">
        <f ca="1">IFERROR(__xludf.DUMMYFUNCTION("""COMPUTED_VALUE"""),1)</f>
        <v>1</v>
      </c>
      <c r="G1103" s="1"/>
      <c r="H1103" s="1" t="str">
        <f ca="1">IFERROR(__xludf.DUMMYFUNCTION("""COMPUTED_VALUE"""),"P2")</f>
        <v>P2</v>
      </c>
      <c r="I1103" s="1" t="str">
        <f ca="1">IFERROR(__xludf.DUMMYFUNCTION("""COMPUTED_VALUE"""),"Chiao Yu")</f>
        <v>Chiao Yu</v>
      </c>
    </row>
    <row r="1104" spans="1:9" ht="12.7" x14ac:dyDescent="0.4">
      <c r="A1104" s="2">
        <f ca="1">IFERROR(__xludf.DUMMYFUNCTION("""COMPUTED_VALUE"""),45776.7653732176)</f>
        <v>45776.765373217597</v>
      </c>
      <c r="B1104" s="1" t="str">
        <f ca="1">IFERROR(__xludf.DUMMYFUNCTION("""COMPUTED_VALUE"""),"庫存調整")</f>
        <v>庫存調整</v>
      </c>
      <c r="C1104" s="1" t="str">
        <f ca="1">IFERROR(__xludf.DUMMYFUNCTION("""COMPUTED_VALUE"""),"ME0280000080")</f>
        <v>ME0280000080</v>
      </c>
      <c r="D1104" s="1" t="str">
        <f ca="1">IFERROR(__xludf.DUMMYFUNCTION("""COMPUTED_VALUE"""),"All/RL")</f>
        <v>All/RL</v>
      </c>
      <c r="E1104" s="1" t="str">
        <f ca="1">IFERROR(__xludf.DUMMYFUNCTION("""COMPUTED_VALUE"""),"p2/庫存")</f>
        <v>p2/庫存</v>
      </c>
      <c r="F1104" s="1">
        <f ca="1">IFERROR(__xludf.DUMMYFUNCTION("""COMPUTED_VALUE"""),2)</f>
        <v>2</v>
      </c>
      <c r="G1104" s="1"/>
      <c r="H1104" s="1" t="str">
        <f ca="1">IFERROR(__xludf.DUMMYFUNCTION("""COMPUTED_VALUE"""),"P2")</f>
        <v>P2</v>
      </c>
      <c r="I1104" s="1" t="str">
        <f ca="1">IFERROR(__xludf.DUMMYFUNCTION("""COMPUTED_VALUE"""),"Chiao Yu")</f>
        <v>Chiao Yu</v>
      </c>
    </row>
    <row r="1105" spans="1:9" ht="12.7" x14ac:dyDescent="0.4">
      <c r="A1105" s="2">
        <f ca="1">IFERROR(__xludf.DUMMYFUNCTION("""COMPUTED_VALUE"""),45776.7662003819)</f>
        <v>45776.766200381899</v>
      </c>
      <c r="B1105" s="1" t="str">
        <f ca="1">IFERROR(__xludf.DUMMYFUNCTION("""COMPUTED_VALUE"""),"領料")</f>
        <v>領料</v>
      </c>
      <c r="C1105" s="1" t="str">
        <f ca="1">IFERROR(__xludf.DUMMYFUNCTION("""COMPUTED_VALUE"""),"MM0040003550")</f>
        <v>MM0040003550</v>
      </c>
      <c r="D1105" s="1" t="str">
        <f ca="1">IFERROR(__xludf.DUMMYFUNCTION("""COMPUTED_VALUE"""),"All/BA")</f>
        <v>All/BA</v>
      </c>
      <c r="E1105" s="1" t="str">
        <f ca="1">IFERROR(__xludf.DUMMYFUNCTION("""COMPUTED_VALUE"""),"p2/庫存")</f>
        <v>p2/庫存</v>
      </c>
      <c r="F1105" s="1">
        <f ca="1">IFERROR(__xludf.DUMMYFUNCTION("""COMPUTED_VALUE"""),1)</f>
        <v>1</v>
      </c>
      <c r="G1105" s="1"/>
      <c r="H1105" s="1" t="str">
        <f ca="1">IFERROR(__xludf.DUMMYFUNCTION("""COMPUTED_VALUE"""),"P2_054")</f>
        <v>P2_054</v>
      </c>
      <c r="I1105" s="1" t="str">
        <f ca="1">IFERROR(__xludf.DUMMYFUNCTION("""COMPUTED_VALUE"""),"Chiao Yu")</f>
        <v>Chiao Yu</v>
      </c>
    </row>
    <row r="1106" spans="1:9" ht="12.7" x14ac:dyDescent="0.4">
      <c r="A1106" s="2">
        <f ca="1">IFERROR(__xludf.DUMMYFUNCTION("""COMPUTED_VALUE"""),45776.7667548148)</f>
        <v>45776.766754814802</v>
      </c>
      <c r="B1106" s="1" t="str">
        <f ca="1">IFERROR(__xludf.DUMMYFUNCTION("""COMPUTED_VALUE"""),"領料")</f>
        <v>領料</v>
      </c>
      <c r="C1106" s="1" t="str">
        <f ca="1">IFERROR(__xludf.DUMMYFUNCTION("""COMPUTED_VALUE"""),"MM0040003551")</f>
        <v>MM0040003551</v>
      </c>
      <c r="D1106" s="1" t="str">
        <f ca="1">IFERROR(__xludf.DUMMYFUNCTION("""COMPUTED_VALUE"""),"All/BA")</f>
        <v>All/BA</v>
      </c>
      <c r="E1106" s="1" t="str">
        <f ca="1">IFERROR(__xludf.DUMMYFUNCTION("""COMPUTED_VALUE"""),"p2/庫存")</f>
        <v>p2/庫存</v>
      </c>
      <c r="F1106" s="1">
        <f ca="1">IFERROR(__xludf.DUMMYFUNCTION("""COMPUTED_VALUE"""),1)</f>
        <v>1</v>
      </c>
      <c r="G1106" s="1"/>
      <c r="H1106" s="1" t="str">
        <f ca="1">IFERROR(__xludf.DUMMYFUNCTION("""COMPUTED_VALUE"""),"P2_054")</f>
        <v>P2_054</v>
      </c>
      <c r="I1106" s="1" t="str">
        <f ca="1">IFERROR(__xludf.DUMMYFUNCTION("""COMPUTED_VALUE"""),"Chiao Yu")</f>
        <v>Chiao Yu</v>
      </c>
    </row>
    <row r="1107" spans="1:9" ht="12.7" x14ac:dyDescent="0.4">
      <c r="A1107" s="2">
        <f ca="1">IFERROR(__xludf.DUMMYFUNCTION("""COMPUTED_VALUE"""),45777.3597336111)</f>
        <v>45777.359733611098</v>
      </c>
      <c r="B1107" s="1" t="str">
        <f ca="1">IFERROR(__xludf.DUMMYFUNCTION("""COMPUTED_VALUE"""),"領料")</f>
        <v>領料</v>
      </c>
      <c r="C1107" s="1" t="str">
        <f ca="1">IFERROR(__xludf.DUMMYFUNCTION("""COMPUTED_VALUE"""),"AGT000000005")</f>
        <v>AGT000000005</v>
      </c>
      <c r="D1107" s="1" t="str">
        <f ca="1">IFERROR(__xludf.DUMMYFUNCTION("""COMPUTED_VALUE"""),"All/共用")</f>
        <v>All/共用</v>
      </c>
      <c r="E1107" s="1" t="str">
        <f ca="1">IFERROR(__xludf.DUMMYFUNCTION("""COMPUTED_VALUE"""),"p1/庫存")</f>
        <v>p1/庫存</v>
      </c>
      <c r="F1107" s="1">
        <f ca="1">IFERROR(__xludf.DUMMYFUNCTION("""COMPUTED_VALUE"""),1)</f>
        <v>1</v>
      </c>
      <c r="G1107" s="1"/>
      <c r="H1107" s="1" t="str">
        <f ca="1">IFERROR(__xludf.DUMMYFUNCTION("""COMPUTED_VALUE"""),"P1_015")</f>
        <v>P1_015</v>
      </c>
      <c r="I1107" s="1" t="str">
        <f ca="1">IFERROR(__xludf.DUMMYFUNCTION("""COMPUTED_VALUE"""),"Chiao Yu")</f>
        <v>Chiao Yu</v>
      </c>
    </row>
    <row r="1108" spans="1:9" ht="12.7" x14ac:dyDescent="0.4">
      <c r="A1108" s="2">
        <f ca="1">IFERROR(__xludf.DUMMYFUNCTION("""COMPUTED_VALUE"""),45777.5726848148)</f>
        <v>45777.572684814797</v>
      </c>
      <c r="B1108" s="1" t="str">
        <f ca="1">IFERROR(__xludf.DUMMYFUNCTION("""COMPUTED_VALUE"""),"領料")</f>
        <v>領料</v>
      </c>
      <c r="C1108" s="1" t="str">
        <f ca="1">IFERROR(__xludf.DUMMYFUNCTION("""COMPUTED_VALUE"""),"ME0060000277")</f>
        <v>ME0060000277</v>
      </c>
      <c r="D1108" s="1" t="str">
        <f ca="1">IFERROR(__xludf.DUMMYFUNCTION("""COMPUTED_VALUE"""),"All/BA")</f>
        <v>All/BA</v>
      </c>
      <c r="E1108" s="1" t="str">
        <f ca="1">IFERROR(__xludf.DUMMYFUNCTION("""COMPUTED_VALUE"""),"p2/庫存")</f>
        <v>p2/庫存</v>
      </c>
      <c r="F1108" s="1">
        <f ca="1">IFERROR(__xludf.DUMMYFUNCTION("""COMPUTED_VALUE"""),1)</f>
        <v>1</v>
      </c>
      <c r="G1108" s="1"/>
      <c r="H1108" s="1" t="str">
        <f ca="1">IFERROR(__xludf.DUMMYFUNCTION("""COMPUTED_VALUE"""),"P2_055")</f>
        <v>P2_055</v>
      </c>
      <c r="I1108" s="1" t="str">
        <f ca="1">IFERROR(__xludf.DUMMYFUNCTION("""COMPUTED_VALUE"""),"Chiao Yu")</f>
        <v>Chiao Yu</v>
      </c>
    </row>
    <row r="1109" spans="1:9" ht="12.7" x14ac:dyDescent="0.4">
      <c r="A1109" s="2">
        <f ca="1">IFERROR(__xludf.DUMMYFUNCTION("""COMPUTED_VALUE"""),45777.7721105324)</f>
        <v>45777.772110532402</v>
      </c>
      <c r="B1109" s="1" t="str">
        <f ca="1">IFERROR(__xludf.DUMMYFUNCTION("""COMPUTED_VALUE"""),"領料")</f>
        <v>領料</v>
      </c>
      <c r="C1109" s="1" t="str">
        <f ca="1">IFERROR(__xludf.DUMMYFUNCTION("""COMPUTED_VALUE"""),"ME0230000257")</f>
        <v>ME0230000257</v>
      </c>
      <c r="D1109" s="1" t="str">
        <f ca="1">IFERROR(__xludf.DUMMYFUNCTION("""COMPUTED_VALUE"""),"All/BA")</f>
        <v>All/BA</v>
      </c>
      <c r="E1109" s="1" t="str">
        <f ca="1">IFERROR(__xludf.DUMMYFUNCTION("""COMPUTED_VALUE"""),"p2/庫存")</f>
        <v>p2/庫存</v>
      </c>
      <c r="F1109" s="1">
        <f ca="1">IFERROR(__xludf.DUMMYFUNCTION("""COMPUTED_VALUE"""),4)</f>
        <v>4</v>
      </c>
      <c r="G1109" s="1"/>
      <c r="H1109" s="1" t="str">
        <f ca="1">IFERROR(__xludf.DUMMYFUNCTION("""COMPUTED_VALUE"""),"P2_054")</f>
        <v>P2_054</v>
      </c>
      <c r="I1109" s="1" t="str">
        <f ca="1">IFERROR(__xludf.DUMMYFUNCTION("""COMPUTED_VALUE"""),"Simon")</f>
        <v>Simon</v>
      </c>
    </row>
    <row r="1110" spans="1:9" ht="12.7" x14ac:dyDescent="0.4">
      <c r="A1110" s="2">
        <f ca="1">IFERROR(__xludf.DUMMYFUNCTION("""COMPUTED_VALUE"""),45778.3487874537)</f>
        <v>45778.348787453702</v>
      </c>
      <c r="B1110" s="1" t="str">
        <f ca="1">IFERROR(__xludf.DUMMYFUNCTION("""COMPUTED_VALUE"""),"領料")</f>
        <v>領料</v>
      </c>
      <c r="C1110" s="1" t="str">
        <f ca="1">IFERROR(__xludf.DUMMYFUNCTION("""COMPUTED_VALUE"""),"AGT000000005")</f>
        <v>AGT000000005</v>
      </c>
      <c r="D1110" s="1" t="str">
        <f ca="1">IFERROR(__xludf.DUMMYFUNCTION("""COMPUTED_VALUE"""),"All/共用")</f>
        <v>All/共用</v>
      </c>
      <c r="E1110" s="1" t="str">
        <f ca="1">IFERROR(__xludf.DUMMYFUNCTION("""COMPUTED_VALUE"""),"p1/庫存")</f>
        <v>p1/庫存</v>
      </c>
      <c r="F1110" s="1">
        <f ca="1">IFERROR(__xludf.DUMMYFUNCTION("""COMPUTED_VALUE"""),1)</f>
        <v>1</v>
      </c>
      <c r="G1110" s="1"/>
      <c r="H1110" s="1" t="str">
        <f ca="1">IFERROR(__xludf.DUMMYFUNCTION("""COMPUTED_VALUE"""),"P1_002")</f>
        <v>P1_002</v>
      </c>
      <c r="I1110" s="1" t="str">
        <f ca="1">IFERROR(__xludf.DUMMYFUNCTION("""COMPUTED_VALUE"""),"Chiao Yu")</f>
        <v>Chiao Yu</v>
      </c>
    </row>
    <row r="1111" spans="1:9" ht="12.7" x14ac:dyDescent="0.4">
      <c r="A1111" s="2">
        <f ca="1">IFERROR(__xludf.DUMMYFUNCTION("""COMPUTED_VALUE"""),45779.3939848842)</f>
        <v>45779.393984884198</v>
      </c>
      <c r="B1111" s="1" t="str">
        <f ca="1">IFERROR(__xludf.DUMMYFUNCTION("""COMPUTED_VALUE"""),"送修")</f>
        <v>送修</v>
      </c>
      <c r="C1111" s="1" t="str">
        <f ca="1">IFERROR(__xludf.DUMMYFUNCTION("""COMPUTED_VALUE"""),"ME0020000525")</f>
        <v>ME0020000525</v>
      </c>
      <c r="D1111" s="1" t="str">
        <f ca="1">IFERROR(__xludf.DUMMYFUNCTION("""COMPUTED_VALUE"""),"All/共用")</f>
        <v>All/共用</v>
      </c>
      <c r="E1111" s="1" t="str">
        <f ca="1">IFERROR(__xludf.DUMMYFUNCTION("""COMPUTED_VALUE"""),"p2/庫存")</f>
        <v>p2/庫存</v>
      </c>
      <c r="F1111" s="1">
        <f ca="1">IFERROR(__xludf.DUMMYFUNCTION("""COMPUTED_VALUE"""),1)</f>
        <v>1</v>
      </c>
      <c r="G1111" s="1" t="str">
        <f ca="1">IFERROR(__xludf.DUMMYFUNCTION("""COMPUTED_VALUE"""),"2214E62338E9")</f>
        <v>2214E62338E9</v>
      </c>
      <c r="H1111" s="1" t="str">
        <f ca="1">IFERROR(__xludf.DUMMYFUNCTION("""COMPUTED_VALUE"""),"P2_2004")</f>
        <v>P2_2004</v>
      </c>
      <c r="I1111" s="1" t="str">
        <f ca="1">IFERROR(__xludf.DUMMYFUNCTION("""COMPUTED_VALUE"""),"Barry")</f>
        <v>Barry</v>
      </c>
    </row>
    <row r="1112" spans="1:9" ht="12.7" x14ac:dyDescent="0.4">
      <c r="A1112" s="2">
        <f ca="1">IFERROR(__xludf.DUMMYFUNCTION("""COMPUTED_VALUE"""),45779.3946784259)</f>
        <v>45779.394678425902</v>
      </c>
      <c r="B1112" s="1" t="str">
        <f ca="1">IFERROR(__xludf.DUMMYFUNCTION("""COMPUTED_VALUE"""),"料件上線時間")</f>
        <v>料件上線時間</v>
      </c>
      <c r="C1112" s="1" t="str">
        <f ca="1">IFERROR(__xludf.DUMMYFUNCTION("""COMPUTED_VALUE"""),"ME0020000525")</f>
        <v>ME0020000525</v>
      </c>
      <c r="D1112" s="1" t="str">
        <f ca="1">IFERROR(__xludf.DUMMYFUNCTION("""COMPUTED_VALUE"""),"All/共用")</f>
        <v>All/共用</v>
      </c>
      <c r="E1112" s="1" t="str">
        <f ca="1">IFERROR(__xludf.DUMMYFUNCTION("""COMPUTED_VALUE"""),"p2/庫存")</f>
        <v>p2/庫存</v>
      </c>
      <c r="F1112" s="1">
        <f ca="1">IFERROR(__xludf.DUMMYFUNCTION("""COMPUTED_VALUE"""),1)</f>
        <v>1</v>
      </c>
      <c r="G1112" s="1" t="str">
        <f ca="1">IFERROR(__xludf.DUMMYFUNCTION("""COMPUTED_VALUE"""),"2403E88F5B5B")</f>
        <v>2403E88F5B5B</v>
      </c>
      <c r="H1112" s="1" t="str">
        <f ca="1">IFERROR(__xludf.DUMMYFUNCTION("""COMPUTED_VALUE"""),"P2_2004")</f>
        <v>P2_2004</v>
      </c>
      <c r="I1112" s="1" t="str">
        <f ca="1">IFERROR(__xludf.DUMMYFUNCTION("""COMPUTED_VALUE"""),"Chiao Yu")</f>
        <v>Chiao Yu</v>
      </c>
    </row>
    <row r="1113" spans="1:9" ht="12.7" x14ac:dyDescent="0.4">
      <c r="A1113" s="2">
        <f ca="1">IFERROR(__xludf.DUMMYFUNCTION("""COMPUTED_VALUE"""),45779.3958280671)</f>
        <v>45779.3958280671</v>
      </c>
      <c r="B1113" s="1" t="str">
        <f ca="1">IFERROR(__xludf.DUMMYFUNCTION("""COMPUTED_VALUE"""),"領料")</f>
        <v>領料</v>
      </c>
      <c r="C1113" s="1" t="str">
        <f ca="1">IFERROR(__xludf.DUMMYFUNCTION("""COMPUTED_VALUE"""),"MM0260000199")</f>
        <v>MM0260000199</v>
      </c>
      <c r="D1113" s="1" t="str">
        <f ca="1">IFERROR(__xludf.DUMMYFUNCTION("""COMPUTED_VALUE"""),"All/RL")</f>
        <v>All/RL</v>
      </c>
      <c r="E1113" s="1" t="str">
        <f ca="1">IFERROR(__xludf.DUMMYFUNCTION("""COMPUTED_VALUE"""),"p2/庫存")</f>
        <v>p2/庫存</v>
      </c>
      <c r="F1113" s="1">
        <f ca="1">IFERROR(__xludf.DUMMYFUNCTION("""COMPUTED_VALUE"""),1)</f>
        <v>1</v>
      </c>
      <c r="G1113" s="1"/>
      <c r="H1113" s="1" t="str">
        <f ca="1">IFERROR(__xludf.DUMMYFUNCTION("""COMPUTED_VALUE"""),"P2_1003")</f>
        <v>P2_1003</v>
      </c>
      <c r="I1113" s="1" t="str">
        <f ca="1">IFERROR(__xludf.DUMMYFUNCTION("""COMPUTED_VALUE"""),"Chiao Yu")</f>
        <v>Chiao Yu</v>
      </c>
    </row>
    <row r="1114" spans="1:9" ht="12.7" x14ac:dyDescent="0.4">
      <c r="A1114" s="2">
        <f ca="1">IFERROR(__xludf.DUMMYFUNCTION("""COMPUTED_VALUE"""),45779.3969640509)</f>
        <v>45779.396964050902</v>
      </c>
      <c r="B1114" s="1" t="str">
        <f ca="1">IFERROR(__xludf.DUMMYFUNCTION("""COMPUTED_VALUE"""),"領料")</f>
        <v>領料</v>
      </c>
      <c r="C1114" s="1" t="str">
        <f ca="1">IFERROR(__xludf.DUMMYFUNCTION("""COMPUTED_VALUE"""),"MM0260000200")</f>
        <v>MM0260000200</v>
      </c>
      <c r="D1114" s="1" t="str">
        <f ca="1">IFERROR(__xludf.DUMMYFUNCTION("""COMPUTED_VALUE"""),"All/RL")</f>
        <v>All/RL</v>
      </c>
      <c r="E1114" s="1" t="str">
        <f ca="1">IFERROR(__xludf.DUMMYFUNCTION("""COMPUTED_VALUE"""),"p2/庫存")</f>
        <v>p2/庫存</v>
      </c>
      <c r="F1114" s="1">
        <f ca="1">IFERROR(__xludf.DUMMYFUNCTION("""COMPUTED_VALUE"""),1)</f>
        <v>1</v>
      </c>
      <c r="G1114" s="1"/>
      <c r="H1114" s="1" t="str">
        <f ca="1">IFERROR(__xludf.DUMMYFUNCTION("""COMPUTED_VALUE"""),"P2_1003")</f>
        <v>P2_1003</v>
      </c>
      <c r="I1114" s="1" t="str">
        <f ca="1">IFERROR(__xludf.DUMMYFUNCTION("""COMPUTED_VALUE"""),"Chiao Yu")</f>
        <v>Chiao Yu</v>
      </c>
    </row>
    <row r="1115" spans="1:9" ht="12.7" x14ac:dyDescent="0.4">
      <c r="A1115" s="2">
        <f ca="1">IFERROR(__xludf.DUMMYFUNCTION("""COMPUTED_VALUE"""),45779.3974609606)</f>
        <v>45779.397460960601</v>
      </c>
      <c r="B1115" s="1" t="str">
        <f ca="1">IFERROR(__xludf.DUMMYFUNCTION("""COMPUTED_VALUE"""),"領料")</f>
        <v>領料</v>
      </c>
      <c r="C1115" s="1" t="str">
        <f ca="1">IFERROR(__xludf.DUMMYFUNCTION("""COMPUTED_VALUE"""),"MM0260000249")</f>
        <v>MM0260000249</v>
      </c>
      <c r="D1115" s="1" t="str">
        <f ca="1">IFERROR(__xludf.DUMMYFUNCTION("""COMPUTED_VALUE"""),"All/RL")</f>
        <v>All/RL</v>
      </c>
      <c r="E1115" s="1" t="str">
        <f ca="1">IFERROR(__xludf.DUMMYFUNCTION("""COMPUTED_VALUE"""),"p2/庫存")</f>
        <v>p2/庫存</v>
      </c>
      <c r="F1115" s="1">
        <f ca="1">IFERROR(__xludf.DUMMYFUNCTION("""COMPUTED_VALUE"""),1)</f>
        <v>1</v>
      </c>
      <c r="G1115" s="1"/>
      <c r="H1115" s="1" t="str">
        <f ca="1">IFERROR(__xludf.DUMMYFUNCTION("""COMPUTED_VALUE"""),"P2_1003")</f>
        <v>P2_1003</v>
      </c>
      <c r="I1115" s="1" t="str">
        <f ca="1">IFERROR(__xludf.DUMMYFUNCTION("""COMPUTED_VALUE"""),"Chiao Yu")</f>
        <v>Chiao Yu</v>
      </c>
    </row>
    <row r="1116" spans="1:9" ht="12.7" x14ac:dyDescent="0.4">
      <c r="A1116" s="2">
        <f ca="1">IFERROR(__xludf.DUMMYFUNCTION("""COMPUTED_VALUE"""),45782.3570108796)</f>
        <v>45782.357010879598</v>
      </c>
      <c r="B1116" s="1" t="str">
        <f ca="1">IFERROR(__xludf.DUMMYFUNCTION("""COMPUTED_VALUE"""),"領料")</f>
        <v>領料</v>
      </c>
      <c r="C1116" s="1" t="str">
        <f ca="1">IFERROR(__xludf.DUMMYFUNCTION("""COMPUTED_VALUE"""),"MM0260000249")</f>
        <v>MM0260000249</v>
      </c>
      <c r="D1116" s="1" t="str">
        <f ca="1">IFERROR(__xludf.DUMMYFUNCTION("""COMPUTED_VALUE"""),"All/RL")</f>
        <v>All/RL</v>
      </c>
      <c r="E1116" s="1" t="str">
        <f ca="1">IFERROR(__xludf.DUMMYFUNCTION("""COMPUTED_VALUE"""),"p2/庫存")</f>
        <v>p2/庫存</v>
      </c>
      <c r="F1116" s="1">
        <f ca="1">IFERROR(__xludf.DUMMYFUNCTION("""COMPUTED_VALUE"""),2)</f>
        <v>2</v>
      </c>
      <c r="G1116" s="1"/>
      <c r="H1116" s="1" t="str">
        <f ca="1">IFERROR(__xludf.DUMMYFUNCTION("""COMPUTED_VALUE"""),"P2")</f>
        <v>P2</v>
      </c>
      <c r="I1116" s="1" t="str">
        <f ca="1">IFERROR(__xludf.DUMMYFUNCTION("""COMPUTED_VALUE"""),"Barry")</f>
        <v>Barry</v>
      </c>
    </row>
    <row r="1117" spans="1:9" ht="12.7" x14ac:dyDescent="0.4">
      <c r="A1117" s="2">
        <f ca="1">IFERROR(__xludf.DUMMYFUNCTION("""COMPUTED_VALUE"""),45782.3578429166)</f>
        <v>45782.357842916601</v>
      </c>
      <c r="B1117" s="1" t="str">
        <f ca="1">IFERROR(__xludf.DUMMYFUNCTION("""COMPUTED_VALUE"""),"領料")</f>
        <v>領料</v>
      </c>
      <c r="C1117" s="1" t="str">
        <f ca="1">IFERROR(__xludf.DUMMYFUNCTION("""COMPUTED_VALUE"""),"MM0260000199")</f>
        <v>MM0260000199</v>
      </c>
      <c r="D1117" s="1" t="str">
        <f ca="1">IFERROR(__xludf.DUMMYFUNCTION("""COMPUTED_VALUE"""),"All/RL")</f>
        <v>All/RL</v>
      </c>
      <c r="E1117" s="1" t="str">
        <f ca="1">IFERROR(__xludf.DUMMYFUNCTION("""COMPUTED_VALUE"""),"p2/庫存")</f>
        <v>p2/庫存</v>
      </c>
      <c r="F1117" s="1">
        <f ca="1">IFERROR(__xludf.DUMMYFUNCTION("""COMPUTED_VALUE"""),2)</f>
        <v>2</v>
      </c>
      <c r="G1117" s="1"/>
      <c r="H1117" s="1" t="str">
        <f ca="1">IFERROR(__xludf.DUMMYFUNCTION("""COMPUTED_VALUE"""),"P2")</f>
        <v>P2</v>
      </c>
      <c r="I1117" s="1" t="str">
        <f ca="1">IFERROR(__xludf.DUMMYFUNCTION("""COMPUTED_VALUE"""),"Barry")</f>
        <v>Barry</v>
      </c>
    </row>
    <row r="1118" spans="1:9" ht="12.7" x14ac:dyDescent="0.4">
      <c r="A1118" s="2">
        <f ca="1">IFERROR(__xludf.DUMMYFUNCTION("""COMPUTED_VALUE"""),45782.3586244328)</f>
        <v>45782.358624432803</v>
      </c>
      <c r="B1118" s="1" t="str">
        <f ca="1">IFERROR(__xludf.DUMMYFUNCTION("""COMPUTED_VALUE"""),"領料")</f>
        <v>領料</v>
      </c>
      <c r="C1118" s="1" t="str">
        <f ca="1">IFERROR(__xludf.DUMMYFUNCTION("""COMPUTED_VALUE"""),"MM0260000200")</f>
        <v>MM0260000200</v>
      </c>
      <c r="D1118" s="1" t="str">
        <f ca="1">IFERROR(__xludf.DUMMYFUNCTION("""COMPUTED_VALUE"""),"All/RL")</f>
        <v>All/RL</v>
      </c>
      <c r="E1118" s="1" t="str">
        <f ca="1">IFERROR(__xludf.DUMMYFUNCTION("""COMPUTED_VALUE"""),"p2/庫存")</f>
        <v>p2/庫存</v>
      </c>
      <c r="F1118" s="1">
        <f ca="1">IFERROR(__xludf.DUMMYFUNCTION("""COMPUTED_VALUE"""),2)</f>
        <v>2</v>
      </c>
      <c r="G1118" s="1"/>
      <c r="H1118" s="1" t="str">
        <f ca="1">IFERROR(__xludf.DUMMYFUNCTION("""COMPUTED_VALUE"""),"P2")</f>
        <v>P2</v>
      </c>
      <c r="I1118" s="1" t="str">
        <f ca="1">IFERROR(__xludf.DUMMYFUNCTION("""COMPUTED_VALUE"""),"Barry")</f>
        <v>Barry</v>
      </c>
    </row>
    <row r="1119" spans="1:9" ht="12.7" x14ac:dyDescent="0.4">
      <c r="A1119" s="2">
        <f ca="1">IFERROR(__xludf.DUMMYFUNCTION("""COMPUTED_VALUE"""),45782.3598105208)</f>
        <v>45782.3598105208</v>
      </c>
      <c r="B1119" s="1" t="str">
        <f ca="1">IFERROR(__xludf.DUMMYFUNCTION("""COMPUTED_VALUE"""),"領料")</f>
        <v>領料</v>
      </c>
      <c r="C1119" s="1" t="str">
        <f ca="1">IFERROR(__xludf.DUMMYFUNCTION("""COMPUTED_VALUE"""),"ME0120000048")</f>
        <v>ME0120000048</v>
      </c>
      <c r="D1119" s="1" t="str">
        <f ca="1">IFERROR(__xludf.DUMMYFUNCTION("""COMPUTED_VALUE"""),"All/RL")</f>
        <v>All/RL</v>
      </c>
      <c r="E1119" s="1" t="str">
        <f ca="1">IFERROR(__xludf.DUMMYFUNCTION("""COMPUTED_VALUE"""),"p2/庫存")</f>
        <v>p2/庫存</v>
      </c>
      <c r="F1119" s="1">
        <f ca="1">IFERROR(__xludf.DUMMYFUNCTION("""COMPUTED_VALUE"""),4)</f>
        <v>4</v>
      </c>
      <c r="G1119" s="1"/>
      <c r="H1119" s="1" t="str">
        <f ca="1">IFERROR(__xludf.DUMMYFUNCTION("""COMPUTED_VALUE"""),"P2")</f>
        <v>P2</v>
      </c>
      <c r="I1119" s="1" t="str">
        <f ca="1">IFERROR(__xludf.DUMMYFUNCTION("""COMPUTED_VALUE"""),"Barry")</f>
        <v>Barry</v>
      </c>
    </row>
    <row r="1120" spans="1:9" ht="12.7" x14ac:dyDescent="0.4">
      <c r="A1120" s="2">
        <f ca="1">IFERROR(__xludf.DUMMYFUNCTION("""COMPUTED_VALUE"""),45782.3682336342)</f>
        <v>45782.368233634203</v>
      </c>
      <c r="B1120" s="1" t="str">
        <f ca="1">IFERROR(__xludf.DUMMYFUNCTION("""COMPUTED_VALUE"""),"領料")</f>
        <v>領料</v>
      </c>
      <c r="C1120" s="1" t="str">
        <f ca="1">IFERROR(__xludf.DUMMYFUNCTION("""COMPUTED_VALUE"""),"MM0010000125")</f>
        <v>MM0010000125</v>
      </c>
      <c r="D1120" s="1" t="str">
        <f ca="1">IFERROR(__xludf.DUMMYFUNCTION("""COMPUTED_VALUE"""),"All/RL")</f>
        <v>All/RL</v>
      </c>
      <c r="E1120" s="1" t="str">
        <f ca="1">IFERROR(__xludf.DUMMYFUNCTION("""COMPUTED_VALUE"""),"p2/庫存")</f>
        <v>p2/庫存</v>
      </c>
      <c r="F1120" s="1">
        <f ca="1">IFERROR(__xludf.DUMMYFUNCTION("""COMPUTED_VALUE"""),2)</f>
        <v>2</v>
      </c>
      <c r="G1120" s="1"/>
      <c r="H1120" s="1" t="str">
        <f ca="1">IFERROR(__xludf.DUMMYFUNCTION("""COMPUTED_VALUE"""),"P2")</f>
        <v>P2</v>
      </c>
      <c r="I1120" s="1" t="str">
        <f ca="1">IFERROR(__xludf.DUMMYFUNCTION("""COMPUTED_VALUE"""),"Barry")</f>
        <v>Barry</v>
      </c>
    </row>
    <row r="1121" spans="1:9" ht="12.7" x14ac:dyDescent="0.4">
      <c r="A1121" s="2">
        <f ca="1">IFERROR(__xludf.DUMMYFUNCTION("""COMPUTED_VALUE"""),45782.5804589351)</f>
        <v>45782.580458935103</v>
      </c>
      <c r="B1121" s="1" t="str">
        <f ca="1">IFERROR(__xludf.DUMMYFUNCTION("""COMPUTED_VALUE"""),"返修")</f>
        <v>返修</v>
      </c>
      <c r="C1121" s="1" t="str">
        <f ca="1">IFERROR(__xludf.DUMMYFUNCTION("""COMPUTED_VALUE"""),"A00100000708")</f>
        <v>A00100000708</v>
      </c>
      <c r="D1121" s="1" t="str">
        <f ca="1">IFERROR(__xludf.DUMMYFUNCTION("""COMPUTED_VALUE"""),"All/BA")</f>
        <v>All/BA</v>
      </c>
      <c r="E1121" s="1" t="str">
        <f ca="1">IFERROR(__xludf.DUMMYFUNCTION("""COMPUTED_VALUE"""),"p2/庫存")</f>
        <v>p2/庫存</v>
      </c>
      <c r="F1121" s="1">
        <f ca="1">IFERROR(__xludf.DUMMYFUNCTION("""COMPUTED_VALUE"""),1)</f>
        <v>1</v>
      </c>
      <c r="G1121" s="1"/>
      <c r="H1121" s="1" t="str">
        <f ca="1">IFERROR(__xludf.DUMMYFUNCTION("""COMPUTED_VALUE"""),"P2_042")</f>
        <v>P2_042</v>
      </c>
      <c r="I1121" s="1" t="str">
        <f ca="1">IFERROR(__xludf.DUMMYFUNCTION("""COMPUTED_VALUE"""),"Simon")</f>
        <v>Simon</v>
      </c>
    </row>
    <row r="1122" spans="1:9" ht="12.7" x14ac:dyDescent="0.4">
      <c r="A1122" s="2">
        <f ca="1">IFERROR(__xludf.DUMMYFUNCTION("""COMPUTED_VALUE"""),45782.8350229282)</f>
        <v>45782.8350229282</v>
      </c>
      <c r="B1122" s="1" t="str">
        <f ca="1">IFERROR(__xludf.DUMMYFUNCTION("""COMPUTED_VALUE"""),"領料")</f>
        <v>領料</v>
      </c>
      <c r="C1122" s="1" t="str">
        <f ca="1">IFERROR(__xludf.DUMMYFUNCTION("""COMPUTED_VALUE"""),"ME0120000048")</f>
        <v>ME0120000048</v>
      </c>
      <c r="D1122" s="1" t="str">
        <f ca="1">IFERROR(__xludf.DUMMYFUNCTION("""COMPUTED_VALUE"""),"All/RL")</f>
        <v>All/RL</v>
      </c>
      <c r="E1122" s="1" t="str">
        <f ca="1">IFERROR(__xludf.DUMMYFUNCTION("""COMPUTED_VALUE"""),"p2/庫存")</f>
        <v>p2/庫存</v>
      </c>
      <c r="F1122" s="1">
        <f ca="1">IFERROR(__xludf.DUMMYFUNCTION("""COMPUTED_VALUE"""),2)</f>
        <v>2</v>
      </c>
      <c r="G1122" s="1"/>
      <c r="H1122" s="1" t="str">
        <f ca="1">IFERROR(__xludf.DUMMYFUNCTION("""COMPUTED_VALUE"""),"P2_1003")</f>
        <v>P2_1003</v>
      </c>
      <c r="I1122" s="1" t="str">
        <f ca="1">IFERROR(__xludf.DUMMYFUNCTION("""COMPUTED_VALUE"""),"Barry")</f>
        <v>Barry</v>
      </c>
    </row>
    <row r="1123" spans="1:9" ht="12.7" x14ac:dyDescent="0.4">
      <c r="A1123" s="2">
        <f ca="1">IFERROR(__xludf.DUMMYFUNCTION("""COMPUTED_VALUE"""),45783.3554396875)</f>
        <v>45783.355439687497</v>
      </c>
      <c r="B1123" s="1" t="str">
        <f ca="1">IFERROR(__xludf.DUMMYFUNCTION("""COMPUTED_VALUE"""),"領料")</f>
        <v>領料</v>
      </c>
      <c r="C1123" s="1" t="str">
        <f ca="1">IFERROR(__xludf.DUMMYFUNCTION("""COMPUTED_VALUE"""),"ME0120000048")</f>
        <v>ME0120000048</v>
      </c>
      <c r="D1123" s="1" t="str">
        <f ca="1">IFERROR(__xludf.DUMMYFUNCTION("""COMPUTED_VALUE"""),"All/RL")</f>
        <v>All/RL</v>
      </c>
      <c r="E1123" s="1" t="str">
        <f ca="1">IFERROR(__xludf.DUMMYFUNCTION("""COMPUTED_VALUE"""),"p1/庫存")</f>
        <v>p1/庫存</v>
      </c>
      <c r="F1123" s="1">
        <f ca="1">IFERROR(__xludf.DUMMYFUNCTION("""COMPUTED_VALUE"""),2)</f>
        <v>2</v>
      </c>
      <c r="G1123" s="1"/>
      <c r="H1123" s="1" t="str">
        <f ca="1">IFERROR(__xludf.DUMMYFUNCTION("""COMPUTED_VALUE"""),"P1_1002")</f>
        <v>P1_1002</v>
      </c>
      <c r="I1123" s="1" t="str">
        <f ca="1">IFERROR(__xludf.DUMMYFUNCTION("""COMPUTED_VALUE"""),"Jason")</f>
        <v>Jason</v>
      </c>
    </row>
    <row r="1124" spans="1:9" ht="12.7" x14ac:dyDescent="0.4">
      <c r="A1124" s="2">
        <f ca="1">IFERROR(__xludf.DUMMYFUNCTION("""COMPUTED_VALUE"""),45783.3568316319)</f>
        <v>45783.3568316319</v>
      </c>
      <c r="B1124" s="1" t="str">
        <f ca="1">IFERROR(__xludf.DUMMYFUNCTION("""COMPUTED_VALUE"""),"領料")</f>
        <v>領料</v>
      </c>
      <c r="C1124" s="1" t="str">
        <f ca="1">IFERROR(__xludf.DUMMYFUNCTION("""COMPUTED_VALUE"""),"MM0260000199")</f>
        <v>MM0260000199</v>
      </c>
      <c r="D1124" s="1" t="str">
        <f ca="1">IFERROR(__xludf.DUMMYFUNCTION("""COMPUTED_VALUE"""),"All/RL")</f>
        <v>All/RL</v>
      </c>
      <c r="E1124" s="1" t="str">
        <f ca="1">IFERROR(__xludf.DUMMYFUNCTION("""COMPUTED_VALUE"""),"p1/庫存")</f>
        <v>p1/庫存</v>
      </c>
      <c r="F1124" s="1">
        <f ca="1">IFERROR(__xludf.DUMMYFUNCTION("""COMPUTED_VALUE"""),1)</f>
        <v>1</v>
      </c>
      <c r="G1124" s="1"/>
      <c r="H1124" s="1" t="str">
        <f ca="1">IFERROR(__xludf.DUMMYFUNCTION("""COMPUTED_VALUE"""),"P1_1002")</f>
        <v>P1_1002</v>
      </c>
      <c r="I1124" s="1" t="str">
        <f ca="1">IFERROR(__xludf.DUMMYFUNCTION("""COMPUTED_VALUE"""),"Jason")</f>
        <v>Jason</v>
      </c>
    </row>
    <row r="1125" spans="1:9" ht="12.7" x14ac:dyDescent="0.4">
      <c r="A1125" s="2">
        <f ca="1">IFERROR(__xludf.DUMMYFUNCTION("""COMPUTED_VALUE"""),45783.3573983101)</f>
        <v>45783.357398310101</v>
      </c>
      <c r="B1125" s="1" t="str">
        <f ca="1">IFERROR(__xludf.DUMMYFUNCTION("""COMPUTED_VALUE"""),"領料")</f>
        <v>領料</v>
      </c>
      <c r="C1125" s="1" t="str">
        <f ca="1">IFERROR(__xludf.DUMMYFUNCTION("""COMPUTED_VALUE"""),"MM0260000200")</f>
        <v>MM0260000200</v>
      </c>
      <c r="D1125" s="1" t="str">
        <f ca="1">IFERROR(__xludf.DUMMYFUNCTION("""COMPUTED_VALUE"""),"All/RL")</f>
        <v>All/RL</v>
      </c>
      <c r="E1125" s="1" t="str">
        <f ca="1">IFERROR(__xludf.DUMMYFUNCTION("""COMPUTED_VALUE"""),"p1/庫存")</f>
        <v>p1/庫存</v>
      </c>
      <c r="F1125" s="1">
        <f ca="1">IFERROR(__xludf.DUMMYFUNCTION("""COMPUTED_VALUE"""),1)</f>
        <v>1</v>
      </c>
      <c r="G1125" s="1"/>
      <c r="H1125" s="1" t="str">
        <f ca="1">IFERROR(__xludf.DUMMYFUNCTION("""COMPUTED_VALUE"""),"P1_1002")</f>
        <v>P1_1002</v>
      </c>
      <c r="I1125" s="1" t="str">
        <f ca="1">IFERROR(__xludf.DUMMYFUNCTION("""COMPUTED_VALUE"""),"Jason")</f>
        <v>Jason</v>
      </c>
    </row>
    <row r="1126" spans="1:9" ht="12.7" x14ac:dyDescent="0.4">
      <c r="A1126" s="2">
        <f ca="1">IFERROR(__xludf.DUMMYFUNCTION("""COMPUTED_VALUE"""),45783.5781481597)</f>
        <v>45783.578148159701</v>
      </c>
      <c r="B1126" s="1" t="str">
        <f ca="1">IFERROR(__xludf.DUMMYFUNCTION("""COMPUTED_VALUE"""),"進貨")</f>
        <v>進貨</v>
      </c>
      <c r="C1126" s="1" t="str">
        <f ca="1">IFERROR(__xludf.DUMMYFUNCTION("""COMPUTED_VALUE"""),"MM0010000125")</f>
        <v>MM0010000125</v>
      </c>
      <c r="D1126" s="1" t="str">
        <f ca="1">IFERROR(__xludf.DUMMYFUNCTION("""COMPUTED_VALUE"""),"All/RL")</f>
        <v>All/RL</v>
      </c>
      <c r="E1126" s="1" t="str">
        <f ca="1">IFERROR(__xludf.DUMMYFUNCTION("""COMPUTED_VALUE"""),"p1/庫存")</f>
        <v>p1/庫存</v>
      </c>
      <c r="F1126" s="1">
        <f ca="1">IFERROR(__xludf.DUMMYFUNCTION("""COMPUTED_VALUE"""),3)</f>
        <v>3</v>
      </c>
      <c r="G1126" s="1"/>
      <c r="H1126" s="1" t="str">
        <f ca="1">IFERROR(__xludf.DUMMYFUNCTION("""COMPUTED_VALUE"""),"P1")</f>
        <v>P1</v>
      </c>
      <c r="I1126" s="1" t="str">
        <f ca="1">IFERROR(__xludf.DUMMYFUNCTION("""COMPUTED_VALUE"""),"Simon")</f>
        <v>Simon</v>
      </c>
    </row>
    <row r="1127" spans="1:9" ht="12.7" x14ac:dyDescent="0.4">
      <c r="A1127" s="2">
        <f ca="1">IFERROR(__xludf.DUMMYFUNCTION("""COMPUTED_VALUE"""),45783.5788757407)</f>
        <v>45783.578875740699</v>
      </c>
      <c r="B1127" s="1" t="str">
        <f ca="1">IFERROR(__xludf.DUMMYFUNCTION("""COMPUTED_VALUE"""),"進貨")</f>
        <v>進貨</v>
      </c>
      <c r="C1127" s="1" t="str">
        <f ca="1">IFERROR(__xludf.DUMMYFUNCTION("""COMPUTED_VALUE"""),"MM0010000125")</f>
        <v>MM0010000125</v>
      </c>
      <c r="D1127" s="1" t="str">
        <f ca="1">IFERROR(__xludf.DUMMYFUNCTION("""COMPUTED_VALUE"""),"All/RL")</f>
        <v>All/RL</v>
      </c>
      <c r="E1127" s="1" t="str">
        <f ca="1">IFERROR(__xludf.DUMMYFUNCTION("""COMPUTED_VALUE"""),"p2/庫存")</f>
        <v>p2/庫存</v>
      </c>
      <c r="F1127" s="1">
        <f ca="1">IFERROR(__xludf.DUMMYFUNCTION("""COMPUTED_VALUE"""),3)</f>
        <v>3</v>
      </c>
      <c r="G1127" s="1"/>
      <c r="H1127" s="1" t="str">
        <f ca="1">IFERROR(__xludf.DUMMYFUNCTION("""COMPUTED_VALUE"""),"P2")</f>
        <v>P2</v>
      </c>
      <c r="I1127" s="1" t="str">
        <f ca="1">IFERROR(__xludf.DUMMYFUNCTION("""COMPUTED_VALUE"""),"Simon")</f>
        <v>Simon</v>
      </c>
    </row>
    <row r="1128" spans="1:9" ht="12.7" x14ac:dyDescent="0.4">
      <c r="A1128" s="2">
        <f ca="1">IFERROR(__xludf.DUMMYFUNCTION("""COMPUTED_VALUE"""),45783.5811768981)</f>
        <v>45783.5811768981</v>
      </c>
      <c r="B1128" s="1" t="str">
        <f ca="1">IFERROR(__xludf.DUMMYFUNCTION("""COMPUTED_VALUE"""),"進貨")</f>
        <v>進貨</v>
      </c>
      <c r="C1128" s="1" t="str">
        <f ca="1">IFERROR(__xludf.DUMMYFUNCTION("""COMPUTED_VALUE"""),"MM0260000249")</f>
        <v>MM0260000249</v>
      </c>
      <c r="D1128" s="1" t="str">
        <f ca="1">IFERROR(__xludf.DUMMYFUNCTION("""COMPUTED_VALUE"""),"All/RL")</f>
        <v>All/RL</v>
      </c>
      <c r="E1128" s="1" t="str">
        <f ca="1">IFERROR(__xludf.DUMMYFUNCTION("""COMPUTED_VALUE"""),"p1/庫存")</f>
        <v>p1/庫存</v>
      </c>
      <c r="F1128" s="1">
        <f ca="1">IFERROR(__xludf.DUMMYFUNCTION("""COMPUTED_VALUE"""),3)</f>
        <v>3</v>
      </c>
      <c r="G1128" s="1"/>
      <c r="H1128" s="1" t="str">
        <f ca="1">IFERROR(__xludf.DUMMYFUNCTION("""COMPUTED_VALUE"""),"P1")</f>
        <v>P1</v>
      </c>
      <c r="I1128" s="1" t="str">
        <f ca="1">IFERROR(__xludf.DUMMYFUNCTION("""COMPUTED_VALUE"""),"Simon")</f>
        <v>Simon</v>
      </c>
    </row>
    <row r="1129" spans="1:9" ht="12.7" x14ac:dyDescent="0.4">
      <c r="A1129" s="2">
        <f ca="1">IFERROR(__xludf.DUMMYFUNCTION("""COMPUTED_VALUE"""),45783.5817446759)</f>
        <v>45783.581744675903</v>
      </c>
      <c r="B1129" s="1" t="str">
        <f ca="1">IFERROR(__xludf.DUMMYFUNCTION("""COMPUTED_VALUE"""),"進貨")</f>
        <v>進貨</v>
      </c>
      <c r="C1129" s="1" t="str">
        <f ca="1">IFERROR(__xludf.DUMMYFUNCTION("""COMPUTED_VALUE"""),"MM0260000249")</f>
        <v>MM0260000249</v>
      </c>
      <c r="D1129" s="1" t="str">
        <f ca="1">IFERROR(__xludf.DUMMYFUNCTION("""COMPUTED_VALUE"""),"All/RL")</f>
        <v>All/RL</v>
      </c>
      <c r="E1129" s="1" t="str">
        <f ca="1">IFERROR(__xludf.DUMMYFUNCTION("""COMPUTED_VALUE"""),"p2/庫存")</f>
        <v>p2/庫存</v>
      </c>
      <c r="F1129" s="1">
        <f ca="1">IFERROR(__xludf.DUMMYFUNCTION("""COMPUTED_VALUE"""),3)</f>
        <v>3</v>
      </c>
      <c r="G1129" s="1"/>
      <c r="H1129" s="1" t="str">
        <f ca="1">IFERROR(__xludf.DUMMYFUNCTION("""COMPUTED_VALUE"""),"P2")</f>
        <v>P2</v>
      </c>
      <c r="I1129" s="1" t="str">
        <f ca="1">IFERROR(__xludf.DUMMYFUNCTION("""COMPUTED_VALUE"""),"Simon")</f>
        <v>Simon</v>
      </c>
    </row>
    <row r="1130" spans="1:9" ht="12.7" x14ac:dyDescent="0.4">
      <c r="A1130" s="2">
        <f ca="1">IFERROR(__xludf.DUMMYFUNCTION("""COMPUTED_VALUE"""),45783.5829550347)</f>
        <v>45783.582955034697</v>
      </c>
      <c r="B1130" s="1" t="str">
        <f ca="1">IFERROR(__xludf.DUMMYFUNCTION("""COMPUTED_VALUE"""),"進貨")</f>
        <v>進貨</v>
      </c>
      <c r="C1130" s="1" t="str">
        <f ca="1">IFERROR(__xludf.DUMMYFUNCTION("""COMPUTED_VALUE"""),"ME0120000048")</f>
        <v>ME0120000048</v>
      </c>
      <c r="D1130" s="1" t="str">
        <f ca="1">IFERROR(__xludf.DUMMYFUNCTION("""COMPUTED_VALUE"""),"All/RL")</f>
        <v>All/RL</v>
      </c>
      <c r="E1130" s="1" t="str">
        <f ca="1">IFERROR(__xludf.DUMMYFUNCTION("""COMPUTED_VALUE"""),"p1/庫存")</f>
        <v>p1/庫存</v>
      </c>
      <c r="F1130" s="1">
        <f ca="1">IFERROR(__xludf.DUMMYFUNCTION("""COMPUTED_VALUE"""),4)</f>
        <v>4</v>
      </c>
      <c r="G1130" s="1"/>
      <c r="H1130" s="1" t="str">
        <f ca="1">IFERROR(__xludf.DUMMYFUNCTION("""COMPUTED_VALUE"""),"P1")</f>
        <v>P1</v>
      </c>
      <c r="I1130" s="1" t="str">
        <f ca="1">IFERROR(__xludf.DUMMYFUNCTION("""COMPUTED_VALUE"""),"Simon")</f>
        <v>Simon</v>
      </c>
    </row>
    <row r="1131" spans="1:9" ht="12.7" x14ac:dyDescent="0.4">
      <c r="A1131" s="2">
        <f ca="1">IFERROR(__xludf.DUMMYFUNCTION("""COMPUTED_VALUE"""),45783.5834833912)</f>
        <v>45783.583483391201</v>
      </c>
      <c r="B1131" s="1" t="str">
        <f ca="1">IFERROR(__xludf.DUMMYFUNCTION("""COMPUTED_VALUE"""),"進貨")</f>
        <v>進貨</v>
      </c>
      <c r="C1131" s="1" t="str">
        <f ca="1">IFERROR(__xludf.DUMMYFUNCTION("""COMPUTED_VALUE"""),"ME0120000048")</f>
        <v>ME0120000048</v>
      </c>
      <c r="D1131" s="1" t="str">
        <f ca="1">IFERROR(__xludf.DUMMYFUNCTION("""COMPUTED_VALUE"""),"All/RL")</f>
        <v>All/RL</v>
      </c>
      <c r="E1131" s="1" t="str">
        <f ca="1">IFERROR(__xludf.DUMMYFUNCTION("""COMPUTED_VALUE"""),"p2/庫存")</f>
        <v>p2/庫存</v>
      </c>
      <c r="F1131" s="1">
        <f ca="1">IFERROR(__xludf.DUMMYFUNCTION("""COMPUTED_VALUE"""),6)</f>
        <v>6</v>
      </c>
      <c r="G1131" s="1"/>
      <c r="H1131" s="1" t="str">
        <f ca="1">IFERROR(__xludf.DUMMYFUNCTION("""COMPUTED_VALUE"""),"P2")</f>
        <v>P2</v>
      </c>
      <c r="I1131" s="1" t="str">
        <f ca="1">IFERROR(__xludf.DUMMYFUNCTION("""COMPUTED_VALUE"""),"Simon")</f>
        <v>Simon</v>
      </c>
    </row>
    <row r="1132" spans="1:9" ht="12.7" x14ac:dyDescent="0.4">
      <c r="A1132" s="2">
        <f ca="1">IFERROR(__xludf.DUMMYFUNCTION("""COMPUTED_VALUE"""),45783.5873834838)</f>
        <v>45783.587383483798</v>
      </c>
      <c r="B1132" s="1" t="str">
        <f ca="1">IFERROR(__xludf.DUMMYFUNCTION("""COMPUTED_VALUE"""),"進貨")</f>
        <v>進貨</v>
      </c>
      <c r="C1132" s="1" t="str">
        <f ca="1">IFERROR(__xludf.DUMMYFUNCTION("""COMPUTED_VALUE"""),"MM0260000199")</f>
        <v>MM0260000199</v>
      </c>
      <c r="D1132" s="1" t="str">
        <f ca="1">IFERROR(__xludf.DUMMYFUNCTION("""COMPUTED_VALUE"""),"All/RL")</f>
        <v>All/RL</v>
      </c>
      <c r="E1132" s="1" t="str">
        <f ca="1">IFERROR(__xludf.DUMMYFUNCTION("""COMPUTED_VALUE"""),"p1/庫存")</f>
        <v>p1/庫存</v>
      </c>
      <c r="F1132" s="1">
        <f ca="1">IFERROR(__xludf.DUMMYFUNCTION("""COMPUTED_VALUE"""),1)</f>
        <v>1</v>
      </c>
      <c r="G1132" s="1"/>
      <c r="H1132" s="1" t="str">
        <f ca="1">IFERROR(__xludf.DUMMYFUNCTION("""COMPUTED_VALUE"""),"P1")</f>
        <v>P1</v>
      </c>
      <c r="I1132" s="1" t="str">
        <f ca="1">IFERROR(__xludf.DUMMYFUNCTION("""COMPUTED_VALUE"""),"Simon")</f>
        <v>Simon</v>
      </c>
    </row>
    <row r="1133" spans="1:9" ht="12.7" x14ac:dyDescent="0.4">
      <c r="A1133" s="2">
        <f ca="1">IFERROR(__xludf.DUMMYFUNCTION("""COMPUTED_VALUE"""),45783.5879305555)</f>
        <v>45783.587930555499</v>
      </c>
      <c r="B1133" s="1" t="str">
        <f ca="1">IFERROR(__xludf.DUMMYFUNCTION("""COMPUTED_VALUE"""),"進貨")</f>
        <v>進貨</v>
      </c>
      <c r="C1133" s="1" t="str">
        <f ca="1">IFERROR(__xludf.DUMMYFUNCTION("""COMPUTED_VALUE"""),"MM0260000199")</f>
        <v>MM0260000199</v>
      </c>
      <c r="D1133" s="1" t="str">
        <f ca="1">IFERROR(__xludf.DUMMYFUNCTION("""COMPUTED_VALUE"""),"All/RL")</f>
        <v>All/RL</v>
      </c>
      <c r="E1133" s="1" t="str">
        <f ca="1">IFERROR(__xludf.DUMMYFUNCTION("""COMPUTED_VALUE"""),"p2/庫存")</f>
        <v>p2/庫存</v>
      </c>
      <c r="F1133" s="1">
        <f ca="1">IFERROR(__xludf.DUMMYFUNCTION("""COMPUTED_VALUE"""),1)</f>
        <v>1</v>
      </c>
      <c r="G1133" s="1"/>
      <c r="H1133" s="1" t="str">
        <f ca="1">IFERROR(__xludf.DUMMYFUNCTION("""COMPUTED_VALUE"""),"P2")</f>
        <v>P2</v>
      </c>
      <c r="I1133" s="1" t="str">
        <f ca="1">IFERROR(__xludf.DUMMYFUNCTION("""COMPUTED_VALUE"""),"Simon")</f>
        <v>Simon</v>
      </c>
    </row>
    <row r="1134" spans="1:9" ht="12.7" x14ac:dyDescent="0.4">
      <c r="A1134" s="2">
        <f ca="1">IFERROR(__xludf.DUMMYFUNCTION("""COMPUTED_VALUE"""),45783.5885889351)</f>
        <v>45783.588588935098</v>
      </c>
      <c r="B1134" s="1" t="str">
        <f ca="1">IFERROR(__xludf.DUMMYFUNCTION("""COMPUTED_VALUE"""),"進貨")</f>
        <v>進貨</v>
      </c>
      <c r="C1134" s="1" t="str">
        <f ca="1">IFERROR(__xludf.DUMMYFUNCTION("""COMPUTED_VALUE"""),"MM0260000200")</f>
        <v>MM0260000200</v>
      </c>
      <c r="D1134" s="1" t="str">
        <f ca="1">IFERROR(__xludf.DUMMYFUNCTION("""COMPUTED_VALUE"""),"All/RL")</f>
        <v>All/RL</v>
      </c>
      <c r="E1134" s="1" t="str">
        <f ca="1">IFERROR(__xludf.DUMMYFUNCTION("""COMPUTED_VALUE"""),"p1/庫存")</f>
        <v>p1/庫存</v>
      </c>
      <c r="F1134" s="1">
        <f ca="1">IFERROR(__xludf.DUMMYFUNCTION("""COMPUTED_VALUE"""),1)</f>
        <v>1</v>
      </c>
      <c r="G1134" s="1"/>
      <c r="H1134" s="1" t="str">
        <f ca="1">IFERROR(__xludf.DUMMYFUNCTION("""COMPUTED_VALUE"""),"P1")</f>
        <v>P1</v>
      </c>
      <c r="I1134" s="1" t="str">
        <f ca="1">IFERROR(__xludf.DUMMYFUNCTION("""COMPUTED_VALUE"""),"Simon")</f>
        <v>Simon</v>
      </c>
    </row>
    <row r="1135" spans="1:9" ht="12.7" x14ac:dyDescent="0.4">
      <c r="A1135" s="2">
        <f ca="1">IFERROR(__xludf.DUMMYFUNCTION("""COMPUTED_VALUE"""),45783.5890565046)</f>
        <v>45783.589056504599</v>
      </c>
      <c r="B1135" s="1" t="str">
        <f ca="1">IFERROR(__xludf.DUMMYFUNCTION("""COMPUTED_VALUE"""),"進貨")</f>
        <v>進貨</v>
      </c>
      <c r="C1135" s="1" t="str">
        <f ca="1">IFERROR(__xludf.DUMMYFUNCTION("""COMPUTED_VALUE"""),"MM0260000200")</f>
        <v>MM0260000200</v>
      </c>
      <c r="D1135" s="1" t="str">
        <f ca="1">IFERROR(__xludf.DUMMYFUNCTION("""COMPUTED_VALUE"""),"All/RL")</f>
        <v>All/RL</v>
      </c>
      <c r="E1135" s="1" t="str">
        <f ca="1">IFERROR(__xludf.DUMMYFUNCTION("""COMPUTED_VALUE"""),"p2/庫存")</f>
        <v>p2/庫存</v>
      </c>
      <c r="F1135" s="1">
        <f ca="1">IFERROR(__xludf.DUMMYFUNCTION("""COMPUTED_VALUE"""),1)</f>
        <v>1</v>
      </c>
      <c r="G1135" s="1"/>
      <c r="H1135" s="1" t="str">
        <f ca="1">IFERROR(__xludf.DUMMYFUNCTION("""COMPUTED_VALUE"""),"P2")</f>
        <v>P2</v>
      </c>
      <c r="I1135" s="1" t="str">
        <f ca="1">IFERROR(__xludf.DUMMYFUNCTION("""COMPUTED_VALUE"""),"Simon")</f>
        <v>Simon</v>
      </c>
    </row>
    <row r="1136" spans="1:9" ht="12.7" x14ac:dyDescent="0.4">
      <c r="A1136" s="2">
        <f ca="1">IFERROR(__xludf.DUMMYFUNCTION("""COMPUTED_VALUE"""),45784.6143303819)</f>
        <v>45784.614330381897</v>
      </c>
      <c r="B1136" s="1" t="str">
        <f ca="1">IFERROR(__xludf.DUMMYFUNCTION("""COMPUTED_VALUE"""),"領料")</f>
        <v>領料</v>
      </c>
      <c r="C1136" s="1" t="str">
        <f ca="1">IFERROR(__xludf.DUMMYFUNCTION("""COMPUTED_VALUE"""),"ME0120000048")</f>
        <v>ME0120000048</v>
      </c>
      <c r="D1136" s="1" t="str">
        <f ca="1">IFERROR(__xludf.DUMMYFUNCTION("""COMPUTED_VALUE"""),"All/RL")</f>
        <v>All/RL</v>
      </c>
      <c r="E1136" s="1" t="str">
        <f ca="1">IFERROR(__xludf.DUMMYFUNCTION("""COMPUTED_VALUE"""),"p1/庫存")</f>
        <v>p1/庫存</v>
      </c>
      <c r="F1136" s="1">
        <f ca="1">IFERROR(__xludf.DUMMYFUNCTION("""COMPUTED_VALUE"""),2)</f>
        <v>2</v>
      </c>
      <c r="G1136" s="1"/>
      <c r="H1136" s="1" t="str">
        <f ca="1">IFERROR(__xludf.DUMMYFUNCTION("""COMPUTED_VALUE"""),"P1_1001")</f>
        <v>P1_1001</v>
      </c>
      <c r="I1136" s="1" t="str">
        <f ca="1">IFERROR(__xludf.DUMMYFUNCTION("""COMPUTED_VALUE"""),"Nick")</f>
        <v>Nick</v>
      </c>
    </row>
    <row r="1137" spans="1:9" ht="12.7" x14ac:dyDescent="0.4">
      <c r="A1137" s="2">
        <f ca="1">IFERROR(__xludf.DUMMYFUNCTION("""COMPUTED_VALUE"""),45784.6152573842)</f>
        <v>45784.615257384197</v>
      </c>
      <c r="B1137" s="1" t="str">
        <f ca="1">IFERROR(__xludf.DUMMYFUNCTION("""COMPUTED_VALUE"""),"領料")</f>
        <v>領料</v>
      </c>
      <c r="C1137" s="1" t="str">
        <f ca="1">IFERROR(__xludf.DUMMYFUNCTION("""COMPUTED_VALUE"""),"MM0260000199")</f>
        <v>MM0260000199</v>
      </c>
      <c r="D1137" s="1" t="str">
        <f ca="1">IFERROR(__xludf.DUMMYFUNCTION("""COMPUTED_VALUE"""),"All/RL")</f>
        <v>All/RL</v>
      </c>
      <c r="E1137" s="1" t="str">
        <f ca="1">IFERROR(__xludf.DUMMYFUNCTION("""COMPUTED_VALUE"""),"p1/庫存")</f>
        <v>p1/庫存</v>
      </c>
      <c r="F1137" s="1">
        <f ca="1">IFERROR(__xludf.DUMMYFUNCTION("""COMPUTED_VALUE"""),1)</f>
        <v>1</v>
      </c>
      <c r="G1137" s="1"/>
      <c r="H1137" s="1" t="str">
        <f ca="1">IFERROR(__xludf.DUMMYFUNCTION("""COMPUTED_VALUE"""),"P1_1001")</f>
        <v>P1_1001</v>
      </c>
      <c r="I1137" s="1" t="str">
        <f ca="1">IFERROR(__xludf.DUMMYFUNCTION("""COMPUTED_VALUE"""),"Nick")</f>
        <v>Nick</v>
      </c>
    </row>
    <row r="1138" spans="1:9" ht="12.7" x14ac:dyDescent="0.4">
      <c r="A1138" s="2">
        <f ca="1">IFERROR(__xludf.DUMMYFUNCTION("""COMPUTED_VALUE"""),45784.615909537)</f>
        <v>45784.615909537002</v>
      </c>
      <c r="B1138" s="1" t="str">
        <f ca="1">IFERROR(__xludf.DUMMYFUNCTION("""COMPUTED_VALUE"""),"領料")</f>
        <v>領料</v>
      </c>
      <c r="C1138" s="1" t="str">
        <f ca="1">IFERROR(__xludf.DUMMYFUNCTION("""COMPUTED_VALUE"""),"MM0260000200")</f>
        <v>MM0260000200</v>
      </c>
      <c r="D1138" s="1" t="str">
        <f ca="1">IFERROR(__xludf.DUMMYFUNCTION("""COMPUTED_VALUE"""),"All/RL")</f>
        <v>All/RL</v>
      </c>
      <c r="E1138" s="1" t="str">
        <f ca="1">IFERROR(__xludf.DUMMYFUNCTION("""COMPUTED_VALUE"""),"p1/庫存")</f>
        <v>p1/庫存</v>
      </c>
      <c r="F1138" s="1">
        <f ca="1">IFERROR(__xludf.DUMMYFUNCTION("""COMPUTED_VALUE"""),1)</f>
        <v>1</v>
      </c>
      <c r="G1138" s="1"/>
      <c r="H1138" s="1" t="str">
        <f ca="1">IFERROR(__xludf.DUMMYFUNCTION("""COMPUTED_VALUE"""),"P1_1001")</f>
        <v>P1_1001</v>
      </c>
      <c r="I1138" s="1" t="str">
        <f ca="1">IFERROR(__xludf.DUMMYFUNCTION("""COMPUTED_VALUE"""),"Nick")</f>
        <v>Nick</v>
      </c>
    </row>
    <row r="1139" spans="1:9" ht="12.7" x14ac:dyDescent="0.4">
      <c r="A1139" s="2">
        <f ca="1">IFERROR(__xludf.DUMMYFUNCTION("""COMPUTED_VALUE"""),45784.6168966319)</f>
        <v>45784.616896631902</v>
      </c>
      <c r="B1139" s="1" t="str">
        <f ca="1">IFERROR(__xludf.DUMMYFUNCTION("""COMPUTED_VALUE"""),"領料")</f>
        <v>領料</v>
      </c>
      <c r="C1139" s="1" t="str">
        <f ca="1">IFERROR(__xludf.DUMMYFUNCTION("""COMPUTED_VALUE"""),"MM0260000249")</f>
        <v>MM0260000249</v>
      </c>
      <c r="D1139" s="1" t="str">
        <f ca="1">IFERROR(__xludf.DUMMYFUNCTION("""COMPUTED_VALUE"""),"All/RL")</f>
        <v>All/RL</v>
      </c>
      <c r="E1139" s="1" t="str">
        <f ca="1">IFERROR(__xludf.DUMMYFUNCTION("""COMPUTED_VALUE"""),"p1/庫存")</f>
        <v>p1/庫存</v>
      </c>
      <c r="F1139" s="1">
        <f ca="1">IFERROR(__xludf.DUMMYFUNCTION("""COMPUTED_VALUE"""),1)</f>
        <v>1</v>
      </c>
      <c r="G1139" s="1"/>
      <c r="H1139" s="1" t="str">
        <f ca="1">IFERROR(__xludf.DUMMYFUNCTION("""COMPUTED_VALUE"""),"P1_1001")</f>
        <v>P1_1001</v>
      </c>
      <c r="I1139" s="1" t="str">
        <f ca="1">IFERROR(__xludf.DUMMYFUNCTION("""COMPUTED_VALUE"""),"Nick")</f>
        <v>Nick</v>
      </c>
    </row>
    <row r="1140" spans="1:9" ht="12.7" x14ac:dyDescent="0.4">
      <c r="A1140" s="2">
        <f ca="1">IFERROR(__xludf.DUMMYFUNCTION("""COMPUTED_VALUE"""),45784.6239903356)</f>
        <v>45784.623990335604</v>
      </c>
      <c r="B1140" s="1" t="str">
        <f ca="1">IFERROR(__xludf.DUMMYFUNCTION("""COMPUTED_VALUE"""),"庫存調整")</f>
        <v>庫存調整</v>
      </c>
      <c r="C1140" s="1" t="str">
        <f ca="1">IFERROR(__xludf.DUMMYFUNCTION("""COMPUTED_VALUE"""),"MM0260000260")</f>
        <v>MM0260000260</v>
      </c>
      <c r="D1140" s="1" t="str">
        <f ca="1">IFERROR(__xludf.DUMMYFUNCTION("""COMPUTED_VALUE"""),"All/BA")</f>
        <v>All/BA</v>
      </c>
      <c r="E1140" s="1" t="str">
        <f ca="1">IFERROR(__xludf.DUMMYFUNCTION("""COMPUTED_VALUE"""),"p2/庫存")</f>
        <v>p2/庫存</v>
      </c>
      <c r="F1140" s="1">
        <f ca="1">IFERROR(__xludf.DUMMYFUNCTION("""COMPUTED_VALUE"""),2)</f>
        <v>2</v>
      </c>
      <c r="G1140" s="1"/>
      <c r="H1140" s="1" t="str">
        <f ca="1">IFERROR(__xludf.DUMMYFUNCTION("""COMPUTED_VALUE"""),"P2")</f>
        <v>P2</v>
      </c>
      <c r="I1140" s="1" t="str">
        <f ca="1">IFERROR(__xludf.DUMMYFUNCTION("""COMPUTED_VALUE"""),"Chiao Yu")</f>
        <v>Chiao Yu</v>
      </c>
    </row>
    <row r="1141" spans="1:9" ht="12.7" x14ac:dyDescent="0.4">
      <c r="A1141" s="2">
        <f ca="1">IFERROR(__xludf.DUMMYFUNCTION("""COMPUTED_VALUE"""),45784.6243970717)</f>
        <v>45784.624397071697</v>
      </c>
      <c r="B1141" s="1" t="str">
        <f ca="1">IFERROR(__xludf.DUMMYFUNCTION("""COMPUTED_VALUE"""),"庫存調整")</f>
        <v>庫存調整</v>
      </c>
      <c r="C1141" s="1" t="str">
        <f ca="1">IFERROR(__xludf.DUMMYFUNCTION("""COMPUTED_VALUE"""),"MM0260000266")</f>
        <v>MM0260000266</v>
      </c>
      <c r="D1141" s="1" t="str">
        <f ca="1">IFERROR(__xludf.DUMMYFUNCTION("""COMPUTED_VALUE"""),"All/BA")</f>
        <v>All/BA</v>
      </c>
      <c r="E1141" s="1" t="str">
        <f ca="1">IFERROR(__xludf.DUMMYFUNCTION("""COMPUTED_VALUE"""),"p2/庫存")</f>
        <v>p2/庫存</v>
      </c>
      <c r="F1141" s="1">
        <f ca="1">IFERROR(__xludf.DUMMYFUNCTION("""COMPUTED_VALUE"""),2)</f>
        <v>2</v>
      </c>
      <c r="G1141" s="1"/>
      <c r="H1141" s="1" t="str">
        <f ca="1">IFERROR(__xludf.DUMMYFUNCTION("""COMPUTED_VALUE"""),"P2")</f>
        <v>P2</v>
      </c>
      <c r="I1141" s="1" t="str">
        <f ca="1">IFERROR(__xludf.DUMMYFUNCTION("""COMPUTED_VALUE"""),"Chiao Yu")</f>
        <v>Chiao Yu</v>
      </c>
    </row>
    <row r="1142" spans="1:9" ht="12.7" x14ac:dyDescent="0.4">
      <c r="A1142" s="2">
        <f ca="1">IFERROR(__xludf.DUMMYFUNCTION("""COMPUTED_VALUE"""),45784.6254263194)</f>
        <v>45784.625426319399</v>
      </c>
      <c r="B1142" s="1" t="str">
        <f ca="1">IFERROR(__xludf.DUMMYFUNCTION("""COMPUTED_VALUE"""),"庫存調整")</f>
        <v>庫存調整</v>
      </c>
      <c r="C1142" s="1" t="str">
        <f ca="1">IFERROR(__xludf.DUMMYFUNCTION("""COMPUTED_VALUE"""),"ME0230000255")</f>
        <v>ME0230000255</v>
      </c>
      <c r="D1142" s="1" t="str">
        <f ca="1">IFERROR(__xludf.DUMMYFUNCTION("""COMPUTED_VALUE"""),"All/BA")</f>
        <v>All/BA</v>
      </c>
      <c r="E1142" s="1" t="str">
        <f ca="1">IFERROR(__xludf.DUMMYFUNCTION("""COMPUTED_VALUE"""),"p2/庫存")</f>
        <v>p2/庫存</v>
      </c>
      <c r="F1142" s="1">
        <f ca="1">IFERROR(__xludf.DUMMYFUNCTION("""COMPUTED_VALUE"""),1)</f>
        <v>1</v>
      </c>
      <c r="G1142" s="1"/>
      <c r="H1142" s="1" t="str">
        <f ca="1">IFERROR(__xludf.DUMMYFUNCTION("""COMPUTED_VALUE"""),"P2")</f>
        <v>P2</v>
      </c>
      <c r="I1142" s="1" t="str">
        <f ca="1">IFERROR(__xludf.DUMMYFUNCTION("""COMPUTED_VALUE"""),"Chiao Yu")</f>
        <v>Chiao Yu</v>
      </c>
    </row>
    <row r="1143" spans="1:9" ht="12.7" x14ac:dyDescent="0.4">
      <c r="A1143" s="2">
        <f ca="1">IFERROR(__xludf.DUMMYFUNCTION("""COMPUTED_VALUE"""),45785.5679368634)</f>
        <v>45785.567936863401</v>
      </c>
      <c r="B1143" s="1" t="str">
        <f ca="1">IFERROR(__xludf.DUMMYFUNCTION("""COMPUTED_VALUE"""),"領料")</f>
        <v>領料</v>
      </c>
      <c r="C1143" s="1" t="str">
        <f ca="1">IFERROR(__xludf.DUMMYFUNCTION("""COMPUTED_VALUE"""),"ME0120000048")</f>
        <v>ME0120000048</v>
      </c>
      <c r="D1143" s="1" t="str">
        <f ca="1">IFERROR(__xludf.DUMMYFUNCTION("""COMPUTED_VALUE"""),"All/RL")</f>
        <v>All/RL</v>
      </c>
      <c r="E1143" s="1" t="str">
        <f ca="1">IFERROR(__xludf.DUMMYFUNCTION("""COMPUTED_VALUE"""),"p2/庫存")</f>
        <v>p2/庫存</v>
      </c>
      <c r="F1143" s="1">
        <f ca="1">IFERROR(__xludf.DUMMYFUNCTION("""COMPUTED_VALUE"""),2)</f>
        <v>2</v>
      </c>
      <c r="G1143" s="1"/>
      <c r="H1143" s="1" t="str">
        <f ca="1">IFERROR(__xludf.DUMMYFUNCTION("""COMPUTED_VALUE"""),"P2_1004")</f>
        <v>P2_1004</v>
      </c>
      <c r="I1143" s="1" t="str">
        <f ca="1">IFERROR(__xludf.DUMMYFUNCTION("""COMPUTED_VALUE"""),"Chiao Yu")</f>
        <v>Chiao Yu</v>
      </c>
    </row>
    <row r="1144" spans="1:9" ht="12.7" x14ac:dyDescent="0.4">
      <c r="A1144" s="2">
        <f ca="1">IFERROR(__xludf.DUMMYFUNCTION("""COMPUTED_VALUE"""),45785.5683553587)</f>
        <v>45785.568355358701</v>
      </c>
      <c r="B1144" s="1" t="str">
        <f ca="1">IFERROR(__xludf.DUMMYFUNCTION("""COMPUTED_VALUE"""),"領料")</f>
        <v>領料</v>
      </c>
      <c r="C1144" s="1" t="str">
        <f ca="1">IFERROR(__xludf.DUMMYFUNCTION("""COMPUTED_VALUE"""),"MM0260000199")</f>
        <v>MM0260000199</v>
      </c>
      <c r="D1144" s="1" t="str">
        <f ca="1">IFERROR(__xludf.DUMMYFUNCTION("""COMPUTED_VALUE"""),"All/RL")</f>
        <v>All/RL</v>
      </c>
      <c r="E1144" s="1" t="str">
        <f ca="1">IFERROR(__xludf.DUMMYFUNCTION("""COMPUTED_VALUE"""),"p2/庫存")</f>
        <v>p2/庫存</v>
      </c>
      <c r="F1144" s="1">
        <f ca="1">IFERROR(__xludf.DUMMYFUNCTION("""COMPUTED_VALUE"""),1)</f>
        <v>1</v>
      </c>
      <c r="G1144" s="1"/>
      <c r="H1144" s="1" t="str">
        <f ca="1">IFERROR(__xludf.DUMMYFUNCTION("""COMPUTED_VALUE"""),"P2_1004")</f>
        <v>P2_1004</v>
      </c>
      <c r="I1144" s="1" t="str">
        <f ca="1">IFERROR(__xludf.DUMMYFUNCTION("""COMPUTED_VALUE"""),"Chiao Yu")</f>
        <v>Chiao Yu</v>
      </c>
    </row>
    <row r="1145" spans="1:9" ht="12.7" x14ac:dyDescent="0.4">
      <c r="A1145" s="2">
        <f ca="1">IFERROR(__xludf.DUMMYFUNCTION("""COMPUTED_VALUE"""),45785.5687603472)</f>
        <v>45785.568760347203</v>
      </c>
      <c r="B1145" s="1" t="str">
        <f ca="1">IFERROR(__xludf.DUMMYFUNCTION("""COMPUTED_VALUE"""),"領料")</f>
        <v>領料</v>
      </c>
      <c r="C1145" s="1" t="str">
        <f ca="1">IFERROR(__xludf.DUMMYFUNCTION("""COMPUTED_VALUE"""),"MM0260000200")</f>
        <v>MM0260000200</v>
      </c>
      <c r="D1145" s="1" t="str">
        <f ca="1">IFERROR(__xludf.DUMMYFUNCTION("""COMPUTED_VALUE"""),"All/RL")</f>
        <v>All/RL</v>
      </c>
      <c r="E1145" s="1" t="str">
        <f ca="1">IFERROR(__xludf.DUMMYFUNCTION("""COMPUTED_VALUE"""),"p2/庫存")</f>
        <v>p2/庫存</v>
      </c>
      <c r="F1145" s="1">
        <f ca="1">IFERROR(__xludf.DUMMYFUNCTION("""COMPUTED_VALUE"""),1)</f>
        <v>1</v>
      </c>
      <c r="G1145" s="1"/>
      <c r="H1145" s="1" t="str">
        <f ca="1">IFERROR(__xludf.DUMMYFUNCTION("""COMPUTED_VALUE"""),"P2_1004")</f>
        <v>P2_1004</v>
      </c>
      <c r="I1145" s="1" t="str">
        <f ca="1">IFERROR(__xludf.DUMMYFUNCTION("""COMPUTED_VALUE"""),"Chiao Yu")</f>
        <v>Chiao Yu</v>
      </c>
    </row>
    <row r="1146" spans="1:9" ht="12.7" x14ac:dyDescent="0.4">
      <c r="A1146" s="2">
        <f ca="1">IFERROR(__xludf.DUMMYFUNCTION("""COMPUTED_VALUE"""),45785.5692632291)</f>
        <v>45785.569263229103</v>
      </c>
      <c r="B1146" s="1" t="str">
        <f ca="1">IFERROR(__xludf.DUMMYFUNCTION("""COMPUTED_VALUE"""),"領料")</f>
        <v>領料</v>
      </c>
      <c r="C1146" s="1" t="str">
        <f ca="1">IFERROR(__xludf.DUMMYFUNCTION("""COMPUTED_VALUE"""),"MM0260000249")</f>
        <v>MM0260000249</v>
      </c>
      <c r="D1146" s="1" t="str">
        <f ca="1">IFERROR(__xludf.DUMMYFUNCTION("""COMPUTED_VALUE"""),"All/RL")</f>
        <v>All/RL</v>
      </c>
      <c r="E1146" s="1" t="str">
        <f ca="1">IFERROR(__xludf.DUMMYFUNCTION("""COMPUTED_VALUE"""),"p2/庫存")</f>
        <v>p2/庫存</v>
      </c>
      <c r="F1146" s="1">
        <f ca="1">IFERROR(__xludf.DUMMYFUNCTION("""COMPUTED_VALUE"""),1)</f>
        <v>1</v>
      </c>
      <c r="G1146" s="1"/>
      <c r="H1146" s="1" t="str">
        <f ca="1">IFERROR(__xludf.DUMMYFUNCTION("""COMPUTED_VALUE"""),"P2_1004")</f>
        <v>P2_1004</v>
      </c>
      <c r="I1146" s="1" t="str">
        <f ca="1">IFERROR(__xludf.DUMMYFUNCTION("""COMPUTED_VALUE"""),"Chiao Yu")</f>
        <v>Chiao Yu</v>
      </c>
    </row>
    <row r="1147" spans="1:9" ht="12.7" x14ac:dyDescent="0.4">
      <c r="A1147" s="2">
        <f ca="1">IFERROR(__xludf.DUMMYFUNCTION("""COMPUTED_VALUE"""),45789.628120868)</f>
        <v>45789.628120868001</v>
      </c>
      <c r="B1147" s="1" t="str">
        <f ca="1">IFERROR(__xludf.DUMMYFUNCTION("""COMPUTED_VALUE"""),"返修")</f>
        <v>返修</v>
      </c>
      <c r="C1147" s="1" t="str">
        <f ca="1">IFERROR(__xludf.DUMMYFUNCTION("""COMPUTED_VALUE"""),"ME0020000525")</f>
        <v>ME0020000525</v>
      </c>
      <c r="D1147" s="1" t="str">
        <f ca="1">IFERROR(__xludf.DUMMYFUNCTION("""COMPUTED_VALUE"""),"All/共用")</f>
        <v>All/共用</v>
      </c>
      <c r="E1147" s="1" t="str">
        <f ca="1">IFERROR(__xludf.DUMMYFUNCTION("""COMPUTED_VALUE"""),"p2/庫存")</f>
        <v>p2/庫存</v>
      </c>
      <c r="F1147" s="1">
        <f ca="1">IFERROR(__xludf.DUMMYFUNCTION("""COMPUTED_VALUE"""),1)</f>
        <v>1</v>
      </c>
      <c r="G1147" s="1" t="str">
        <f ca="1">IFERROR(__xludf.DUMMYFUNCTION("""COMPUTED_VALUE"""),"2413E8A2254A")</f>
        <v>2413E8A2254A</v>
      </c>
      <c r="H1147" s="1" t="str">
        <f ca="1">IFERROR(__xludf.DUMMYFUNCTION("""COMPUTED_VALUE"""),"P2")</f>
        <v>P2</v>
      </c>
      <c r="I1147" s="1" t="str">
        <f ca="1">IFERROR(__xludf.DUMMYFUNCTION("""COMPUTED_VALUE"""),"Simon")</f>
        <v>Simon</v>
      </c>
    </row>
    <row r="1148" spans="1:9" ht="12.7" x14ac:dyDescent="0.4">
      <c r="A1148" s="2">
        <f ca="1">IFERROR(__xludf.DUMMYFUNCTION("""COMPUTED_VALUE"""),45790.2325939583)</f>
        <v>45790.232593958302</v>
      </c>
      <c r="B1148" s="1" t="str">
        <f ca="1">IFERROR(__xludf.DUMMYFUNCTION("""COMPUTED_VALUE"""),"領料")</f>
        <v>領料</v>
      </c>
      <c r="C1148" s="1" t="str">
        <f ca="1">IFERROR(__xludf.DUMMYFUNCTION("""COMPUTED_VALUE"""),"A00700000482")</f>
        <v>A00700000482</v>
      </c>
      <c r="D1148" s="1" t="str">
        <f ca="1">IFERROR(__xludf.DUMMYFUNCTION("""COMPUTED_VALUE"""),"All/SB")</f>
        <v>All/SB</v>
      </c>
      <c r="E1148" s="1" t="str">
        <f ca="1">IFERROR(__xludf.DUMMYFUNCTION("""COMPUTED_VALUE"""),"p2/庫存")</f>
        <v>p2/庫存</v>
      </c>
      <c r="F1148" s="1">
        <f ca="1">IFERROR(__xludf.DUMMYFUNCTION("""COMPUTED_VALUE"""),1)</f>
        <v>1</v>
      </c>
      <c r="G1148" s="1"/>
      <c r="H1148" s="1" t="str">
        <f ca="1">IFERROR(__xludf.DUMMYFUNCTION("""COMPUTED_VALUE"""),"P2_7001")</f>
        <v>P2_7001</v>
      </c>
      <c r="I1148" s="1" t="str">
        <f ca="1">IFERROR(__xludf.DUMMYFUNCTION("""COMPUTED_VALUE"""),"Nick")</f>
        <v>Nick</v>
      </c>
    </row>
    <row r="1149" spans="1:9" ht="12.7" x14ac:dyDescent="0.4">
      <c r="A1149" s="2">
        <f ca="1">IFERROR(__xludf.DUMMYFUNCTION("""COMPUTED_VALUE"""),45790.2337340277)</f>
        <v>45790.233734027701</v>
      </c>
      <c r="B1149" s="1" t="str">
        <f ca="1">IFERROR(__xludf.DUMMYFUNCTION("""COMPUTED_VALUE"""),"領料")</f>
        <v>領料</v>
      </c>
      <c r="C1149" s="1" t="str">
        <f ca="1">IFERROR(__xludf.DUMMYFUNCTION("""COMPUTED_VALUE"""),"A00700000862")</f>
        <v>A00700000862</v>
      </c>
      <c r="D1149" s="1" t="str">
        <f ca="1">IFERROR(__xludf.DUMMYFUNCTION("""COMPUTED_VALUE"""),"All/SB")</f>
        <v>All/SB</v>
      </c>
      <c r="E1149" s="1" t="str">
        <f ca="1">IFERROR(__xludf.DUMMYFUNCTION("""COMPUTED_VALUE"""),"p2/庫存")</f>
        <v>p2/庫存</v>
      </c>
      <c r="F1149" s="1">
        <f ca="1">IFERROR(__xludf.DUMMYFUNCTION("""COMPUTED_VALUE"""),2)</f>
        <v>2</v>
      </c>
      <c r="G1149" s="1"/>
      <c r="H1149" s="1" t="str">
        <f ca="1">IFERROR(__xludf.DUMMYFUNCTION("""COMPUTED_VALUE"""),"P2_7002，P2_7003")</f>
        <v>P2_7002，P2_7003</v>
      </c>
      <c r="I1149" s="1" t="str">
        <f ca="1">IFERROR(__xludf.DUMMYFUNCTION("""COMPUTED_VALUE"""),"Nick")</f>
        <v>Nick</v>
      </c>
    </row>
    <row r="1150" spans="1:9" ht="12.7" x14ac:dyDescent="0.4">
      <c r="A1150" s="2">
        <f ca="1">IFERROR(__xludf.DUMMYFUNCTION("""COMPUTED_VALUE"""),45791.6336722685)</f>
        <v>45791.633672268501</v>
      </c>
      <c r="B1150" s="1" t="str">
        <f ca="1">IFERROR(__xludf.DUMMYFUNCTION("""COMPUTED_VALUE"""),"進貨")</f>
        <v>進貨</v>
      </c>
      <c r="C1150" s="1" t="str">
        <f ca="1">IFERROR(__xludf.DUMMYFUNCTION("""COMPUTED_VALUE"""),"ME0020000582")</f>
        <v>ME0020000582</v>
      </c>
      <c r="D1150" s="1" t="str">
        <f ca="1">IFERROR(__xludf.DUMMYFUNCTION("""COMPUTED_VALUE"""),"All/共用")</f>
        <v>All/共用</v>
      </c>
      <c r="E1150" s="1" t="str">
        <f ca="1">IFERROR(__xludf.DUMMYFUNCTION("""COMPUTED_VALUE"""),"p1/庫存")</f>
        <v>p1/庫存</v>
      </c>
      <c r="F1150" s="1">
        <f ca="1">IFERROR(__xludf.DUMMYFUNCTION("""COMPUTED_VALUE"""),1)</f>
        <v>1</v>
      </c>
      <c r="G1150" s="1"/>
      <c r="H1150" s="1" t="str">
        <f ca="1">IFERROR(__xludf.DUMMYFUNCTION("""COMPUTED_VALUE"""),"P1")</f>
        <v>P1</v>
      </c>
      <c r="I1150" s="1" t="str">
        <f ca="1">IFERROR(__xludf.DUMMYFUNCTION("""COMPUTED_VALUE"""),"Simon")</f>
        <v>Simon</v>
      </c>
    </row>
    <row r="1151" spans="1:9" ht="12.7" x14ac:dyDescent="0.4">
      <c r="A1151" s="2">
        <f ca="1">IFERROR(__xludf.DUMMYFUNCTION("""COMPUTED_VALUE"""),45791.634216331)</f>
        <v>45791.634216330996</v>
      </c>
      <c r="B1151" s="1" t="str">
        <f ca="1">IFERROR(__xludf.DUMMYFUNCTION("""COMPUTED_VALUE"""),"進貨")</f>
        <v>進貨</v>
      </c>
      <c r="C1151" s="1" t="str">
        <f ca="1">IFERROR(__xludf.DUMMYFUNCTION("""COMPUTED_VALUE"""),"ME0020000582")</f>
        <v>ME0020000582</v>
      </c>
      <c r="D1151" s="1" t="str">
        <f ca="1">IFERROR(__xludf.DUMMYFUNCTION("""COMPUTED_VALUE"""),"All/共用")</f>
        <v>All/共用</v>
      </c>
      <c r="E1151" s="1" t="str">
        <f ca="1">IFERROR(__xludf.DUMMYFUNCTION("""COMPUTED_VALUE"""),"p2/庫存")</f>
        <v>p2/庫存</v>
      </c>
      <c r="F1151" s="1">
        <f ca="1">IFERROR(__xludf.DUMMYFUNCTION("""COMPUTED_VALUE"""),1)</f>
        <v>1</v>
      </c>
      <c r="G1151" s="1"/>
      <c r="H1151" s="1" t="str">
        <f ca="1">IFERROR(__xludf.DUMMYFUNCTION("""COMPUTED_VALUE"""),"P2")</f>
        <v>P2</v>
      </c>
      <c r="I1151" s="1" t="str">
        <f ca="1">IFERROR(__xludf.DUMMYFUNCTION("""COMPUTED_VALUE"""),"Simon")</f>
        <v>Simon</v>
      </c>
    </row>
    <row r="1152" spans="1:9" ht="12.7" x14ac:dyDescent="0.4">
      <c r="A1152" s="2">
        <f ca="1">IFERROR(__xludf.DUMMYFUNCTION("""COMPUTED_VALUE"""),45792.6697244213)</f>
        <v>45792.669724421299</v>
      </c>
      <c r="B1152" s="1" t="str">
        <f ca="1">IFERROR(__xludf.DUMMYFUNCTION("""COMPUTED_VALUE"""),"進貨")</f>
        <v>進貨</v>
      </c>
      <c r="C1152" s="1" t="str">
        <f ca="1">IFERROR(__xludf.DUMMYFUNCTION("""COMPUTED_VALUE"""),"MM0260000077")</f>
        <v>MM0260000077</v>
      </c>
      <c r="D1152" s="1" t="str">
        <f ca="1">IFERROR(__xludf.DUMMYFUNCTION("""COMPUTED_VALUE"""),"All/BA")</f>
        <v>All/BA</v>
      </c>
      <c r="E1152" s="1" t="str">
        <f ca="1">IFERROR(__xludf.DUMMYFUNCTION("""COMPUTED_VALUE"""),"p2/庫存")</f>
        <v>p2/庫存</v>
      </c>
      <c r="F1152" s="1">
        <f ca="1">IFERROR(__xludf.DUMMYFUNCTION("""COMPUTED_VALUE"""),56)</f>
        <v>56</v>
      </c>
      <c r="G1152" s="1"/>
      <c r="H1152" s="1" t="str">
        <f ca="1">IFERROR(__xludf.DUMMYFUNCTION("""COMPUTED_VALUE"""),"P2")</f>
        <v>P2</v>
      </c>
      <c r="I1152" s="1" t="str">
        <f ca="1">IFERROR(__xludf.DUMMYFUNCTION("""COMPUTED_VALUE"""),"Chiao Yu")</f>
        <v>Chiao Yu</v>
      </c>
    </row>
    <row r="1153" spans="1:9" ht="12.7" x14ac:dyDescent="0.4">
      <c r="A1153" s="2">
        <f ca="1">IFERROR(__xludf.DUMMYFUNCTION("""COMPUTED_VALUE"""),45792.6711836342)</f>
        <v>45792.6711836342</v>
      </c>
      <c r="B1153" s="1" t="str">
        <f ca="1">IFERROR(__xludf.DUMMYFUNCTION("""COMPUTED_VALUE"""),"進貨")</f>
        <v>進貨</v>
      </c>
      <c r="C1153" s="1" t="str">
        <f ca="1">IFERROR(__xludf.DUMMYFUNCTION("""COMPUTED_VALUE"""),"MM0260000266")</f>
        <v>MM0260000266</v>
      </c>
      <c r="D1153" s="1" t="str">
        <f ca="1">IFERROR(__xludf.DUMMYFUNCTION("""COMPUTED_VALUE"""),"All/BA")</f>
        <v>All/BA</v>
      </c>
      <c r="E1153" s="1" t="str">
        <f ca="1">IFERROR(__xludf.DUMMYFUNCTION("""COMPUTED_VALUE"""),"p2/庫存")</f>
        <v>p2/庫存</v>
      </c>
      <c r="F1153" s="1">
        <f ca="1">IFERROR(__xludf.DUMMYFUNCTION("""COMPUTED_VALUE"""),7)</f>
        <v>7</v>
      </c>
      <c r="G1153" s="1"/>
      <c r="H1153" s="1" t="str">
        <f ca="1">IFERROR(__xludf.DUMMYFUNCTION("""COMPUTED_VALUE"""),"P2")</f>
        <v>P2</v>
      </c>
      <c r="I1153" s="1" t="str">
        <f ca="1">IFERROR(__xludf.DUMMYFUNCTION("""COMPUTED_VALUE"""),"Chiao Yu")</f>
        <v>Chiao Yu</v>
      </c>
    </row>
    <row r="1154" spans="1:9" ht="12.7" x14ac:dyDescent="0.4">
      <c r="A1154" s="2">
        <f ca="1">IFERROR(__xludf.DUMMYFUNCTION("""COMPUTED_VALUE"""),45792.6718217129)</f>
        <v>45792.671821712902</v>
      </c>
      <c r="B1154" s="1" t="str">
        <f ca="1">IFERROR(__xludf.DUMMYFUNCTION("""COMPUTED_VALUE"""),"庫存調整")</f>
        <v>庫存調整</v>
      </c>
      <c r="C1154" s="1" t="str">
        <f ca="1">IFERROR(__xludf.DUMMYFUNCTION("""COMPUTED_VALUE"""),"MM0260000266")</f>
        <v>MM0260000266</v>
      </c>
      <c r="D1154" s="1" t="str">
        <f ca="1">IFERROR(__xludf.DUMMYFUNCTION("""COMPUTED_VALUE"""),"All/BA")</f>
        <v>All/BA</v>
      </c>
      <c r="E1154" s="1" t="str">
        <f ca="1">IFERROR(__xludf.DUMMYFUNCTION("""COMPUTED_VALUE"""),"p2/庫存")</f>
        <v>p2/庫存</v>
      </c>
      <c r="F1154" s="1">
        <f ca="1">IFERROR(__xludf.DUMMYFUNCTION("""COMPUTED_VALUE"""),-1)</f>
        <v>-1</v>
      </c>
      <c r="G1154" s="1"/>
      <c r="H1154" s="1" t="str">
        <f ca="1">IFERROR(__xludf.DUMMYFUNCTION("""COMPUTED_VALUE"""),"P2")</f>
        <v>P2</v>
      </c>
      <c r="I1154" s="1" t="str">
        <f ca="1">IFERROR(__xludf.DUMMYFUNCTION("""COMPUTED_VALUE"""),"Chiao Yu")</f>
        <v>Chiao Yu</v>
      </c>
    </row>
    <row r="1155" spans="1:9" ht="12.7" x14ac:dyDescent="0.4">
      <c r="A1155" s="2">
        <f ca="1">IFERROR(__xludf.DUMMYFUNCTION("""COMPUTED_VALUE"""),45796.7941296875)</f>
        <v>45796.7941296875</v>
      </c>
      <c r="B1155" s="1" t="str">
        <f ca="1">IFERROR(__xludf.DUMMYFUNCTION("""COMPUTED_VALUE"""),"庫存調整")</f>
        <v>庫存調整</v>
      </c>
      <c r="C1155" s="1" t="str">
        <f ca="1">IFERROR(__xludf.DUMMYFUNCTION("""COMPUTED_VALUE"""),"ME0270001323")</f>
        <v>ME0270001323</v>
      </c>
      <c r="D1155" s="1" t="str">
        <f ca="1">IFERROR(__xludf.DUMMYFUNCTION("""COMPUTED_VALUE"""),"All/COLOR")</f>
        <v>All/COLOR</v>
      </c>
      <c r="E1155" s="1" t="str">
        <f ca="1">IFERROR(__xludf.DUMMYFUNCTION("""COMPUTED_VALUE"""),"p2/庫存")</f>
        <v>p2/庫存</v>
      </c>
      <c r="F1155" s="1">
        <f ca="1">IFERROR(__xludf.DUMMYFUNCTION("""COMPUTED_VALUE"""),-2)</f>
        <v>-2</v>
      </c>
      <c r="G1155" s="1"/>
      <c r="H1155" s="1" t="str">
        <f ca="1">IFERROR(__xludf.DUMMYFUNCTION("""COMPUTED_VALUE"""),"P2")</f>
        <v>P2</v>
      </c>
      <c r="I1155" s="1" t="str">
        <f ca="1">IFERROR(__xludf.DUMMYFUNCTION("""COMPUTED_VALUE"""),"Chiao Yu")</f>
        <v>Chiao Yu</v>
      </c>
    </row>
    <row r="1156" spans="1:9" ht="12.7" x14ac:dyDescent="0.4">
      <c r="A1156" s="2">
        <f ca="1">IFERROR(__xludf.DUMMYFUNCTION("""COMPUTED_VALUE"""),45796.7944837615)</f>
        <v>45796.7944837615</v>
      </c>
      <c r="B1156" s="1" t="str">
        <f ca="1">IFERROR(__xludf.DUMMYFUNCTION("""COMPUTED_VALUE"""),"庫存調整")</f>
        <v>庫存調整</v>
      </c>
      <c r="C1156" s="1" t="str">
        <f ca="1">IFERROR(__xludf.DUMMYFUNCTION("""COMPUTED_VALUE"""),"ME0270001324")</f>
        <v>ME0270001324</v>
      </c>
      <c r="D1156" s="1" t="str">
        <f ca="1">IFERROR(__xludf.DUMMYFUNCTION("""COMPUTED_VALUE"""),"All/COLOR")</f>
        <v>All/COLOR</v>
      </c>
      <c r="E1156" s="1" t="str">
        <f ca="1">IFERROR(__xludf.DUMMYFUNCTION("""COMPUTED_VALUE"""),"p2/庫存")</f>
        <v>p2/庫存</v>
      </c>
      <c r="F1156" s="1">
        <f ca="1">IFERROR(__xludf.DUMMYFUNCTION("""COMPUTED_VALUE"""),-2)</f>
        <v>-2</v>
      </c>
      <c r="G1156" s="1"/>
      <c r="H1156" s="1" t="str">
        <f ca="1">IFERROR(__xludf.DUMMYFUNCTION("""COMPUTED_VALUE"""),"P2")</f>
        <v>P2</v>
      </c>
      <c r="I1156" s="1" t="str">
        <f ca="1">IFERROR(__xludf.DUMMYFUNCTION("""COMPUTED_VALUE"""),"Chiao Yu")</f>
        <v>Chiao Yu</v>
      </c>
    </row>
    <row r="1157" spans="1:9" ht="12.7" x14ac:dyDescent="0.4">
      <c r="A1157" s="2">
        <f ca="1">IFERROR(__xludf.DUMMYFUNCTION("""COMPUTED_VALUE"""),45796.7948867476)</f>
        <v>45796.794886747601</v>
      </c>
      <c r="B1157" s="1" t="str">
        <f ca="1">IFERROR(__xludf.DUMMYFUNCTION("""COMPUTED_VALUE"""),"庫存調整")</f>
        <v>庫存調整</v>
      </c>
      <c r="C1157" s="1" t="str">
        <f ca="1">IFERROR(__xludf.DUMMYFUNCTION("""COMPUTED_VALUE"""),"ME0270001338")</f>
        <v>ME0270001338</v>
      </c>
      <c r="D1157" s="1" t="str">
        <f ca="1">IFERROR(__xludf.DUMMYFUNCTION("""COMPUTED_VALUE"""),"All/COLOR")</f>
        <v>All/COLOR</v>
      </c>
      <c r="E1157" s="1" t="str">
        <f ca="1">IFERROR(__xludf.DUMMYFUNCTION("""COMPUTED_VALUE"""),"p2/庫存")</f>
        <v>p2/庫存</v>
      </c>
      <c r="F1157" s="1">
        <f ca="1">IFERROR(__xludf.DUMMYFUNCTION("""COMPUTED_VALUE"""),1)</f>
        <v>1</v>
      </c>
      <c r="G1157" s="1"/>
      <c r="H1157" s="1" t="str">
        <f ca="1">IFERROR(__xludf.DUMMYFUNCTION("""COMPUTED_VALUE"""),"P2")</f>
        <v>P2</v>
      </c>
      <c r="I1157" s="1" t="str">
        <f ca="1">IFERROR(__xludf.DUMMYFUNCTION("""COMPUTED_VALUE"""),"Chiao Yu")</f>
        <v>Chiao Yu</v>
      </c>
    </row>
    <row r="1158" spans="1:9" ht="12.7" x14ac:dyDescent="0.4">
      <c r="A1158" s="2">
        <f ca="1">IFERROR(__xludf.DUMMYFUNCTION("""COMPUTED_VALUE"""),45796.7951925694)</f>
        <v>45796.7951925694</v>
      </c>
      <c r="B1158" s="1" t="str">
        <f ca="1">IFERROR(__xludf.DUMMYFUNCTION("""COMPUTED_VALUE"""),"庫存調整")</f>
        <v>庫存調整</v>
      </c>
      <c r="C1158" s="1" t="str">
        <f ca="1">IFERROR(__xludf.DUMMYFUNCTION("""COMPUTED_VALUE"""),"ME0270001339")</f>
        <v>ME0270001339</v>
      </c>
      <c r="D1158" s="1" t="str">
        <f ca="1">IFERROR(__xludf.DUMMYFUNCTION("""COMPUTED_VALUE"""),"All/COLOR")</f>
        <v>All/COLOR</v>
      </c>
      <c r="E1158" s="1" t="str">
        <f ca="1">IFERROR(__xludf.DUMMYFUNCTION("""COMPUTED_VALUE"""),"p2/庫存")</f>
        <v>p2/庫存</v>
      </c>
      <c r="F1158" s="1">
        <f ca="1">IFERROR(__xludf.DUMMYFUNCTION("""COMPUTED_VALUE"""),1)</f>
        <v>1</v>
      </c>
      <c r="G1158" s="1"/>
      <c r="H1158" s="1" t="str">
        <f ca="1">IFERROR(__xludf.DUMMYFUNCTION("""COMPUTED_VALUE"""),"P2")</f>
        <v>P2</v>
      </c>
      <c r="I1158" s="1" t="str">
        <f ca="1">IFERROR(__xludf.DUMMYFUNCTION("""COMPUTED_VALUE"""),"Chiao Yu")</f>
        <v>Chiao Yu</v>
      </c>
    </row>
    <row r="1159" spans="1:9" ht="12.7" x14ac:dyDescent="0.4">
      <c r="A1159" s="2">
        <f ca="1">IFERROR(__xludf.DUMMYFUNCTION("""COMPUTED_VALUE"""),45796.7954118402)</f>
        <v>45796.795411840198</v>
      </c>
      <c r="B1159" s="1" t="str">
        <f ca="1">IFERROR(__xludf.DUMMYFUNCTION("""COMPUTED_VALUE"""),"庫存調整")</f>
        <v>庫存調整</v>
      </c>
      <c r="C1159" s="1" t="str">
        <f ca="1">IFERROR(__xludf.DUMMYFUNCTION("""COMPUTED_VALUE"""),"ME0270001340")</f>
        <v>ME0270001340</v>
      </c>
      <c r="D1159" s="1" t="str">
        <f ca="1">IFERROR(__xludf.DUMMYFUNCTION("""COMPUTED_VALUE"""),"All/COLOR")</f>
        <v>All/COLOR</v>
      </c>
      <c r="E1159" s="1" t="str">
        <f ca="1">IFERROR(__xludf.DUMMYFUNCTION("""COMPUTED_VALUE"""),"p2/庫存")</f>
        <v>p2/庫存</v>
      </c>
      <c r="F1159" s="1">
        <f ca="1">IFERROR(__xludf.DUMMYFUNCTION("""COMPUTED_VALUE"""),1)</f>
        <v>1</v>
      </c>
      <c r="G1159" s="1"/>
      <c r="H1159" s="1" t="str">
        <f ca="1">IFERROR(__xludf.DUMMYFUNCTION("""COMPUTED_VALUE"""),"P2")</f>
        <v>P2</v>
      </c>
      <c r="I1159" s="1" t="str">
        <f ca="1">IFERROR(__xludf.DUMMYFUNCTION("""COMPUTED_VALUE"""),"Chiao Yu")</f>
        <v>Chiao Yu</v>
      </c>
    </row>
    <row r="1160" spans="1:9" ht="12.7" x14ac:dyDescent="0.4">
      <c r="A1160" s="2">
        <f ca="1">IFERROR(__xludf.DUMMYFUNCTION("""COMPUTED_VALUE"""),45796.7957377893)</f>
        <v>45796.795737789304</v>
      </c>
      <c r="B1160" s="1" t="str">
        <f ca="1">IFERROR(__xludf.DUMMYFUNCTION("""COMPUTED_VALUE"""),"庫存調整")</f>
        <v>庫存調整</v>
      </c>
      <c r="C1160" s="1" t="str">
        <f ca="1">IFERROR(__xludf.DUMMYFUNCTION("""COMPUTED_VALUE"""),"ME0270001341")</f>
        <v>ME0270001341</v>
      </c>
      <c r="D1160" s="1" t="str">
        <f ca="1">IFERROR(__xludf.DUMMYFUNCTION("""COMPUTED_VALUE"""),"All/COLOR")</f>
        <v>All/COLOR</v>
      </c>
      <c r="E1160" s="1" t="str">
        <f ca="1">IFERROR(__xludf.DUMMYFUNCTION("""COMPUTED_VALUE"""),"p2/庫存")</f>
        <v>p2/庫存</v>
      </c>
      <c r="F1160" s="1">
        <f ca="1">IFERROR(__xludf.DUMMYFUNCTION("""COMPUTED_VALUE"""),1)</f>
        <v>1</v>
      </c>
      <c r="G1160" s="1"/>
      <c r="H1160" s="1" t="str">
        <f ca="1">IFERROR(__xludf.DUMMYFUNCTION("""COMPUTED_VALUE"""),"P2")</f>
        <v>P2</v>
      </c>
      <c r="I1160" s="1" t="str">
        <f ca="1">IFERROR(__xludf.DUMMYFUNCTION("""COMPUTED_VALUE"""),"Chiao Yu")</f>
        <v>Chiao Yu</v>
      </c>
    </row>
    <row r="1161" spans="1:9" ht="12.7" x14ac:dyDescent="0.4">
      <c r="A1161" s="2">
        <f ca="1">IFERROR(__xludf.DUMMYFUNCTION("""COMPUTED_VALUE"""),45798.5324613657)</f>
        <v>45798.532461365699</v>
      </c>
      <c r="B1161" s="1" t="str">
        <f ca="1">IFERROR(__xludf.DUMMYFUNCTION("""COMPUTED_VALUE"""),"送修")</f>
        <v>送修</v>
      </c>
      <c r="C1161" s="1" t="str">
        <f ca="1">IFERROR(__xludf.DUMMYFUNCTION("""COMPUTED_VALUE"""),"A00900000618")</f>
        <v>A00900000618</v>
      </c>
      <c r="D1161" s="1" t="str">
        <f ca="1">IFERROR(__xludf.DUMMYFUNCTION("""COMPUTED_VALUE"""),"All/共用")</f>
        <v>All/共用</v>
      </c>
      <c r="E1161" s="1" t="str">
        <f ca="1">IFERROR(__xludf.DUMMYFUNCTION("""COMPUTED_VALUE"""),"p1/庫存")</f>
        <v>p1/庫存</v>
      </c>
      <c r="F1161" s="1">
        <f ca="1">IFERROR(__xludf.DUMMYFUNCTION("""COMPUTED_VALUE"""),1)</f>
        <v>1</v>
      </c>
      <c r="G1161" s="1" t="str">
        <f ca="1">IFERROR(__xludf.DUMMYFUNCTION("""COMPUTED_VALUE"""),"CST350W2206000265")</f>
        <v>CST350W2206000265</v>
      </c>
      <c r="H1161" s="1" t="str">
        <f ca="1">IFERROR(__xludf.DUMMYFUNCTION("""COMPUTED_VALUE"""),"P1_021")</f>
        <v>P1_021</v>
      </c>
      <c r="I1161" s="1" t="str">
        <f ca="1">IFERROR(__xludf.DUMMYFUNCTION("""COMPUTED_VALUE"""),"Simon")</f>
        <v>Simon</v>
      </c>
    </row>
    <row r="1162" spans="1:9" ht="12.7" x14ac:dyDescent="0.4">
      <c r="A1162" s="2">
        <f ca="1">IFERROR(__xludf.DUMMYFUNCTION("""COMPUTED_VALUE"""),45798.533416956)</f>
        <v>45798.533416956001</v>
      </c>
      <c r="B1162" s="1" t="str">
        <f ca="1">IFERROR(__xludf.DUMMYFUNCTION("""COMPUTED_VALUE"""),"料件上線時間")</f>
        <v>料件上線時間</v>
      </c>
      <c r="C1162" s="1" t="str">
        <f ca="1">IFERROR(__xludf.DUMMYFUNCTION("""COMPUTED_VALUE"""),"A00900000618")</f>
        <v>A00900000618</v>
      </c>
      <c r="D1162" s="1" t="str">
        <f ca="1">IFERROR(__xludf.DUMMYFUNCTION("""COMPUTED_VALUE"""),"All/共用")</f>
        <v>All/共用</v>
      </c>
      <c r="E1162" s="1" t="str">
        <f ca="1">IFERROR(__xludf.DUMMYFUNCTION("""COMPUTED_VALUE"""),"p1/庫存")</f>
        <v>p1/庫存</v>
      </c>
      <c r="F1162" s="1">
        <f ca="1">IFERROR(__xludf.DUMMYFUNCTION("""COMPUTED_VALUE"""),1)</f>
        <v>1</v>
      </c>
      <c r="G1162" s="1" t="str">
        <f ca="1">IFERROR(__xludf.DUMMYFUNCTION("""COMPUTED_VALUE"""),"CST350W2212000081")</f>
        <v>CST350W2212000081</v>
      </c>
      <c r="H1162" s="1" t="str">
        <f ca="1">IFERROR(__xludf.DUMMYFUNCTION("""COMPUTED_VALUE"""),"P1_021")</f>
        <v>P1_021</v>
      </c>
      <c r="I1162" s="1" t="str">
        <f ca="1">IFERROR(__xludf.DUMMYFUNCTION("""COMPUTED_VALUE"""),"Simon")</f>
        <v>Simon</v>
      </c>
    </row>
    <row r="1163" spans="1:9" ht="12.7" x14ac:dyDescent="0.4">
      <c r="A1163" s="2">
        <f ca="1">IFERROR(__xludf.DUMMYFUNCTION("""COMPUTED_VALUE"""),45799.2561006481)</f>
        <v>45799.256100648097</v>
      </c>
      <c r="B1163" s="1" t="str">
        <f ca="1">IFERROR(__xludf.DUMMYFUNCTION("""COMPUTED_VALUE"""),"領料")</f>
        <v>領料</v>
      </c>
      <c r="C1163" s="1" t="str">
        <f ca="1">IFERROR(__xludf.DUMMYFUNCTION("""COMPUTED_VALUE"""),"AGT000000005")</f>
        <v>AGT000000005</v>
      </c>
      <c r="D1163" s="1" t="str">
        <f ca="1">IFERROR(__xludf.DUMMYFUNCTION("""COMPUTED_VALUE"""),"All/共用")</f>
        <v>All/共用</v>
      </c>
      <c r="E1163" s="1" t="str">
        <f ca="1">IFERROR(__xludf.DUMMYFUNCTION("""COMPUTED_VALUE"""),"p1/庫存")</f>
        <v>p1/庫存</v>
      </c>
      <c r="F1163" s="1">
        <f ca="1">IFERROR(__xludf.DUMMYFUNCTION("""COMPUTED_VALUE"""),1)</f>
        <v>1</v>
      </c>
      <c r="G1163" s="1"/>
      <c r="H1163" s="1" t="str">
        <f ca="1">IFERROR(__xludf.DUMMYFUNCTION("""COMPUTED_VALUE"""),"P1_016")</f>
        <v>P1_016</v>
      </c>
      <c r="I1163" s="1" t="str">
        <f ca="1">IFERROR(__xludf.DUMMYFUNCTION("""COMPUTED_VALUE"""),"Jason")</f>
        <v>Jason</v>
      </c>
    </row>
    <row r="1164" spans="1:9" ht="12.7" x14ac:dyDescent="0.4">
      <c r="A1164" s="2">
        <f ca="1">IFERROR(__xludf.DUMMYFUNCTION("""COMPUTED_VALUE"""),45799.2578631134)</f>
        <v>45799.257863113402</v>
      </c>
      <c r="B1164" s="1" t="str">
        <f ca="1">IFERROR(__xludf.DUMMYFUNCTION("""COMPUTED_VALUE"""),"領料")</f>
        <v>領料</v>
      </c>
      <c r="C1164" s="1" t="str">
        <f ca="1">IFERROR(__xludf.DUMMYFUNCTION("""COMPUTED_VALUE"""),"A00700000837")</f>
        <v>A00700000837</v>
      </c>
      <c r="D1164" s="1" t="str">
        <f ca="1">IFERROR(__xludf.DUMMYFUNCTION("""COMPUTED_VALUE"""),"All/COLOR")</f>
        <v>All/COLOR</v>
      </c>
      <c r="E1164" s="1" t="str">
        <f ca="1">IFERROR(__xludf.DUMMYFUNCTION("""COMPUTED_VALUE"""),"p2/庫存")</f>
        <v>p2/庫存</v>
      </c>
      <c r="F1164" s="1">
        <f ca="1">IFERROR(__xludf.DUMMYFUNCTION("""COMPUTED_VALUE"""),6)</f>
        <v>6</v>
      </c>
      <c r="G1164" s="1"/>
      <c r="H1164" s="1" t="str">
        <f ca="1">IFERROR(__xludf.DUMMYFUNCTION("""COMPUTED_VALUE"""),"P2_3002，P2_3003")</f>
        <v>P2_3002，P2_3003</v>
      </c>
      <c r="I1164" s="1" t="str">
        <f ca="1">IFERROR(__xludf.DUMMYFUNCTION("""COMPUTED_VALUE"""),"Jason")</f>
        <v>Jason</v>
      </c>
    </row>
    <row r="1165" spans="1:9" ht="12.7" x14ac:dyDescent="0.4">
      <c r="A1165" s="2">
        <f ca="1">IFERROR(__xludf.DUMMYFUNCTION("""COMPUTED_VALUE"""),45799.4983911226)</f>
        <v>45799.498391122601</v>
      </c>
      <c r="B1165" s="1" t="str">
        <f ca="1">IFERROR(__xludf.DUMMYFUNCTION("""COMPUTED_VALUE"""),"送修")</f>
        <v>送修</v>
      </c>
      <c r="C1165" s="1" t="str">
        <f ca="1">IFERROR(__xludf.DUMMYFUNCTION("""COMPUTED_VALUE"""),"ME0070000140")</f>
        <v>ME0070000140</v>
      </c>
      <c r="D1165" s="1" t="str">
        <f ca="1">IFERROR(__xludf.DUMMYFUNCTION("""COMPUTED_VALUE"""),"All/BA")</f>
        <v>All/BA</v>
      </c>
      <c r="E1165" s="1" t="str">
        <f ca="1">IFERROR(__xludf.DUMMYFUNCTION("""COMPUTED_VALUE"""),"p2/庫存")</f>
        <v>p2/庫存</v>
      </c>
      <c r="F1165" s="1">
        <f ca="1">IFERROR(__xludf.DUMMYFUNCTION("""COMPUTED_VALUE"""),1)</f>
        <v>1</v>
      </c>
      <c r="G1165" s="1" t="str">
        <f ca="1">IFERROR(__xludf.DUMMYFUNCTION("""COMPUTED_VALUE"""),"100A-2522G0002-2303")</f>
        <v>100A-2522G0002-2303</v>
      </c>
      <c r="H1165" s="1" t="str">
        <f ca="1">IFERROR(__xludf.DUMMYFUNCTION("""COMPUTED_VALUE"""),"P2_053")</f>
        <v>P2_053</v>
      </c>
      <c r="I1165" s="1" t="str">
        <f ca="1">IFERROR(__xludf.DUMMYFUNCTION("""COMPUTED_VALUE"""),"Simon")</f>
        <v>Simon</v>
      </c>
    </row>
    <row r="1166" spans="1:9" ht="12.7" x14ac:dyDescent="0.4">
      <c r="A1166" s="2">
        <f ca="1">IFERROR(__xludf.DUMMYFUNCTION("""COMPUTED_VALUE"""),45799.4997833564)</f>
        <v>45799.499783356398</v>
      </c>
      <c r="B1166" s="1" t="str">
        <f ca="1">IFERROR(__xludf.DUMMYFUNCTION("""COMPUTED_VALUE"""),"料件上線時間")</f>
        <v>料件上線時間</v>
      </c>
      <c r="C1166" s="1" t="str">
        <f ca="1">IFERROR(__xludf.DUMMYFUNCTION("""COMPUTED_VALUE"""),"ME0070000140")</f>
        <v>ME0070000140</v>
      </c>
      <c r="D1166" s="1" t="str">
        <f ca="1">IFERROR(__xludf.DUMMYFUNCTION("""COMPUTED_VALUE"""),"All/BA")</f>
        <v>All/BA</v>
      </c>
      <c r="E1166" s="1" t="str">
        <f ca="1">IFERROR(__xludf.DUMMYFUNCTION("""COMPUTED_VALUE"""),"p2/庫存")</f>
        <v>p2/庫存</v>
      </c>
      <c r="F1166" s="1">
        <f ca="1">IFERROR(__xludf.DUMMYFUNCTION("""COMPUTED_VALUE"""),1)</f>
        <v>1</v>
      </c>
      <c r="G1166" s="1" t="str">
        <f ca="1">IFERROR(__xludf.DUMMYFUNCTION("""COMPUTED_VALUE"""),"100A-2523D0084-2307")</f>
        <v>100A-2523D0084-2307</v>
      </c>
      <c r="H1166" s="1" t="str">
        <f ca="1">IFERROR(__xludf.DUMMYFUNCTION("""COMPUTED_VALUE"""),"P2_053")</f>
        <v>P2_053</v>
      </c>
      <c r="I1166" s="1" t="str">
        <f ca="1">IFERROR(__xludf.DUMMYFUNCTION("""COMPUTED_VALUE"""),"Simon")</f>
        <v>Simon</v>
      </c>
    </row>
    <row r="1167" spans="1:9" ht="12.7" x14ac:dyDescent="0.4">
      <c r="A1167" s="2">
        <f ca="1">IFERROR(__xludf.DUMMYFUNCTION("""COMPUTED_VALUE"""),45799.6790010995)</f>
        <v>45799.679001099503</v>
      </c>
      <c r="B1167" s="1" t="str">
        <f ca="1">IFERROR(__xludf.DUMMYFUNCTION("""COMPUTED_VALUE"""),"送修")</f>
        <v>送修</v>
      </c>
      <c r="C1167" s="1" t="str">
        <f ca="1">IFERROR(__xludf.DUMMYFUNCTION("""COMPUTED_VALUE"""),"ME0020000562")</f>
        <v>ME0020000562</v>
      </c>
      <c r="D1167" s="1" t="str">
        <f ca="1">IFERROR(__xludf.DUMMYFUNCTION("""COMPUTED_VALUE"""),"All/共用")</f>
        <v>All/共用</v>
      </c>
      <c r="E1167" s="1" t="str">
        <f ca="1">IFERROR(__xludf.DUMMYFUNCTION("""COMPUTED_VALUE"""),"p1/庫存")</f>
        <v>p1/庫存</v>
      </c>
      <c r="F1167" s="1">
        <f ca="1">IFERROR(__xludf.DUMMYFUNCTION("""COMPUTED_VALUE"""),1)</f>
        <v>1</v>
      </c>
      <c r="G1167" s="1" t="str">
        <f ca="1">IFERROR(__xludf.DUMMYFUNCTION("""COMPUTED_VALUE"""),"637XF A01")</f>
        <v>637XF A01</v>
      </c>
      <c r="H1167" s="1" t="str">
        <f ca="1">IFERROR(__xludf.DUMMYFUNCTION("""COMPUTED_VALUE"""),"P1")</f>
        <v>P1</v>
      </c>
      <c r="I1167" s="1" t="str">
        <f ca="1">IFERROR(__xludf.DUMMYFUNCTION("""COMPUTED_VALUE"""),"Simon")</f>
        <v>Simon</v>
      </c>
    </row>
    <row r="1168" spans="1:9" ht="12.7" x14ac:dyDescent="0.4">
      <c r="A1168" s="2">
        <f ca="1">IFERROR(__xludf.DUMMYFUNCTION("""COMPUTED_VALUE"""),45800.2294122106)</f>
        <v>45800.229412210603</v>
      </c>
      <c r="B1168" s="1" t="str">
        <f ca="1">IFERROR(__xludf.DUMMYFUNCTION("""COMPUTED_VALUE"""),"領料")</f>
        <v>領料</v>
      </c>
      <c r="C1168" s="1" t="str">
        <f ca="1">IFERROR(__xludf.DUMMYFUNCTION("""COMPUTED_VALUE"""),"A00700000837")</f>
        <v>A00700000837</v>
      </c>
      <c r="D1168" s="1" t="str">
        <f ca="1">IFERROR(__xludf.DUMMYFUNCTION("""COMPUTED_VALUE"""),"All/COLOR")</f>
        <v>All/COLOR</v>
      </c>
      <c r="E1168" s="1" t="str">
        <f ca="1">IFERROR(__xludf.DUMMYFUNCTION("""COMPUTED_VALUE"""),"p1/庫存")</f>
        <v>p1/庫存</v>
      </c>
      <c r="F1168" s="1">
        <f ca="1">IFERROR(__xludf.DUMMYFUNCTION("""COMPUTED_VALUE"""),3)</f>
        <v>3</v>
      </c>
      <c r="G1168" s="1"/>
      <c r="H1168" s="1" t="str">
        <f ca="1">IFERROR(__xludf.DUMMYFUNCTION("""COMPUTED_VALUE"""),"P1_3001")</f>
        <v>P1_3001</v>
      </c>
      <c r="I1168" s="1" t="str">
        <f ca="1">IFERROR(__xludf.DUMMYFUNCTION("""COMPUTED_VALUE"""),"Jason")</f>
        <v>Jason</v>
      </c>
    </row>
    <row r="1169" spans="1:9" ht="12.7" x14ac:dyDescent="0.4">
      <c r="A1169" s="2">
        <f ca="1">IFERROR(__xludf.DUMMYFUNCTION("""COMPUTED_VALUE"""),45802.3618081365)</f>
        <v>45802.361808136498</v>
      </c>
      <c r="B1169" s="1" t="str">
        <f ca="1">IFERROR(__xludf.DUMMYFUNCTION("""COMPUTED_VALUE"""),"領料")</f>
        <v>領料</v>
      </c>
      <c r="C1169" s="1" t="str">
        <f ca="1">IFERROR(__xludf.DUMMYFUNCTION("""COMPUTED_VALUE"""),"AGT000000005")</f>
        <v>AGT000000005</v>
      </c>
      <c r="D1169" s="1" t="str">
        <f ca="1">IFERROR(__xludf.DUMMYFUNCTION("""COMPUTED_VALUE"""),"All/共用")</f>
        <v>All/共用</v>
      </c>
      <c r="E1169" s="1" t="str">
        <f ca="1">IFERROR(__xludf.DUMMYFUNCTION("""COMPUTED_VALUE"""),"p1/庫存")</f>
        <v>p1/庫存</v>
      </c>
      <c r="F1169" s="1">
        <f ca="1">IFERROR(__xludf.DUMMYFUNCTION("""COMPUTED_VALUE"""),1)</f>
        <v>1</v>
      </c>
      <c r="G1169" s="1"/>
      <c r="H1169" s="1" t="str">
        <f ca="1">IFERROR(__xludf.DUMMYFUNCTION("""COMPUTED_VALUE"""),"P1_001")</f>
        <v>P1_001</v>
      </c>
      <c r="I1169" s="1" t="str">
        <f ca="1">IFERROR(__xludf.DUMMYFUNCTION("""COMPUTED_VALUE"""),"Barry")</f>
        <v>Barry</v>
      </c>
    </row>
    <row r="1170" spans="1:9" ht="12.7" x14ac:dyDescent="0.4">
      <c r="A1170" s="2">
        <f ca="1">IFERROR(__xludf.DUMMYFUNCTION("""COMPUTED_VALUE"""),45802.3625420138)</f>
        <v>45802.362542013798</v>
      </c>
      <c r="B1170" s="1" t="str">
        <f ca="1">IFERROR(__xludf.DUMMYFUNCTION("""COMPUTED_VALUE"""),"領料")</f>
        <v>領料</v>
      </c>
      <c r="C1170" s="1" t="str">
        <f ca="1">IFERROR(__xludf.DUMMYFUNCTION("""COMPUTED_VALUE"""),"AGT000000005")</f>
        <v>AGT000000005</v>
      </c>
      <c r="D1170" s="1" t="str">
        <f ca="1">IFERROR(__xludf.DUMMYFUNCTION("""COMPUTED_VALUE"""),"All/共用")</f>
        <v>All/共用</v>
      </c>
      <c r="E1170" s="1" t="str">
        <f ca="1">IFERROR(__xludf.DUMMYFUNCTION("""COMPUTED_VALUE"""),"p2/庫存")</f>
        <v>p2/庫存</v>
      </c>
      <c r="F1170" s="1">
        <f ca="1">IFERROR(__xludf.DUMMYFUNCTION("""COMPUTED_VALUE"""),1)</f>
        <v>1</v>
      </c>
      <c r="G1170" s="1"/>
      <c r="H1170" s="1" t="str">
        <f ca="1">IFERROR(__xludf.DUMMYFUNCTION("""COMPUTED_VALUE"""),"P2_052")</f>
        <v>P2_052</v>
      </c>
      <c r="I1170" s="1" t="str">
        <f ca="1">IFERROR(__xludf.DUMMYFUNCTION("""COMPUTED_VALUE"""),"Barry")</f>
        <v>Barry</v>
      </c>
    </row>
    <row r="1171" spans="1:9" ht="12.7" x14ac:dyDescent="0.4">
      <c r="A1171" s="2">
        <f ca="1">IFERROR(__xludf.DUMMYFUNCTION("""COMPUTED_VALUE"""),45802.3636474768)</f>
        <v>45802.363647476799</v>
      </c>
      <c r="B1171" s="1" t="str">
        <f ca="1">IFERROR(__xludf.DUMMYFUNCTION("""COMPUTED_VALUE"""),"領料")</f>
        <v>領料</v>
      </c>
      <c r="C1171" s="1" t="str">
        <f ca="1">IFERROR(__xludf.DUMMYFUNCTION("""COMPUTED_VALUE"""),"ME0060000277")</f>
        <v>ME0060000277</v>
      </c>
      <c r="D1171" s="1" t="str">
        <f ca="1">IFERROR(__xludf.DUMMYFUNCTION("""COMPUTED_VALUE"""),"All/共用")</f>
        <v>All/共用</v>
      </c>
      <c r="E1171" s="1" t="str">
        <f ca="1">IFERROR(__xludf.DUMMYFUNCTION("""COMPUTED_VALUE"""),"p2/庫存")</f>
        <v>p2/庫存</v>
      </c>
      <c r="F1171" s="1">
        <f ca="1">IFERROR(__xludf.DUMMYFUNCTION("""COMPUTED_VALUE"""),1)</f>
        <v>1</v>
      </c>
      <c r="G1171" s="1"/>
      <c r="H1171" s="1" t="str">
        <f ca="1">IFERROR(__xludf.DUMMYFUNCTION("""COMPUTED_VALUE"""),"P2_052")</f>
        <v>P2_052</v>
      </c>
      <c r="I1171" s="1" t="str">
        <f ca="1">IFERROR(__xludf.DUMMYFUNCTION("""COMPUTED_VALUE"""),"Barry")</f>
        <v>Barry</v>
      </c>
    </row>
    <row r="1172" spans="1:9" ht="12.7" x14ac:dyDescent="0.4">
      <c r="A1172" s="2">
        <f ca="1">IFERROR(__xludf.DUMMYFUNCTION("""COMPUTED_VALUE"""),45802.366950081)</f>
        <v>45802.366950080999</v>
      </c>
      <c r="B1172" s="1" t="str">
        <f ca="1">IFERROR(__xludf.DUMMYFUNCTION("""COMPUTED_VALUE"""),"領料")</f>
        <v>領料</v>
      </c>
      <c r="C1172" s="1" t="str">
        <f ca="1">IFERROR(__xludf.DUMMYFUNCTION("""COMPUTED_VALUE"""),"ME0270001045")</f>
        <v>ME0270001045</v>
      </c>
      <c r="D1172" s="1" t="str">
        <f ca="1">IFERROR(__xludf.DUMMYFUNCTION("""COMPUTED_VALUE"""),"All/共用")</f>
        <v>All/共用</v>
      </c>
      <c r="E1172" s="1" t="str">
        <f ca="1">IFERROR(__xludf.DUMMYFUNCTION("""COMPUTED_VALUE"""),"p1/庫存")</f>
        <v>p1/庫存</v>
      </c>
      <c r="F1172" s="1">
        <f ca="1">IFERROR(__xludf.DUMMYFUNCTION("""COMPUTED_VALUE"""),3)</f>
        <v>3</v>
      </c>
      <c r="G1172" s="1"/>
      <c r="H1172" s="1" t="str">
        <f ca="1">IFERROR(__xludf.DUMMYFUNCTION("""COMPUTED_VALUE"""),"P1")</f>
        <v>P1</v>
      </c>
      <c r="I1172" s="1" t="str">
        <f ca="1">IFERROR(__xludf.DUMMYFUNCTION("""COMPUTED_VALUE"""),"Uri")</f>
        <v>Uri</v>
      </c>
    </row>
    <row r="1173" spans="1:9" ht="12.7" x14ac:dyDescent="0.4">
      <c r="A1173" s="2">
        <f ca="1">IFERROR(__xludf.DUMMYFUNCTION("""COMPUTED_VALUE"""),45803.2119370949)</f>
        <v>45803.2119370949</v>
      </c>
      <c r="B1173" s="1" t="str">
        <f ca="1">IFERROR(__xludf.DUMMYFUNCTION("""COMPUTED_VALUE"""),"領料")</f>
        <v>領料</v>
      </c>
      <c r="C1173" s="1" t="str">
        <f ca="1">IFERROR(__xludf.DUMMYFUNCTION("""COMPUTED_VALUE"""),"AGT000000005")</f>
        <v>AGT000000005</v>
      </c>
      <c r="D1173" s="1" t="str">
        <f ca="1">IFERROR(__xludf.DUMMYFUNCTION("""COMPUTED_VALUE"""),"All/BA")</f>
        <v>All/BA</v>
      </c>
      <c r="E1173" s="1" t="str">
        <f ca="1">IFERROR(__xludf.DUMMYFUNCTION("""COMPUTED_VALUE"""),"p1/庫存")</f>
        <v>p1/庫存</v>
      </c>
      <c r="F1173" s="1">
        <f ca="1">IFERROR(__xludf.DUMMYFUNCTION("""COMPUTED_VALUE"""),1)</f>
        <v>1</v>
      </c>
      <c r="G1173" s="1"/>
      <c r="H1173" s="1" t="str">
        <f ca="1">IFERROR(__xludf.DUMMYFUNCTION("""COMPUTED_VALUE"""),"P1_027")</f>
        <v>P1_027</v>
      </c>
      <c r="I1173" s="1" t="str">
        <f ca="1">IFERROR(__xludf.DUMMYFUNCTION("""COMPUTED_VALUE"""),"Nick")</f>
        <v>Nick</v>
      </c>
    </row>
    <row r="1174" spans="1:9" ht="12.7" x14ac:dyDescent="0.4">
      <c r="A1174" s="2">
        <f ca="1">IFERROR(__xludf.DUMMYFUNCTION("""COMPUTED_VALUE"""),45803.6531354861)</f>
        <v>45803.6531354861</v>
      </c>
      <c r="B1174" s="1" t="str">
        <f ca="1">IFERROR(__xludf.DUMMYFUNCTION("""COMPUTED_VALUE"""),"返修")</f>
        <v>返修</v>
      </c>
      <c r="C1174" s="1" t="str">
        <f ca="1">IFERROR(__xludf.DUMMYFUNCTION("""COMPUTED_VALUE"""),"A00900000618")</f>
        <v>A00900000618</v>
      </c>
      <c r="D1174" s="1" t="str">
        <f ca="1">IFERROR(__xludf.DUMMYFUNCTION("""COMPUTED_VALUE"""),"All/共用")</f>
        <v>All/共用</v>
      </c>
      <c r="E1174" s="1" t="str">
        <f ca="1">IFERROR(__xludf.DUMMYFUNCTION("""COMPUTED_VALUE"""),"p1/庫存")</f>
        <v>p1/庫存</v>
      </c>
      <c r="F1174" s="1">
        <f ca="1">IFERROR(__xludf.DUMMYFUNCTION("""COMPUTED_VALUE"""),1)</f>
        <v>1</v>
      </c>
      <c r="G1174" s="1" t="str">
        <f ca="1">IFERROR(__xludf.DUMMYFUNCTION("""COMPUTED_VALUE"""),"CST350W2206000265")</f>
        <v>CST350W2206000265</v>
      </c>
      <c r="H1174" s="1" t="str">
        <f ca="1">IFERROR(__xludf.DUMMYFUNCTION("""COMPUTED_VALUE"""),"P1_021")</f>
        <v>P1_021</v>
      </c>
      <c r="I1174" s="1" t="str">
        <f ca="1">IFERROR(__xludf.DUMMYFUNCTION("""COMPUTED_VALUE"""),"Simon")</f>
        <v>Simon</v>
      </c>
    </row>
    <row r="1175" spans="1:9" ht="12.7" x14ac:dyDescent="0.4">
      <c r="A1175" s="2">
        <f ca="1">IFERROR(__xludf.DUMMYFUNCTION("""COMPUTED_VALUE"""),45805.2401505902)</f>
        <v>45805.240150590202</v>
      </c>
      <c r="B1175" s="1" t="str">
        <f ca="1">IFERROR(__xludf.DUMMYFUNCTION("""COMPUTED_VALUE"""),"領料")</f>
        <v>領料</v>
      </c>
      <c r="C1175" s="1" t="str">
        <f ca="1">IFERROR(__xludf.DUMMYFUNCTION("""COMPUTED_VALUE"""),"AGT000000005")</f>
        <v>AGT000000005</v>
      </c>
      <c r="D1175" s="1" t="str">
        <f ca="1">IFERROR(__xludf.DUMMYFUNCTION("""COMPUTED_VALUE"""),"All/BA")</f>
        <v>All/BA</v>
      </c>
      <c r="E1175" s="1" t="str">
        <f ca="1">IFERROR(__xludf.DUMMYFUNCTION("""COMPUTED_VALUE"""),"p1/庫存")</f>
        <v>p1/庫存</v>
      </c>
      <c r="F1175" s="1">
        <f ca="1">IFERROR(__xludf.DUMMYFUNCTION("""COMPUTED_VALUE"""),1)</f>
        <v>1</v>
      </c>
      <c r="G1175" s="1"/>
      <c r="H1175" s="1" t="str">
        <f ca="1">IFERROR(__xludf.DUMMYFUNCTION("""COMPUTED_VALUE"""),"P1_018")</f>
        <v>P1_018</v>
      </c>
      <c r="I1175" s="1" t="str">
        <f ca="1">IFERROR(__xludf.DUMMYFUNCTION("""COMPUTED_VALUE"""),"Jason")</f>
        <v>Jason</v>
      </c>
    </row>
    <row r="1176" spans="1:9" ht="12.7" x14ac:dyDescent="0.4">
      <c r="A1176" s="2">
        <f ca="1">IFERROR(__xludf.DUMMYFUNCTION("""COMPUTED_VALUE"""),45811.4095499189)</f>
        <v>45811.409549918899</v>
      </c>
      <c r="B1176" s="1" t="str">
        <f ca="1">IFERROR(__xludf.DUMMYFUNCTION("""COMPUTED_VALUE"""),"返修")</f>
        <v>返修</v>
      </c>
      <c r="C1176" s="1" t="str">
        <f ca="1">IFERROR(__xludf.DUMMYFUNCTION("""COMPUTED_VALUE"""),"ME0020000562")</f>
        <v>ME0020000562</v>
      </c>
      <c r="D1176" s="1" t="str">
        <f ca="1">IFERROR(__xludf.DUMMYFUNCTION("""COMPUTED_VALUE"""),"All/共用")</f>
        <v>All/共用</v>
      </c>
      <c r="E1176" s="1" t="str">
        <f ca="1">IFERROR(__xludf.DUMMYFUNCTION("""COMPUTED_VALUE"""),"p1/庫存")</f>
        <v>p1/庫存</v>
      </c>
      <c r="F1176" s="1">
        <f ca="1">IFERROR(__xludf.DUMMYFUNCTION("""COMPUTED_VALUE"""),1)</f>
        <v>1</v>
      </c>
      <c r="G1176" s="1" t="str">
        <f ca="1">IFERROR(__xludf.DUMMYFUNCTION("""COMPUTED_VALUE"""),"637XF A01")</f>
        <v>637XF A01</v>
      </c>
      <c r="H1176" s="1" t="str">
        <f ca="1">IFERROR(__xludf.DUMMYFUNCTION("""COMPUTED_VALUE"""),"P1")</f>
        <v>P1</v>
      </c>
      <c r="I1176" s="1" t="str">
        <f ca="1">IFERROR(__xludf.DUMMYFUNCTION("""COMPUTED_VALUE"""),"Simon")</f>
        <v>Simon</v>
      </c>
    </row>
    <row r="1177" spans="1:9" ht="12.7" x14ac:dyDescent="0.4">
      <c r="A1177" s="2">
        <f ca="1">IFERROR(__xludf.DUMMYFUNCTION("""COMPUTED_VALUE"""),45812.4464996643)</f>
        <v>45812.4464996643</v>
      </c>
      <c r="B1177" s="1" t="str">
        <f ca="1">IFERROR(__xludf.DUMMYFUNCTION("""COMPUTED_VALUE"""),"送修")</f>
        <v>送修</v>
      </c>
      <c r="C1177" s="1" t="str">
        <f ca="1">IFERROR(__xludf.DUMMYFUNCTION("""COMPUTED_VALUE"""),"ME0160000073")</f>
        <v>ME0160000073</v>
      </c>
      <c r="D1177" s="1" t="str">
        <f ca="1">IFERROR(__xludf.DUMMYFUNCTION("""COMPUTED_VALUE"""),"All/BA")</f>
        <v>All/BA</v>
      </c>
      <c r="E1177" s="1" t="str">
        <f ca="1">IFERROR(__xludf.DUMMYFUNCTION("""COMPUTED_VALUE"""),"p1/庫存")</f>
        <v>p1/庫存</v>
      </c>
      <c r="F1177" s="1">
        <f ca="1">IFERROR(__xludf.DUMMYFUNCTION("""COMPUTED_VALUE"""),1)</f>
        <v>1</v>
      </c>
      <c r="G1177" s="1" t="str">
        <f ca="1">IFERROR(__xludf.DUMMYFUNCTION("""COMPUTED_VALUE"""),"B2211386")</f>
        <v>B2211386</v>
      </c>
      <c r="H1177" s="1" t="str">
        <f ca="1">IFERROR(__xludf.DUMMYFUNCTION("""COMPUTED_VALUE"""),"P1_011")</f>
        <v>P1_011</v>
      </c>
      <c r="I1177" s="1" t="str">
        <f ca="1">IFERROR(__xludf.DUMMYFUNCTION("""COMPUTED_VALUE"""),"Uri")</f>
        <v>Uri</v>
      </c>
    </row>
    <row r="1178" spans="1:9" ht="12.7" x14ac:dyDescent="0.4">
      <c r="A1178" s="2">
        <f ca="1">IFERROR(__xludf.DUMMYFUNCTION("""COMPUTED_VALUE"""),45812.4473374652)</f>
        <v>45812.447337465201</v>
      </c>
      <c r="B1178" s="1" t="str">
        <f ca="1">IFERROR(__xludf.DUMMYFUNCTION("""COMPUTED_VALUE"""),"料件上線時間")</f>
        <v>料件上線時間</v>
      </c>
      <c r="C1178" s="1" t="str">
        <f ca="1">IFERROR(__xludf.DUMMYFUNCTION("""COMPUTED_VALUE"""),"ME0160000073")</f>
        <v>ME0160000073</v>
      </c>
      <c r="D1178" s="1" t="str">
        <f ca="1">IFERROR(__xludf.DUMMYFUNCTION("""COMPUTED_VALUE"""),"All/BA")</f>
        <v>All/BA</v>
      </c>
      <c r="E1178" s="1" t="str">
        <f ca="1">IFERROR(__xludf.DUMMYFUNCTION("""COMPUTED_VALUE"""),"p1/庫存")</f>
        <v>p1/庫存</v>
      </c>
      <c r="F1178" s="1">
        <f ca="1">IFERROR(__xludf.DUMMYFUNCTION("""COMPUTED_VALUE"""),1)</f>
        <v>1</v>
      </c>
      <c r="G1178" s="1" t="str">
        <f ca="1">IFERROR(__xludf.DUMMYFUNCTION("""COMPUTED_VALUE"""),"B2206363")</f>
        <v>B2206363</v>
      </c>
      <c r="H1178" s="1" t="str">
        <f ca="1">IFERROR(__xludf.DUMMYFUNCTION("""COMPUTED_VALUE"""),"P1_011")</f>
        <v>P1_011</v>
      </c>
      <c r="I1178" s="1" t="str">
        <f ca="1">IFERROR(__xludf.DUMMYFUNCTION("""COMPUTED_VALUE"""),"Uri")</f>
        <v>Uri</v>
      </c>
    </row>
    <row r="1179" spans="1:9" ht="12.7" x14ac:dyDescent="0.4">
      <c r="A1179" s="2">
        <f ca="1">IFERROR(__xludf.DUMMYFUNCTION("""COMPUTED_VALUE"""),45812.7255002083)</f>
        <v>45812.725500208297</v>
      </c>
      <c r="B1179" s="1" t="str">
        <f ca="1">IFERROR(__xludf.DUMMYFUNCTION("""COMPUTED_VALUE"""),"送修")</f>
        <v>送修</v>
      </c>
      <c r="C1179" s="1" t="str">
        <f ca="1">IFERROR(__xludf.DUMMYFUNCTION("""COMPUTED_VALUE"""),"ME0070000140")</f>
        <v>ME0070000140</v>
      </c>
      <c r="D1179" s="1" t="str">
        <f ca="1">IFERROR(__xludf.DUMMYFUNCTION("""COMPUTED_VALUE"""),"All/BA")</f>
        <v>All/BA</v>
      </c>
      <c r="E1179" s="1" t="str">
        <f ca="1">IFERROR(__xludf.DUMMYFUNCTION("""COMPUTED_VALUE"""),"p1/庫存")</f>
        <v>p1/庫存</v>
      </c>
      <c r="F1179" s="1">
        <f ca="1">IFERROR(__xludf.DUMMYFUNCTION("""COMPUTED_VALUE"""),1)</f>
        <v>1</v>
      </c>
      <c r="G1179" s="1" t="str">
        <f ca="1">IFERROR(__xludf.DUMMYFUNCTION("""COMPUTED_VALUE"""),"100A-2522C0010-2204")</f>
        <v>100A-2522C0010-2204</v>
      </c>
      <c r="H1179" s="1" t="str">
        <f ca="1">IFERROR(__xludf.DUMMYFUNCTION("""COMPUTED_VALUE"""),"P1_005")</f>
        <v>P1_005</v>
      </c>
      <c r="I1179" s="1" t="str">
        <f ca="1">IFERROR(__xludf.DUMMYFUNCTION("""COMPUTED_VALUE"""),"Chiao Yu")</f>
        <v>Chiao Yu</v>
      </c>
    </row>
    <row r="1180" spans="1:9" ht="12.7" x14ac:dyDescent="0.4">
      <c r="A1180" s="2">
        <f ca="1">IFERROR(__xludf.DUMMYFUNCTION("""COMPUTED_VALUE"""),45812.7269328472)</f>
        <v>45812.726932847203</v>
      </c>
      <c r="B1180" s="1" t="str">
        <f ca="1">IFERROR(__xludf.DUMMYFUNCTION("""COMPUTED_VALUE"""),"料件上線時間")</f>
        <v>料件上線時間</v>
      </c>
      <c r="C1180" s="1" t="str">
        <f ca="1">IFERROR(__xludf.DUMMYFUNCTION("""COMPUTED_VALUE"""),"ME0070000140")</f>
        <v>ME0070000140</v>
      </c>
      <c r="D1180" s="1" t="str">
        <f ca="1">IFERROR(__xludf.DUMMYFUNCTION("""COMPUTED_VALUE"""),"All/BA")</f>
        <v>All/BA</v>
      </c>
      <c r="E1180" s="1" t="str">
        <f ca="1">IFERROR(__xludf.DUMMYFUNCTION("""COMPUTED_VALUE"""),"p1/庫存")</f>
        <v>p1/庫存</v>
      </c>
      <c r="F1180" s="1">
        <f ca="1">IFERROR(__xludf.DUMMYFUNCTION("""COMPUTED_VALUE"""),1)</f>
        <v>1</v>
      </c>
      <c r="G1180" s="1" t="str">
        <f ca="1">IFERROR(__xludf.DUMMYFUNCTION("""COMPUTED_VALUE"""),"100A-2523K0021-2409")</f>
        <v>100A-2523K0021-2409</v>
      </c>
      <c r="H1180" s="1" t="str">
        <f ca="1">IFERROR(__xludf.DUMMYFUNCTION("""COMPUTED_VALUE"""),"P1_005")</f>
        <v>P1_005</v>
      </c>
      <c r="I1180" s="1" t="str">
        <f ca="1">IFERROR(__xludf.DUMMYFUNCTION("""COMPUTED_VALUE"""),"Chiao Yu")</f>
        <v>Chiao Yu</v>
      </c>
    </row>
    <row r="1181" spans="1:9" ht="12.7" x14ac:dyDescent="0.4">
      <c r="A1181" s="2">
        <f ca="1">IFERROR(__xludf.DUMMYFUNCTION("""COMPUTED_VALUE"""),45812.8216985301)</f>
        <v>45812.821698530097</v>
      </c>
      <c r="B1181" s="1" t="str">
        <f ca="1">IFERROR(__xludf.DUMMYFUNCTION("""COMPUTED_VALUE"""),"領料")</f>
        <v>領料</v>
      </c>
      <c r="C1181" s="1" t="str">
        <f ca="1">IFERROR(__xludf.DUMMYFUNCTION("""COMPUTED_VALUE"""),"AGT000000005")</f>
        <v>AGT000000005</v>
      </c>
      <c r="D1181" s="1" t="str">
        <f ca="1">IFERROR(__xludf.DUMMYFUNCTION("""COMPUTED_VALUE"""),"All/共用")</f>
        <v>All/共用</v>
      </c>
      <c r="E1181" s="1" t="str">
        <f ca="1">IFERROR(__xludf.DUMMYFUNCTION("""COMPUTED_VALUE"""),"p1/庫存")</f>
        <v>p1/庫存</v>
      </c>
      <c r="F1181" s="1">
        <f ca="1">IFERROR(__xludf.DUMMYFUNCTION("""COMPUTED_VALUE"""),1)</f>
        <v>1</v>
      </c>
      <c r="G1181" s="1"/>
      <c r="H1181" s="1" t="str">
        <f ca="1">IFERROR(__xludf.DUMMYFUNCTION("""COMPUTED_VALUE"""),"P1_004")</f>
        <v>P1_004</v>
      </c>
      <c r="I1181" s="1" t="str">
        <f ca="1">IFERROR(__xludf.DUMMYFUNCTION("""COMPUTED_VALUE"""),"Simon")</f>
        <v>Simon</v>
      </c>
    </row>
    <row r="1182" spans="1:9" ht="12.7" x14ac:dyDescent="0.4">
      <c r="A1182" s="2">
        <f ca="1">IFERROR(__xludf.DUMMYFUNCTION("""COMPUTED_VALUE"""),45815.977475243)</f>
        <v>45815.977475243002</v>
      </c>
      <c r="B1182" s="1" t="str">
        <f ca="1">IFERROR(__xludf.DUMMYFUNCTION("""COMPUTED_VALUE"""),"領料")</f>
        <v>領料</v>
      </c>
      <c r="C1182" s="1" t="str">
        <f ca="1">IFERROR(__xludf.DUMMYFUNCTION("""COMPUTED_VALUE"""),"MM0260000157 ")</f>
        <v xml:space="preserve">MM0260000157 </v>
      </c>
      <c r="D1182" s="1" t="str">
        <f ca="1">IFERROR(__xludf.DUMMYFUNCTION("""COMPUTED_VALUE"""),"All/BA")</f>
        <v>All/BA</v>
      </c>
      <c r="E1182" s="1" t="str">
        <f ca="1">IFERROR(__xludf.DUMMYFUNCTION("""COMPUTED_VALUE"""),"p1/庫存")</f>
        <v>p1/庫存</v>
      </c>
      <c r="F1182" s="1">
        <f ca="1">IFERROR(__xludf.DUMMYFUNCTION("""COMPUTED_VALUE"""),2)</f>
        <v>2</v>
      </c>
      <c r="G1182" s="1"/>
      <c r="H1182" s="1" t="str">
        <f ca="1">IFERROR(__xludf.DUMMYFUNCTION("""COMPUTED_VALUE"""),"P1_008")</f>
        <v>P1_008</v>
      </c>
      <c r="I1182" s="1" t="str">
        <f ca="1">IFERROR(__xludf.DUMMYFUNCTION("""COMPUTED_VALUE"""),"Jason")</f>
        <v>Jason</v>
      </c>
    </row>
    <row r="1183" spans="1:9" ht="12.7" x14ac:dyDescent="0.4">
      <c r="A1183" s="2">
        <f ca="1">IFERROR(__xludf.DUMMYFUNCTION("""COMPUTED_VALUE"""),45817.2206298032)</f>
        <v>45817.220629803203</v>
      </c>
      <c r="B1183" s="1" t="str">
        <f ca="1">IFERROR(__xludf.DUMMYFUNCTION("""COMPUTED_VALUE"""),"送修")</f>
        <v>送修</v>
      </c>
      <c r="C1183" s="1" t="str">
        <f ca="1">IFERROR(__xludf.DUMMYFUNCTION("""COMPUTED_VALUE"""),"ME0070000140")</f>
        <v>ME0070000140</v>
      </c>
      <c r="D1183" s="1" t="str">
        <f ca="1">IFERROR(__xludf.DUMMYFUNCTION("""COMPUTED_VALUE"""),"All/BA")</f>
        <v>All/BA</v>
      </c>
      <c r="E1183" s="1" t="str">
        <f ca="1">IFERROR(__xludf.DUMMYFUNCTION("""COMPUTED_VALUE"""),"p1/庫存")</f>
        <v>p1/庫存</v>
      </c>
      <c r="F1183" s="1">
        <f ca="1">IFERROR(__xludf.DUMMYFUNCTION("""COMPUTED_VALUE"""),1)</f>
        <v>1</v>
      </c>
      <c r="G1183" s="1" t="str">
        <f ca="1">IFERROR(__xludf.DUMMYFUNCTION("""COMPUTED_VALUE"""),"100A-2522C0067-2204")</f>
        <v>100A-2522C0067-2204</v>
      </c>
      <c r="H1183" s="1" t="str">
        <f ca="1">IFERROR(__xludf.DUMMYFUNCTION("""COMPUTED_VALUE"""),"P1_019")</f>
        <v>P1_019</v>
      </c>
      <c r="I1183" s="1" t="str">
        <f ca="1">IFERROR(__xludf.DUMMYFUNCTION("""COMPUTED_VALUE"""),"Nick")</f>
        <v>Nick</v>
      </c>
    </row>
    <row r="1184" spans="1:9" ht="12.7" x14ac:dyDescent="0.4">
      <c r="A1184" s="2">
        <f ca="1">IFERROR(__xludf.DUMMYFUNCTION("""COMPUTED_VALUE"""),45817.3845348379)</f>
        <v>45817.384534837904</v>
      </c>
      <c r="B1184" s="1" t="str">
        <f ca="1">IFERROR(__xludf.DUMMYFUNCTION("""COMPUTED_VALUE"""),"料件上線時間")</f>
        <v>料件上線時間</v>
      </c>
      <c r="C1184" s="1" t="str">
        <f ca="1">IFERROR(__xludf.DUMMYFUNCTION("""COMPUTED_VALUE"""),"ME0070000140")</f>
        <v>ME0070000140</v>
      </c>
      <c r="D1184" s="1" t="str">
        <f ca="1">IFERROR(__xludf.DUMMYFUNCTION("""COMPUTED_VALUE"""),"All/BA")</f>
        <v>All/BA</v>
      </c>
      <c r="E1184" s="1" t="str">
        <f ca="1">IFERROR(__xludf.DUMMYFUNCTION("""COMPUTED_VALUE"""),"p1/庫存")</f>
        <v>p1/庫存</v>
      </c>
      <c r="F1184" s="1">
        <f ca="1">IFERROR(__xludf.DUMMYFUNCTION("""COMPUTED_VALUE"""),1)</f>
        <v>1</v>
      </c>
      <c r="G1184" s="1" t="str">
        <f ca="1">IFERROR(__xludf.DUMMYFUNCTION("""COMPUTED_VALUE"""),"待補")</f>
        <v>待補</v>
      </c>
      <c r="H1184" s="1" t="str">
        <f ca="1">IFERROR(__xludf.DUMMYFUNCTION("""COMPUTED_VALUE"""),"P1_019")</f>
        <v>P1_019</v>
      </c>
      <c r="I1184" s="1" t="str">
        <f ca="1">IFERROR(__xludf.DUMMYFUNCTION("""COMPUTED_VALUE"""),"Jason")</f>
        <v>Jason</v>
      </c>
    </row>
    <row r="1185" spans="1:9" ht="12.7" x14ac:dyDescent="0.4">
      <c r="A1185" s="2">
        <f ca="1">IFERROR(__xludf.DUMMYFUNCTION("""COMPUTED_VALUE"""),45817.5307931828)</f>
        <v>45817.530793182799</v>
      </c>
      <c r="B1185" s="1" t="str">
        <f ca="1">IFERROR(__xludf.DUMMYFUNCTION("""COMPUTED_VALUE"""),"送修")</f>
        <v>送修</v>
      </c>
      <c r="C1185" s="1" t="str">
        <f ca="1">IFERROR(__xludf.DUMMYFUNCTION("""COMPUTED_VALUE"""),"ME0070000140")</f>
        <v>ME0070000140</v>
      </c>
      <c r="D1185" s="1" t="str">
        <f ca="1">IFERROR(__xludf.DUMMYFUNCTION("""COMPUTED_VALUE"""),"All/BA")</f>
        <v>All/BA</v>
      </c>
      <c r="E1185" s="1" t="str">
        <f ca="1">IFERROR(__xludf.DUMMYFUNCTION("""COMPUTED_VALUE"""),"p1/庫存")</f>
        <v>p1/庫存</v>
      </c>
      <c r="F1185" s="1">
        <f ca="1">IFERROR(__xludf.DUMMYFUNCTION("""COMPUTED_VALUE"""),1)</f>
        <v>1</v>
      </c>
      <c r="G1185" s="1" t="str">
        <f ca="1">IFERROR(__xludf.DUMMYFUNCTION("""COMPUTED_VALUE"""),"100A-2522C0059-2204")</f>
        <v>100A-2522C0059-2204</v>
      </c>
      <c r="H1185" s="1" t="str">
        <f ca="1">IFERROR(__xludf.DUMMYFUNCTION("""COMPUTED_VALUE"""),"P1_015")</f>
        <v>P1_015</v>
      </c>
      <c r="I1185" s="1" t="str">
        <f ca="1">IFERROR(__xludf.DUMMYFUNCTION("""COMPUTED_VALUE"""),"Simon")</f>
        <v>Simon</v>
      </c>
    </row>
    <row r="1186" spans="1:9" ht="12.7" x14ac:dyDescent="0.4">
      <c r="A1186" s="2">
        <f ca="1">IFERROR(__xludf.DUMMYFUNCTION("""COMPUTED_VALUE"""),45817.532508831)</f>
        <v>45817.532508830998</v>
      </c>
      <c r="B1186" s="1" t="str">
        <f ca="1">IFERROR(__xludf.DUMMYFUNCTION("""COMPUTED_VALUE"""),"料件上線時間")</f>
        <v>料件上線時間</v>
      </c>
      <c r="C1186" s="1" t="str">
        <f ca="1">IFERROR(__xludf.DUMMYFUNCTION("""COMPUTED_VALUE"""),"ME0070000140")</f>
        <v>ME0070000140</v>
      </c>
      <c r="D1186" s="1" t="str">
        <f ca="1">IFERROR(__xludf.DUMMYFUNCTION("""COMPUTED_VALUE"""),"All/BA")</f>
        <v>All/BA</v>
      </c>
      <c r="E1186" s="1" t="str">
        <f ca="1">IFERROR(__xludf.DUMMYFUNCTION("""COMPUTED_VALUE"""),"p1/庫存")</f>
        <v>p1/庫存</v>
      </c>
      <c r="F1186" s="1">
        <f ca="1">IFERROR(__xludf.DUMMYFUNCTION("""COMPUTED_VALUE"""),1)</f>
        <v>1</v>
      </c>
      <c r="G1186" s="1" t="str">
        <f ca="1">IFERROR(__xludf.DUMMYFUNCTION("""COMPUTED_VALUE"""),"100A-2522C0045-2207")</f>
        <v>100A-2522C0045-2207</v>
      </c>
      <c r="H1186" s="1" t="str">
        <f ca="1">IFERROR(__xludf.DUMMYFUNCTION("""COMPUTED_VALUE"""),"P1_015")</f>
        <v>P1_015</v>
      </c>
      <c r="I1186" s="1" t="str">
        <f ca="1">IFERROR(__xludf.DUMMYFUNCTION("""COMPUTED_VALUE"""),"Simon")</f>
        <v>Simon</v>
      </c>
    </row>
    <row r="1187" spans="1:9" ht="12.7" x14ac:dyDescent="0.4">
      <c r="A1187" s="2">
        <f ca="1">IFERROR(__xludf.DUMMYFUNCTION("""COMPUTED_VALUE"""),45818.37128978)</f>
        <v>45818.37128978</v>
      </c>
      <c r="B1187" s="1" t="str">
        <f ca="1">IFERROR(__xludf.DUMMYFUNCTION("""COMPUTED_VALUE"""),"領料")</f>
        <v>領料</v>
      </c>
      <c r="C1187" s="1" t="str">
        <f ca="1">IFERROR(__xludf.DUMMYFUNCTION("""COMPUTED_VALUE"""),"MM0220000048")</f>
        <v>MM0220000048</v>
      </c>
      <c r="D1187" s="1" t="str">
        <f ca="1">IFERROR(__xludf.DUMMYFUNCTION("""COMPUTED_VALUE"""),"All/共用")</f>
        <v>All/共用</v>
      </c>
      <c r="E1187" s="1" t="str">
        <f ca="1">IFERROR(__xludf.DUMMYFUNCTION("""COMPUTED_VALUE"""),"p1/庫存")</f>
        <v>p1/庫存</v>
      </c>
      <c r="F1187" s="1">
        <f ca="1">IFERROR(__xludf.DUMMYFUNCTION("""COMPUTED_VALUE"""),31)</f>
        <v>31</v>
      </c>
      <c r="G1187" s="1"/>
      <c r="H1187" s="1" t="str">
        <f ca="1">IFERROR(__xludf.DUMMYFUNCTION("""COMPUTED_VALUE"""),"P1")</f>
        <v>P1</v>
      </c>
      <c r="I1187" s="1" t="str">
        <f ca="1">IFERROR(__xludf.DUMMYFUNCTION("""COMPUTED_VALUE"""),"Simon")</f>
        <v>Simon</v>
      </c>
    </row>
    <row r="1188" spans="1:9" ht="12.7" x14ac:dyDescent="0.4">
      <c r="A1188" s="2">
        <f ca="1">IFERROR(__xludf.DUMMYFUNCTION("""COMPUTED_VALUE"""),45818.3720651388)</f>
        <v>45818.372065138799</v>
      </c>
      <c r="B1188" s="1" t="str">
        <f ca="1">IFERROR(__xludf.DUMMYFUNCTION("""COMPUTED_VALUE"""),"領料")</f>
        <v>領料</v>
      </c>
      <c r="C1188" s="1" t="str">
        <f ca="1">IFERROR(__xludf.DUMMYFUNCTION("""COMPUTED_VALUE"""),"MM0220000048")</f>
        <v>MM0220000048</v>
      </c>
      <c r="D1188" s="1" t="str">
        <f ca="1">IFERROR(__xludf.DUMMYFUNCTION("""COMPUTED_VALUE"""),"All/共用")</f>
        <v>All/共用</v>
      </c>
      <c r="E1188" s="1" t="str">
        <f ca="1">IFERROR(__xludf.DUMMYFUNCTION("""COMPUTED_VALUE"""),"p2/庫存")</f>
        <v>p2/庫存</v>
      </c>
      <c r="F1188" s="1">
        <f ca="1">IFERROR(__xludf.DUMMYFUNCTION("""COMPUTED_VALUE"""),1)</f>
        <v>1</v>
      </c>
      <c r="G1188" s="1"/>
      <c r="H1188" s="1" t="str">
        <f ca="1">IFERROR(__xludf.DUMMYFUNCTION("""COMPUTED_VALUE"""),"P2")</f>
        <v>P2</v>
      </c>
      <c r="I1188" s="1" t="str">
        <f ca="1">IFERROR(__xludf.DUMMYFUNCTION("""COMPUTED_VALUE"""),"Simon")</f>
        <v>Simon</v>
      </c>
    </row>
    <row r="1189" spans="1:9" ht="12.7" x14ac:dyDescent="0.4">
      <c r="A1189" s="2">
        <f ca="1">IFERROR(__xludf.DUMMYFUNCTION("""COMPUTED_VALUE"""),45818.4554492592)</f>
        <v>45818.4554492592</v>
      </c>
      <c r="B1189" s="1" t="str">
        <f ca="1">IFERROR(__xludf.DUMMYFUNCTION("""COMPUTED_VALUE"""),"返修")</f>
        <v>返修</v>
      </c>
      <c r="C1189" s="1" t="str">
        <f ca="1">IFERROR(__xludf.DUMMYFUNCTION("""COMPUTED_VALUE"""),"ME0100000086")</f>
        <v>ME0100000086</v>
      </c>
      <c r="D1189" s="1" t="str">
        <f ca="1">IFERROR(__xludf.DUMMYFUNCTION("""COMPUTED_VALUE"""),"All/SB")</f>
        <v>All/SB</v>
      </c>
      <c r="E1189" s="1" t="str">
        <f ca="1">IFERROR(__xludf.DUMMYFUNCTION("""COMPUTED_VALUE"""),"p1/庫存")</f>
        <v>p1/庫存</v>
      </c>
      <c r="F1189" s="1">
        <f ca="1">IFERROR(__xludf.DUMMYFUNCTION("""COMPUTED_VALUE"""),1)</f>
        <v>1</v>
      </c>
      <c r="G1189" s="1" t="str">
        <f ca="1">IFERROR(__xludf.DUMMYFUNCTION("""COMPUTED_VALUE"""),"010508154S513256")</f>
        <v>010508154S513256</v>
      </c>
      <c r="H1189" s="1" t="str">
        <f ca="1">IFERROR(__xludf.DUMMYFUNCTION("""COMPUTED_VALUE"""),"P1")</f>
        <v>P1</v>
      </c>
      <c r="I1189" s="1" t="str">
        <f ca="1">IFERROR(__xludf.DUMMYFUNCTION("""COMPUTED_VALUE"""),"Simon")</f>
        <v>Simon</v>
      </c>
    </row>
    <row r="1190" spans="1:9" ht="12.7" x14ac:dyDescent="0.4">
      <c r="A1190" s="2">
        <f ca="1">IFERROR(__xludf.DUMMYFUNCTION("""COMPUTED_VALUE"""),45818.4612382638)</f>
        <v>45818.461238263801</v>
      </c>
      <c r="B1190" s="1" t="str">
        <f ca="1">IFERROR(__xludf.DUMMYFUNCTION("""COMPUTED_VALUE"""),"返修")</f>
        <v>返修</v>
      </c>
      <c r="C1190" s="1" t="str">
        <f ca="1">IFERROR(__xludf.DUMMYFUNCTION("""COMPUTED_VALUE"""),"ME0160000073")</f>
        <v>ME0160000073</v>
      </c>
      <c r="D1190" s="1" t="str">
        <f ca="1">IFERROR(__xludf.DUMMYFUNCTION("""COMPUTED_VALUE"""),"All/BA")</f>
        <v>All/BA</v>
      </c>
      <c r="E1190" s="1" t="str">
        <f ca="1">IFERROR(__xludf.DUMMYFUNCTION("""COMPUTED_VALUE"""),"p1/庫存")</f>
        <v>p1/庫存</v>
      </c>
      <c r="F1190" s="1">
        <f ca="1">IFERROR(__xludf.DUMMYFUNCTION("""COMPUTED_VALUE"""),1)</f>
        <v>1</v>
      </c>
      <c r="G1190" s="1" t="str">
        <f ca="1">IFERROR(__xludf.DUMMYFUNCTION("""COMPUTED_VALUE"""),"B2204354")</f>
        <v>B2204354</v>
      </c>
      <c r="H1190" s="1" t="str">
        <f ca="1">IFERROR(__xludf.DUMMYFUNCTION("""COMPUTED_VALUE"""),"P1")</f>
        <v>P1</v>
      </c>
      <c r="I1190" s="1" t="str">
        <f ca="1">IFERROR(__xludf.DUMMYFUNCTION("""COMPUTED_VALUE"""),"Simon")</f>
        <v>Simon</v>
      </c>
    </row>
    <row r="1191" spans="1:9" ht="12.7" x14ac:dyDescent="0.4">
      <c r="A1191" s="2">
        <f ca="1">IFERROR(__xludf.DUMMYFUNCTION("""COMPUTED_VALUE"""),45818.5252347685)</f>
        <v>45818.525234768502</v>
      </c>
      <c r="B1191" s="1" t="str">
        <f ca="1">IFERROR(__xludf.DUMMYFUNCTION("""COMPUTED_VALUE"""),"領料")</f>
        <v>領料</v>
      </c>
      <c r="C1191" s="1" t="str">
        <f ca="1">IFERROR(__xludf.DUMMYFUNCTION("""COMPUTED_VALUE"""),"ME0030000065")</f>
        <v>ME0030000065</v>
      </c>
      <c r="D1191" s="1" t="str">
        <f ca="1">IFERROR(__xludf.DUMMYFUNCTION("""COMPUTED_VALUE"""),"All/共用")</f>
        <v>All/共用</v>
      </c>
      <c r="E1191" s="1" t="str">
        <f ca="1">IFERROR(__xludf.DUMMYFUNCTION("""COMPUTED_VALUE"""),"p1/庫存")</f>
        <v>p1/庫存</v>
      </c>
      <c r="F1191" s="1">
        <f ca="1">IFERROR(__xludf.DUMMYFUNCTION("""COMPUTED_VALUE"""),5)</f>
        <v>5</v>
      </c>
      <c r="G1191" s="1"/>
      <c r="H1191" s="1" t="str">
        <f ca="1">IFERROR(__xludf.DUMMYFUNCTION("""COMPUTED_VALUE"""),"P1")</f>
        <v>P1</v>
      </c>
      <c r="I1191" s="1" t="str">
        <f ca="1">IFERROR(__xludf.DUMMYFUNCTION("""COMPUTED_VALUE"""),"Chiao Yu")</f>
        <v>Chiao Yu</v>
      </c>
    </row>
    <row r="1192" spans="1:9" ht="12.7" x14ac:dyDescent="0.4">
      <c r="A1192" s="2">
        <f ca="1">IFERROR(__xludf.DUMMYFUNCTION("""COMPUTED_VALUE"""),45818.7049738657)</f>
        <v>45818.704973865701</v>
      </c>
      <c r="B1192" s="1" t="str">
        <f ca="1">IFERROR(__xludf.DUMMYFUNCTION("""COMPUTED_VALUE"""),"庫存調整")</f>
        <v>庫存調整</v>
      </c>
      <c r="C1192" s="1" t="str">
        <f ca="1">IFERROR(__xludf.DUMMYFUNCTION("""COMPUTED_VALUE"""),"MM0220000040")</f>
        <v>MM0220000040</v>
      </c>
      <c r="D1192" s="1" t="str">
        <f ca="1">IFERROR(__xludf.DUMMYFUNCTION("""COMPUTED_VALUE"""),"All/共用")</f>
        <v>All/共用</v>
      </c>
      <c r="E1192" s="1" t="str">
        <f ca="1">IFERROR(__xludf.DUMMYFUNCTION("""COMPUTED_VALUE"""),"p2/庫存")</f>
        <v>p2/庫存</v>
      </c>
      <c r="F1192" s="1">
        <f ca="1">IFERROR(__xludf.DUMMYFUNCTION("""COMPUTED_VALUE"""),29)</f>
        <v>29</v>
      </c>
      <c r="G1192" s="1"/>
      <c r="H1192" s="1" t="str">
        <f ca="1">IFERROR(__xludf.DUMMYFUNCTION("""COMPUTED_VALUE"""),"P1")</f>
        <v>P1</v>
      </c>
      <c r="I1192" s="1" t="str">
        <f ca="1">IFERROR(__xludf.DUMMYFUNCTION("""COMPUTED_VALUE"""),"Simon")</f>
        <v>Simon</v>
      </c>
    </row>
    <row r="1193" spans="1:9" ht="12.7" x14ac:dyDescent="0.4">
      <c r="A1193" s="2">
        <f ca="1">IFERROR(__xludf.DUMMYFUNCTION("""COMPUTED_VALUE"""),45818.7050757407)</f>
        <v>45818.705075740698</v>
      </c>
      <c r="B1193" s="1" t="str">
        <f ca="1">IFERROR(__xludf.DUMMYFUNCTION("""COMPUTED_VALUE"""),"庫存調整")</f>
        <v>庫存調整</v>
      </c>
      <c r="C1193" s="1" t="str">
        <f ca="1">IFERROR(__xludf.DUMMYFUNCTION("""COMPUTED_VALUE"""),"AGT000000005")</f>
        <v>AGT000000005</v>
      </c>
      <c r="D1193" s="1" t="str">
        <f ca="1">IFERROR(__xludf.DUMMYFUNCTION("""COMPUTED_VALUE"""),"All/共用")</f>
        <v>All/共用</v>
      </c>
      <c r="E1193" s="1" t="str">
        <f ca="1">IFERROR(__xludf.DUMMYFUNCTION("""COMPUTED_VALUE"""),"p1/庫存")</f>
        <v>p1/庫存</v>
      </c>
      <c r="F1193" s="1">
        <f ca="1">IFERROR(__xludf.DUMMYFUNCTION("""COMPUTED_VALUE"""),1)</f>
        <v>1</v>
      </c>
      <c r="G1193" s="1"/>
      <c r="H1193" s="1" t="str">
        <f ca="1">IFERROR(__xludf.DUMMYFUNCTION("""COMPUTED_VALUE"""),"P1")</f>
        <v>P1</v>
      </c>
      <c r="I1193" s="1" t="str">
        <f ca="1">IFERROR(__xludf.DUMMYFUNCTION("""COMPUTED_VALUE"""),"Chiao Yu")</f>
        <v>Chiao Yu</v>
      </c>
    </row>
    <row r="1194" spans="1:9" ht="12.7" x14ac:dyDescent="0.4">
      <c r="A1194" s="2">
        <f ca="1">IFERROR(__xludf.DUMMYFUNCTION("""COMPUTED_VALUE"""),45818.7058049305)</f>
        <v>45818.705804930498</v>
      </c>
      <c r="B1194" s="1" t="str">
        <f ca="1">IFERROR(__xludf.DUMMYFUNCTION("""COMPUTED_VALUE"""),"庫存調整")</f>
        <v>庫存調整</v>
      </c>
      <c r="C1194" s="1" t="str">
        <f ca="1">IFERROR(__xludf.DUMMYFUNCTION("""COMPUTED_VALUE"""),"AGT000000005")</f>
        <v>AGT000000005</v>
      </c>
      <c r="D1194" s="1" t="str">
        <f ca="1">IFERROR(__xludf.DUMMYFUNCTION("""COMPUTED_VALUE"""),"All/共用")</f>
        <v>All/共用</v>
      </c>
      <c r="E1194" s="1" t="str">
        <f ca="1">IFERROR(__xludf.DUMMYFUNCTION("""COMPUTED_VALUE"""),"p2/庫存")</f>
        <v>p2/庫存</v>
      </c>
      <c r="F1194" s="1">
        <f ca="1">IFERROR(__xludf.DUMMYFUNCTION("""COMPUTED_VALUE"""),13)</f>
        <v>13</v>
      </c>
      <c r="G1194" s="1"/>
      <c r="H1194" s="1" t="str">
        <f ca="1">IFERROR(__xludf.DUMMYFUNCTION("""COMPUTED_VALUE"""),"P1")</f>
        <v>P1</v>
      </c>
      <c r="I1194" s="1" t="str">
        <f ca="1">IFERROR(__xludf.DUMMYFUNCTION("""COMPUTED_VALUE"""),"Chiao Yu")</f>
        <v>Chiao Yu</v>
      </c>
    </row>
    <row r="1195" spans="1:9" ht="12.7" x14ac:dyDescent="0.4">
      <c r="A1195" s="2">
        <f ca="1">IFERROR(__xludf.DUMMYFUNCTION("""COMPUTED_VALUE"""),45818.7062699768)</f>
        <v>45818.706269976799</v>
      </c>
      <c r="B1195" s="1" t="str">
        <f ca="1">IFERROR(__xludf.DUMMYFUNCTION("""COMPUTED_VALUE"""),"庫存調整")</f>
        <v>庫存調整</v>
      </c>
      <c r="C1195" s="1" t="str">
        <f ca="1">IFERROR(__xludf.DUMMYFUNCTION("""COMPUTED_VALUE"""),"MM0220000039")</f>
        <v>MM0220000039</v>
      </c>
      <c r="D1195" s="1" t="str">
        <f ca="1">IFERROR(__xludf.DUMMYFUNCTION("""COMPUTED_VALUE"""),"All/共用")</f>
        <v>All/共用</v>
      </c>
      <c r="E1195" s="1" t="str">
        <f ca="1">IFERROR(__xludf.DUMMYFUNCTION("""COMPUTED_VALUE"""),"p2/庫存")</f>
        <v>p2/庫存</v>
      </c>
      <c r="F1195" s="1">
        <f ca="1">IFERROR(__xludf.DUMMYFUNCTION("""COMPUTED_VALUE"""),31)</f>
        <v>31</v>
      </c>
      <c r="G1195" s="1"/>
      <c r="H1195" s="1" t="str">
        <f ca="1">IFERROR(__xludf.DUMMYFUNCTION("""COMPUTED_VALUE"""),"P1")</f>
        <v>P1</v>
      </c>
      <c r="I1195" s="1" t="str">
        <f ca="1">IFERROR(__xludf.DUMMYFUNCTION("""COMPUTED_VALUE"""),"Simon")</f>
        <v>Simon</v>
      </c>
    </row>
    <row r="1196" spans="1:9" ht="12.7" x14ac:dyDescent="0.4">
      <c r="A1196" s="2">
        <f ca="1">IFERROR(__xludf.DUMMYFUNCTION("""COMPUTED_VALUE"""),45818.7067033333)</f>
        <v>45818.706703333301</v>
      </c>
      <c r="B1196" s="1" t="str">
        <f ca="1">IFERROR(__xludf.DUMMYFUNCTION("""COMPUTED_VALUE"""),"庫存調整")</f>
        <v>庫存調整</v>
      </c>
      <c r="C1196" s="1" t="str">
        <f ca="1">IFERROR(__xludf.DUMMYFUNCTION("""COMPUTED_VALUE"""),"ME0060000278")</f>
        <v>ME0060000278</v>
      </c>
      <c r="D1196" s="1" t="str">
        <f ca="1">IFERROR(__xludf.DUMMYFUNCTION("""COMPUTED_VALUE"""),"All/共用")</f>
        <v>All/共用</v>
      </c>
      <c r="E1196" s="1" t="str">
        <f ca="1">IFERROR(__xludf.DUMMYFUNCTION("""COMPUTED_VALUE"""),"p1/庫存")</f>
        <v>p1/庫存</v>
      </c>
      <c r="F1196" s="1">
        <f ca="1">IFERROR(__xludf.DUMMYFUNCTION("""COMPUTED_VALUE"""),1)</f>
        <v>1</v>
      </c>
      <c r="G1196" s="1"/>
      <c r="H1196" s="1" t="str">
        <f ca="1">IFERROR(__xludf.DUMMYFUNCTION("""COMPUTED_VALUE"""),"P1")</f>
        <v>P1</v>
      </c>
      <c r="I1196" s="1" t="str">
        <f ca="1">IFERROR(__xludf.DUMMYFUNCTION("""COMPUTED_VALUE"""),"Chiao Yu")</f>
        <v>Chiao Yu</v>
      </c>
    </row>
    <row r="1197" spans="1:9" ht="12.7" x14ac:dyDescent="0.4">
      <c r="A1197" s="2">
        <f ca="1">IFERROR(__xludf.DUMMYFUNCTION("""COMPUTED_VALUE"""),45818.7072358101)</f>
        <v>45818.7072358101</v>
      </c>
      <c r="B1197" s="1" t="str">
        <f ca="1">IFERROR(__xludf.DUMMYFUNCTION("""COMPUTED_VALUE"""),"庫存調整")</f>
        <v>庫存調整</v>
      </c>
      <c r="C1197" s="1" t="str">
        <f ca="1">IFERROR(__xludf.DUMMYFUNCTION("""COMPUTED_VALUE"""),"ME0060000278")</f>
        <v>ME0060000278</v>
      </c>
      <c r="D1197" s="1" t="str">
        <f ca="1">IFERROR(__xludf.DUMMYFUNCTION("""COMPUTED_VALUE"""),"All/共用")</f>
        <v>All/共用</v>
      </c>
      <c r="E1197" s="1" t="str">
        <f ca="1">IFERROR(__xludf.DUMMYFUNCTION("""COMPUTED_VALUE"""),"p2/庫存")</f>
        <v>p2/庫存</v>
      </c>
      <c r="F1197" s="1">
        <f ca="1">IFERROR(__xludf.DUMMYFUNCTION("""COMPUTED_VALUE"""),15)</f>
        <v>15</v>
      </c>
      <c r="G1197" s="1"/>
      <c r="H1197" s="1" t="str">
        <f ca="1">IFERROR(__xludf.DUMMYFUNCTION("""COMPUTED_VALUE"""),"P2")</f>
        <v>P2</v>
      </c>
      <c r="I1197" s="1" t="str">
        <f ca="1">IFERROR(__xludf.DUMMYFUNCTION("""COMPUTED_VALUE"""),"Chiao Yu")</f>
        <v>Chiao Yu</v>
      </c>
    </row>
    <row r="1198" spans="1:9" ht="12.7" x14ac:dyDescent="0.4">
      <c r="A1198" s="2">
        <f ca="1">IFERROR(__xludf.DUMMYFUNCTION("""COMPUTED_VALUE"""),45818.7073966898)</f>
        <v>45818.707396689802</v>
      </c>
      <c r="B1198" s="1" t="str">
        <f ca="1">IFERROR(__xludf.DUMMYFUNCTION("""COMPUTED_VALUE"""),"庫存調整")</f>
        <v>庫存調整</v>
      </c>
      <c r="C1198" s="1" t="str">
        <f ca="1">IFERROR(__xludf.DUMMYFUNCTION("""COMPUTED_VALUE"""),"MM0220000042")</f>
        <v>MM0220000042</v>
      </c>
      <c r="D1198" s="1" t="str">
        <f ca="1">IFERROR(__xludf.DUMMYFUNCTION("""COMPUTED_VALUE"""),"All/共用")</f>
        <v>All/共用</v>
      </c>
      <c r="E1198" s="1" t="str">
        <f ca="1">IFERROR(__xludf.DUMMYFUNCTION("""COMPUTED_VALUE"""),"p1/庫存")</f>
        <v>p1/庫存</v>
      </c>
      <c r="F1198" s="1">
        <f ca="1">IFERROR(__xludf.DUMMYFUNCTION("""COMPUTED_VALUE"""),122)</f>
        <v>122</v>
      </c>
      <c r="G1198" s="1"/>
      <c r="H1198" s="1" t="str">
        <f ca="1">IFERROR(__xludf.DUMMYFUNCTION("""COMPUTED_VALUE"""),"P2")</f>
        <v>P2</v>
      </c>
      <c r="I1198" s="1" t="str">
        <f ca="1">IFERROR(__xludf.DUMMYFUNCTION("""COMPUTED_VALUE"""),"Simon")</f>
        <v>Simon</v>
      </c>
    </row>
    <row r="1199" spans="1:9" ht="12.7" x14ac:dyDescent="0.4">
      <c r="A1199" s="2">
        <f ca="1">IFERROR(__xludf.DUMMYFUNCTION("""COMPUTED_VALUE"""),45818.7079011921)</f>
        <v>45818.707901192101</v>
      </c>
      <c r="B1199" s="1" t="str">
        <f ca="1">IFERROR(__xludf.DUMMYFUNCTION("""COMPUTED_VALUE"""),"庫存調整")</f>
        <v>庫存調整</v>
      </c>
      <c r="C1199" s="1" t="str">
        <f ca="1">IFERROR(__xludf.DUMMYFUNCTION("""COMPUTED_VALUE"""),"ME0060000277")</f>
        <v>ME0060000277</v>
      </c>
      <c r="D1199" s="1" t="str">
        <f ca="1">IFERROR(__xludf.DUMMYFUNCTION("""COMPUTED_VALUE"""),"All/共用")</f>
        <v>All/共用</v>
      </c>
      <c r="E1199" s="1" t="str">
        <f ca="1">IFERROR(__xludf.DUMMYFUNCTION("""COMPUTED_VALUE"""),"p1/庫存")</f>
        <v>p1/庫存</v>
      </c>
      <c r="F1199" s="1">
        <f ca="1">IFERROR(__xludf.DUMMYFUNCTION("""COMPUTED_VALUE"""),5)</f>
        <v>5</v>
      </c>
      <c r="G1199" s="1"/>
      <c r="H1199" s="1" t="str">
        <f ca="1">IFERROR(__xludf.DUMMYFUNCTION("""COMPUTED_VALUE"""),"P1")</f>
        <v>P1</v>
      </c>
      <c r="I1199" s="1" t="str">
        <f ca="1">IFERROR(__xludf.DUMMYFUNCTION("""COMPUTED_VALUE"""),"Chiao Yu")</f>
        <v>Chiao Yu</v>
      </c>
    </row>
    <row r="1200" spans="1:9" ht="12.7" x14ac:dyDescent="0.4">
      <c r="A1200" s="2">
        <f ca="1">IFERROR(__xludf.DUMMYFUNCTION("""COMPUTED_VALUE"""),45818.7088319328)</f>
        <v>45818.708831932803</v>
      </c>
      <c r="B1200" s="1" t="str">
        <f ca="1">IFERROR(__xludf.DUMMYFUNCTION("""COMPUTED_VALUE"""),"領料")</f>
        <v>領料</v>
      </c>
      <c r="C1200" s="1" t="str">
        <f ca="1">IFERROR(__xludf.DUMMYFUNCTION("""COMPUTED_VALUE"""),"ME0270000789")</f>
        <v>ME0270000789</v>
      </c>
      <c r="D1200" s="1" t="str">
        <f ca="1">IFERROR(__xludf.DUMMYFUNCTION("""COMPUTED_VALUE"""),"All/共用")</f>
        <v>All/共用</v>
      </c>
      <c r="E1200" s="1" t="str">
        <f ca="1">IFERROR(__xludf.DUMMYFUNCTION("""COMPUTED_VALUE"""),"p1/庫存")</f>
        <v>p1/庫存</v>
      </c>
      <c r="F1200" s="1">
        <f ca="1">IFERROR(__xludf.DUMMYFUNCTION("""COMPUTED_VALUE"""),10)</f>
        <v>10</v>
      </c>
      <c r="G1200" s="1"/>
      <c r="H1200" s="1" t="str">
        <f ca="1">IFERROR(__xludf.DUMMYFUNCTION("""COMPUTED_VALUE"""),"P1")</f>
        <v>P1</v>
      </c>
      <c r="I1200" s="1" t="str">
        <f ca="1">IFERROR(__xludf.DUMMYFUNCTION("""COMPUTED_VALUE"""),"Chiao Yu")</f>
        <v>Chiao Yu</v>
      </c>
    </row>
    <row r="1201" spans="1:9" ht="12.7" x14ac:dyDescent="0.4">
      <c r="A1201" s="2">
        <f ca="1">IFERROR(__xludf.DUMMYFUNCTION("""COMPUTED_VALUE"""),45818.7096649537)</f>
        <v>45818.709664953698</v>
      </c>
      <c r="B1201" s="1" t="str">
        <f ca="1">IFERROR(__xludf.DUMMYFUNCTION("""COMPUTED_VALUE"""),"領料")</f>
        <v>領料</v>
      </c>
      <c r="C1201" s="1" t="str">
        <f ca="1">IFERROR(__xludf.DUMMYFUNCTION("""COMPUTED_VALUE"""),"ME0050000183")</f>
        <v>ME0050000183</v>
      </c>
      <c r="D1201" s="1" t="str">
        <f ca="1">IFERROR(__xludf.DUMMYFUNCTION("""COMPUTED_VALUE"""),"All/共用")</f>
        <v>All/共用</v>
      </c>
      <c r="E1201" s="1" t="str">
        <f ca="1">IFERROR(__xludf.DUMMYFUNCTION("""COMPUTED_VALUE"""),"p1/庫存")</f>
        <v>p1/庫存</v>
      </c>
      <c r="F1201" s="1">
        <f ca="1">IFERROR(__xludf.DUMMYFUNCTION("""COMPUTED_VALUE"""),10)</f>
        <v>10</v>
      </c>
      <c r="G1201" s="1"/>
      <c r="H1201" s="1" t="str">
        <f ca="1">IFERROR(__xludf.DUMMYFUNCTION("""COMPUTED_VALUE"""),"P1")</f>
        <v>P1</v>
      </c>
      <c r="I1201" s="1" t="str">
        <f ca="1">IFERROR(__xludf.DUMMYFUNCTION("""COMPUTED_VALUE"""),"Chiao Yu")</f>
        <v>Chiao Yu</v>
      </c>
    </row>
    <row r="1202" spans="1:9" ht="12.7" x14ac:dyDescent="0.4">
      <c r="A1202" s="2">
        <f ca="1">IFERROR(__xludf.DUMMYFUNCTION("""COMPUTED_VALUE"""),45818.8198977777)</f>
        <v>45818.819897777699</v>
      </c>
      <c r="B1202" s="1" t="str">
        <f ca="1">IFERROR(__xludf.DUMMYFUNCTION("""COMPUTED_VALUE"""),"領料")</f>
        <v>領料</v>
      </c>
      <c r="C1202" s="1" t="str">
        <f ca="1">IFERROR(__xludf.DUMMYFUNCTION("""COMPUTED_VALUE"""),"A00700000862")</f>
        <v>A00700000862</v>
      </c>
      <c r="D1202" s="1" t="str">
        <f ca="1">IFERROR(__xludf.DUMMYFUNCTION("""COMPUTED_VALUE"""),"All/SB")</f>
        <v>All/SB</v>
      </c>
      <c r="E1202" s="1" t="str">
        <f ca="1">IFERROR(__xludf.DUMMYFUNCTION("""COMPUTED_VALUE"""),"p1/庫存")</f>
        <v>p1/庫存</v>
      </c>
      <c r="F1202" s="1">
        <f ca="1">IFERROR(__xludf.DUMMYFUNCTION("""COMPUTED_VALUE"""),1)</f>
        <v>1</v>
      </c>
      <c r="G1202" s="1"/>
      <c r="H1202" s="1" t="str">
        <f ca="1">IFERROR(__xludf.DUMMYFUNCTION("""COMPUTED_VALUE"""),"P1_4007")</f>
        <v>P1_4007</v>
      </c>
      <c r="I1202" s="1" t="str">
        <f ca="1">IFERROR(__xludf.DUMMYFUNCTION("""COMPUTED_VALUE"""),"Chiao Yu")</f>
        <v>Chiao Yu</v>
      </c>
    </row>
    <row r="1203" spans="1:9" ht="12.7" x14ac:dyDescent="0.4">
      <c r="A1203" s="2">
        <f ca="1">IFERROR(__xludf.DUMMYFUNCTION("""COMPUTED_VALUE"""),45819.4573492824)</f>
        <v>45819.457349282398</v>
      </c>
      <c r="B1203" s="1" t="str">
        <f ca="1">IFERROR(__xludf.DUMMYFUNCTION("""COMPUTED_VALUE"""),"送修")</f>
        <v>送修</v>
      </c>
      <c r="C1203" s="1" t="str">
        <f ca="1">IFERROR(__xludf.DUMMYFUNCTION("""COMPUTED_VALUE"""),"A00100000731")</f>
        <v>A00100000731</v>
      </c>
      <c r="D1203" s="1" t="str">
        <f ca="1">IFERROR(__xludf.DUMMYFUNCTION("""COMPUTED_VALUE"""),"All/BA")</f>
        <v>All/BA</v>
      </c>
      <c r="E1203" s="1" t="str">
        <f ca="1">IFERROR(__xludf.DUMMYFUNCTION("""COMPUTED_VALUE"""),"p1/庫存")</f>
        <v>p1/庫存</v>
      </c>
      <c r="F1203" s="1">
        <f ca="1">IFERROR(__xludf.DUMMYFUNCTION("""COMPUTED_VALUE"""),1)</f>
        <v>1</v>
      </c>
      <c r="G1203" s="1" t="str">
        <f ca="1">IFERROR(__xludf.DUMMYFUNCTION("""COMPUTED_VALUE"""),"03F460")</f>
        <v>03F460</v>
      </c>
      <c r="H1203" s="1" t="str">
        <f ca="1">IFERROR(__xludf.DUMMYFUNCTION("""COMPUTED_VALUE"""),"P2_042")</f>
        <v>P2_042</v>
      </c>
      <c r="I1203" s="1" t="str">
        <f ca="1">IFERROR(__xludf.DUMMYFUNCTION("""COMPUTED_VALUE"""),"Simon")</f>
        <v>Simon</v>
      </c>
    </row>
    <row r="1204" spans="1:9" ht="12.7" x14ac:dyDescent="0.4">
      <c r="A1204" s="2">
        <f ca="1">IFERROR(__xludf.DUMMYFUNCTION("""COMPUTED_VALUE"""),45819.4581376851)</f>
        <v>45819.458137685098</v>
      </c>
      <c r="B1204" s="1" t="str">
        <f ca="1">IFERROR(__xludf.DUMMYFUNCTION("""COMPUTED_VALUE"""),"料件上線時間")</f>
        <v>料件上線時間</v>
      </c>
      <c r="C1204" s="1" t="str">
        <f ca="1">IFERROR(__xludf.DUMMYFUNCTION("""COMPUTED_VALUE"""),"A00100000731")</f>
        <v>A00100000731</v>
      </c>
      <c r="D1204" s="1" t="str">
        <f ca="1">IFERROR(__xludf.DUMMYFUNCTION("""COMPUTED_VALUE"""),"All/BA")</f>
        <v>All/BA</v>
      </c>
      <c r="E1204" s="1" t="str">
        <f ca="1">IFERROR(__xludf.DUMMYFUNCTION("""COMPUTED_VALUE"""),"p1/庫存")</f>
        <v>p1/庫存</v>
      </c>
      <c r="F1204" s="1">
        <f ca="1">IFERROR(__xludf.DUMMYFUNCTION("""COMPUTED_VALUE"""),1)</f>
        <v>1</v>
      </c>
      <c r="G1204" s="1" t="str">
        <f ca="1">IFERROR(__xludf.DUMMYFUNCTION("""COMPUTED_VALUE"""),"04F389")</f>
        <v>04F389</v>
      </c>
      <c r="H1204" s="1" t="str">
        <f ca="1">IFERROR(__xludf.DUMMYFUNCTION("""COMPUTED_VALUE"""),"P2_042")</f>
        <v>P2_042</v>
      </c>
      <c r="I1204" s="1" t="str">
        <f ca="1">IFERROR(__xludf.DUMMYFUNCTION("""COMPUTED_VALUE"""),"Simon")</f>
        <v>Simon</v>
      </c>
    </row>
    <row r="1205" spans="1:9" ht="12.7" x14ac:dyDescent="0.4">
      <c r="A1205" s="2">
        <f ca="1">IFERROR(__xludf.DUMMYFUNCTION("""COMPUTED_VALUE"""),45820.3894972222)</f>
        <v>45820.389497222197</v>
      </c>
      <c r="B1205" s="1" t="str">
        <f ca="1">IFERROR(__xludf.DUMMYFUNCTION("""COMPUTED_VALUE"""),"領料")</f>
        <v>領料</v>
      </c>
      <c r="C1205" s="1" t="str">
        <f ca="1">IFERROR(__xludf.DUMMYFUNCTION("""COMPUTED_VALUE"""),"ME0020000554")</f>
        <v>ME0020000554</v>
      </c>
      <c r="D1205" s="1" t="str">
        <f ca="1">IFERROR(__xludf.DUMMYFUNCTION("""COMPUTED_VALUE"""),"All/共用")</f>
        <v>All/共用</v>
      </c>
      <c r="E1205" s="1" t="str">
        <f ca="1">IFERROR(__xludf.DUMMYFUNCTION("""COMPUTED_VALUE"""),"p1/庫存")</f>
        <v>p1/庫存</v>
      </c>
      <c r="F1205" s="1">
        <f ca="1">IFERROR(__xludf.DUMMYFUNCTION("""COMPUTED_VALUE"""),1)</f>
        <v>1</v>
      </c>
      <c r="G1205" s="1"/>
      <c r="H1205" s="1" t="str">
        <f ca="1">IFERROR(__xludf.DUMMYFUNCTION("""COMPUTED_VALUE"""),"P1")</f>
        <v>P1</v>
      </c>
      <c r="I1205" s="1" t="str">
        <f ca="1">IFERROR(__xludf.DUMMYFUNCTION("""COMPUTED_VALUE"""),"Chiao Yu")</f>
        <v>Chiao Yu</v>
      </c>
    </row>
    <row r="1206" spans="1:9" ht="12.7" x14ac:dyDescent="0.4">
      <c r="A1206" s="2">
        <f ca="1">IFERROR(__xludf.DUMMYFUNCTION("""COMPUTED_VALUE"""),45820.4827021412)</f>
        <v>45820.482702141198</v>
      </c>
      <c r="B1206" s="1" t="str">
        <f ca="1">IFERROR(__xludf.DUMMYFUNCTION("""COMPUTED_VALUE"""),"庫存調整")</f>
        <v>庫存調整</v>
      </c>
      <c r="C1206" s="1" t="str">
        <f ca="1">IFERROR(__xludf.DUMMYFUNCTION("""COMPUTED_VALUE"""),"ME0030000058")</f>
        <v>ME0030000058</v>
      </c>
      <c r="D1206" s="1" t="str">
        <f ca="1">IFERROR(__xludf.DUMMYFUNCTION("""COMPUTED_VALUE"""),"All/共用")</f>
        <v>All/共用</v>
      </c>
      <c r="E1206" s="1" t="str">
        <f ca="1">IFERROR(__xludf.DUMMYFUNCTION("""COMPUTED_VALUE"""),"p1/庫存")</f>
        <v>p1/庫存</v>
      </c>
      <c r="F1206" s="1">
        <f ca="1">IFERROR(__xludf.DUMMYFUNCTION("""COMPUTED_VALUE"""),3)</f>
        <v>3</v>
      </c>
      <c r="G1206" s="1"/>
      <c r="H1206" s="1" t="str">
        <f ca="1">IFERROR(__xludf.DUMMYFUNCTION("""COMPUTED_VALUE"""),"P1")</f>
        <v>P1</v>
      </c>
      <c r="I1206" s="1" t="str">
        <f ca="1">IFERROR(__xludf.DUMMYFUNCTION("""COMPUTED_VALUE"""),"Chiao Yu")</f>
        <v>Chiao Yu</v>
      </c>
    </row>
    <row r="1207" spans="1:9" ht="12.7" x14ac:dyDescent="0.4">
      <c r="A1207" s="2">
        <f ca="1">IFERROR(__xludf.DUMMYFUNCTION("""COMPUTED_VALUE"""),45820.4837810995)</f>
        <v>45820.483781099501</v>
      </c>
      <c r="B1207" s="1" t="str">
        <f ca="1">IFERROR(__xludf.DUMMYFUNCTION("""COMPUTED_VALUE"""),"庫存調整")</f>
        <v>庫存調整</v>
      </c>
      <c r="C1207" s="1" t="str">
        <f ca="1">IFERROR(__xludf.DUMMYFUNCTION("""COMPUTED_VALUE"""),"ME0020000563")</f>
        <v>ME0020000563</v>
      </c>
      <c r="D1207" s="1" t="str">
        <f ca="1">IFERROR(__xludf.DUMMYFUNCTION("""COMPUTED_VALUE"""),"All/共用")</f>
        <v>All/共用</v>
      </c>
      <c r="E1207" s="1" t="str">
        <f ca="1">IFERROR(__xludf.DUMMYFUNCTION("""COMPUTED_VALUE"""),"p1/庫存")</f>
        <v>p1/庫存</v>
      </c>
      <c r="F1207" s="1">
        <f ca="1">IFERROR(__xludf.DUMMYFUNCTION("""COMPUTED_VALUE"""),3)</f>
        <v>3</v>
      </c>
      <c r="G1207" s="1"/>
      <c r="H1207" s="1" t="str">
        <f ca="1">IFERROR(__xludf.DUMMYFUNCTION("""COMPUTED_VALUE"""),"P1")</f>
        <v>P1</v>
      </c>
      <c r="I1207" s="1" t="str">
        <f ca="1">IFERROR(__xludf.DUMMYFUNCTION("""COMPUTED_VALUE"""),"Chiao Yu")</f>
        <v>Chiao Yu</v>
      </c>
    </row>
    <row r="1208" spans="1:9" ht="12.7" x14ac:dyDescent="0.4">
      <c r="A1208" s="2">
        <f ca="1">IFERROR(__xludf.DUMMYFUNCTION("""COMPUTED_VALUE"""),45820.4846729629)</f>
        <v>45820.484672962899</v>
      </c>
      <c r="B1208" s="1" t="str">
        <f ca="1">IFERROR(__xludf.DUMMYFUNCTION("""COMPUTED_VALUE"""),"領料")</f>
        <v>領料</v>
      </c>
      <c r="C1208" s="1" t="str">
        <f ca="1">IFERROR(__xludf.DUMMYFUNCTION("""COMPUTED_VALUE"""),"ME0020000563")</f>
        <v>ME0020000563</v>
      </c>
      <c r="D1208" s="1" t="str">
        <f ca="1">IFERROR(__xludf.DUMMYFUNCTION("""COMPUTED_VALUE"""),"All/共用")</f>
        <v>All/共用</v>
      </c>
      <c r="E1208" s="1" t="str">
        <f ca="1">IFERROR(__xludf.DUMMYFUNCTION("""COMPUTED_VALUE"""),"p1/庫存")</f>
        <v>p1/庫存</v>
      </c>
      <c r="F1208" s="1">
        <f ca="1">IFERROR(__xludf.DUMMYFUNCTION("""COMPUTED_VALUE"""),1)</f>
        <v>1</v>
      </c>
      <c r="G1208" s="1"/>
      <c r="H1208" s="1" t="str">
        <f ca="1">IFERROR(__xludf.DUMMYFUNCTION("""COMPUTED_VALUE"""),"P1")</f>
        <v>P1</v>
      </c>
      <c r="I1208" s="1" t="str">
        <f ca="1">IFERROR(__xludf.DUMMYFUNCTION("""COMPUTED_VALUE"""),"Chiao Yu")</f>
        <v>Chiao Yu</v>
      </c>
    </row>
    <row r="1209" spans="1:9" ht="12.7" x14ac:dyDescent="0.4">
      <c r="A1209" s="2">
        <f ca="1">IFERROR(__xludf.DUMMYFUNCTION("""COMPUTED_VALUE"""),45820.4853917013)</f>
        <v>45820.485391701302</v>
      </c>
      <c r="B1209" s="1" t="str">
        <f ca="1">IFERROR(__xludf.DUMMYFUNCTION("""COMPUTED_VALUE"""),"領料")</f>
        <v>領料</v>
      </c>
      <c r="C1209" s="1" t="str">
        <f ca="1">IFERROR(__xludf.DUMMYFUNCTION("""COMPUTED_VALUE"""),"ME0020000564")</f>
        <v>ME0020000564</v>
      </c>
      <c r="D1209" s="1" t="str">
        <f ca="1">IFERROR(__xludf.DUMMYFUNCTION("""COMPUTED_VALUE"""),"All/共用")</f>
        <v>All/共用</v>
      </c>
      <c r="E1209" s="1" t="str">
        <f ca="1">IFERROR(__xludf.DUMMYFUNCTION("""COMPUTED_VALUE"""),"p1/庫存")</f>
        <v>p1/庫存</v>
      </c>
      <c r="F1209" s="1">
        <f ca="1">IFERROR(__xludf.DUMMYFUNCTION("""COMPUTED_VALUE"""),1)</f>
        <v>1</v>
      </c>
      <c r="G1209" s="1"/>
      <c r="H1209" s="1" t="str">
        <f ca="1">IFERROR(__xludf.DUMMYFUNCTION("""COMPUTED_VALUE"""),"P1")</f>
        <v>P1</v>
      </c>
      <c r="I1209" s="1" t="str">
        <f ca="1">IFERROR(__xludf.DUMMYFUNCTION("""COMPUTED_VALUE"""),"Chiao Yu")</f>
        <v>Chiao Yu</v>
      </c>
    </row>
    <row r="1210" spans="1:9" ht="12.7" x14ac:dyDescent="0.4">
      <c r="A1210" s="2">
        <f ca="1">IFERROR(__xludf.DUMMYFUNCTION("""COMPUTED_VALUE"""),45820.6155110995)</f>
        <v>45820.615511099502</v>
      </c>
      <c r="B1210" s="1" t="str">
        <f ca="1">IFERROR(__xludf.DUMMYFUNCTION("""COMPUTED_VALUE"""),"領料")</f>
        <v>領料</v>
      </c>
      <c r="C1210" s="1" t="str">
        <f ca="1">IFERROR(__xludf.DUMMYFUNCTION("""COMPUTED_VALUE"""),"MM0260000259")</f>
        <v>MM0260000259</v>
      </c>
      <c r="D1210" s="1" t="str">
        <f ca="1">IFERROR(__xludf.DUMMYFUNCTION("""COMPUTED_VALUE"""),"All/SB")</f>
        <v>All/SB</v>
      </c>
      <c r="E1210" s="1" t="str">
        <f ca="1">IFERROR(__xludf.DUMMYFUNCTION("""COMPUTED_VALUE"""),"p2/庫存")</f>
        <v>p2/庫存</v>
      </c>
      <c r="F1210" s="1">
        <f ca="1">IFERROR(__xludf.DUMMYFUNCTION("""COMPUTED_VALUE"""),1)</f>
        <v>1</v>
      </c>
      <c r="G1210" s="1"/>
      <c r="H1210" s="1" t="str">
        <f ca="1">IFERROR(__xludf.DUMMYFUNCTION("""COMPUTED_VALUE"""),"P1_4008")</f>
        <v>P1_4008</v>
      </c>
      <c r="I1210" s="1" t="str">
        <f ca="1">IFERROR(__xludf.DUMMYFUNCTION("""COMPUTED_VALUE"""),"Barry")</f>
        <v>Barry</v>
      </c>
    </row>
    <row r="1211" spans="1:9" ht="12.7" x14ac:dyDescent="0.4">
      <c r="A1211" s="2">
        <f ca="1">IFERROR(__xludf.DUMMYFUNCTION("""COMPUTED_VALUE"""),45821.4010653356)</f>
        <v>45821.401065335602</v>
      </c>
      <c r="B1211" s="1" t="str">
        <f ca="1">IFERROR(__xludf.DUMMYFUNCTION("""COMPUTED_VALUE"""),"送修")</f>
        <v>送修</v>
      </c>
      <c r="C1211" s="1" t="str">
        <f ca="1">IFERROR(__xludf.DUMMYFUNCTION("""COMPUTED_VALUE"""),"ME0160000073")</f>
        <v>ME0160000073</v>
      </c>
      <c r="D1211" s="1" t="str">
        <f ca="1">IFERROR(__xludf.DUMMYFUNCTION("""COMPUTED_VALUE"""),"All/BA")</f>
        <v>All/BA</v>
      </c>
      <c r="E1211" s="1" t="str">
        <f ca="1">IFERROR(__xludf.DUMMYFUNCTION("""COMPUTED_VALUE"""),"p1/庫存")</f>
        <v>p1/庫存</v>
      </c>
      <c r="F1211" s="1">
        <f ca="1">IFERROR(__xludf.DUMMYFUNCTION("""COMPUTED_VALUE"""),1)</f>
        <v>1</v>
      </c>
      <c r="G1211" s="1" t="str">
        <f ca="1">IFERROR(__xludf.DUMMYFUNCTION("""COMPUTED_VALUE"""),"B2206364 ")</f>
        <v xml:space="preserve">B2206364 </v>
      </c>
      <c r="H1211" s="1" t="str">
        <f ca="1">IFERROR(__xludf.DUMMYFUNCTION("""COMPUTED_VALUE"""),"P1_013")</f>
        <v>P1_013</v>
      </c>
      <c r="I1211" s="1" t="str">
        <f ca="1">IFERROR(__xludf.DUMMYFUNCTION("""COMPUTED_VALUE"""),"Chiao Yu")</f>
        <v>Chiao Yu</v>
      </c>
    </row>
    <row r="1212" spans="1:9" ht="12.7" x14ac:dyDescent="0.4">
      <c r="A1212" s="2">
        <f ca="1">IFERROR(__xludf.DUMMYFUNCTION("""COMPUTED_VALUE"""),45821.4016393981)</f>
        <v>45821.4016393981</v>
      </c>
      <c r="B1212" s="1" t="str">
        <f ca="1">IFERROR(__xludf.DUMMYFUNCTION("""COMPUTED_VALUE"""),"料件上線時間")</f>
        <v>料件上線時間</v>
      </c>
      <c r="C1212" s="1" t="str">
        <f ca="1">IFERROR(__xludf.DUMMYFUNCTION("""COMPUTED_VALUE"""),"ME0160000073")</f>
        <v>ME0160000073</v>
      </c>
      <c r="D1212" s="1" t="str">
        <f ca="1">IFERROR(__xludf.DUMMYFUNCTION("""COMPUTED_VALUE"""),"All/BA")</f>
        <v>All/BA</v>
      </c>
      <c r="E1212" s="1" t="str">
        <f ca="1">IFERROR(__xludf.DUMMYFUNCTION("""COMPUTED_VALUE"""),"p1/庫存")</f>
        <v>p1/庫存</v>
      </c>
      <c r="F1212" s="1">
        <f ca="1">IFERROR(__xludf.DUMMYFUNCTION("""COMPUTED_VALUE"""),1)</f>
        <v>1</v>
      </c>
      <c r="G1212" s="1" t="str">
        <f ca="1">IFERROR(__xludf.DUMMYFUNCTION("""COMPUTED_VALUE"""),"B2206367")</f>
        <v>B2206367</v>
      </c>
      <c r="H1212" s="1" t="str">
        <f ca="1">IFERROR(__xludf.DUMMYFUNCTION("""COMPUTED_VALUE"""),"P1_013")</f>
        <v>P1_013</v>
      </c>
      <c r="I1212" s="1" t="str">
        <f ca="1">IFERROR(__xludf.DUMMYFUNCTION("""COMPUTED_VALUE"""),"Chiao Yu")</f>
        <v>Chiao Yu</v>
      </c>
    </row>
    <row r="1213" spans="1:9" ht="12.7" x14ac:dyDescent="0.4">
      <c r="A1213" s="2">
        <f ca="1">IFERROR(__xludf.DUMMYFUNCTION("""COMPUTED_VALUE"""),45823.5720671412)</f>
        <v>45823.572067141198</v>
      </c>
      <c r="B1213" s="1" t="str">
        <f ca="1">IFERROR(__xludf.DUMMYFUNCTION("""COMPUTED_VALUE"""),"領料")</f>
        <v>領料</v>
      </c>
      <c r="C1213" s="1" t="str">
        <f ca="1">IFERROR(__xludf.DUMMYFUNCTION("""COMPUTED_VALUE"""),"AGT000000005")</f>
        <v>AGT000000005</v>
      </c>
      <c r="D1213" s="1" t="str">
        <f ca="1">IFERROR(__xludf.DUMMYFUNCTION("""COMPUTED_VALUE"""),"All/共用")</f>
        <v>All/共用</v>
      </c>
      <c r="E1213" s="1" t="str">
        <f ca="1">IFERROR(__xludf.DUMMYFUNCTION("""COMPUTED_VALUE"""),"p1/庫存")</f>
        <v>p1/庫存</v>
      </c>
      <c r="F1213" s="1">
        <f ca="1">IFERROR(__xludf.DUMMYFUNCTION("""COMPUTED_VALUE"""),1)</f>
        <v>1</v>
      </c>
      <c r="G1213" s="1"/>
      <c r="H1213" s="1" t="str">
        <f ca="1">IFERROR(__xludf.DUMMYFUNCTION("""COMPUTED_VALUE"""),"P1")</f>
        <v>P1</v>
      </c>
      <c r="I1213" s="1" t="str">
        <f ca="1">IFERROR(__xludf.DUMMYFUNCTION("""COMPUTED_VALUE"""),"Uri")</f>
        <v>Uri</v>
      </c>
    </row>
    <row r="1214" spans="1:9" ht="12.7" x14ac:dyDescent="0.4">
      <c r="A1214" s="2">
        <f ca="1">IFERROR(__xludf.DUMMYFUNCTION("""COMPUTED_VALUE"""),45824.3364673958)</f>
        <v>45824.336467395799</v>
      </c>
      <c r="B1214" s="1" t="str">
        <f ca="1">IFERROR(__xludf.DUMMYFUNCTION("""COMPUTED_VALUE"""),"領料")</f>
        <v>領料</v>
      </c>
      <c r="C1214" s="1" t="str">
        <f ca="1">IFERROR(__xludf.DUMMYFUNCTION("""COMPUTED_VALUE"""),"AGT000000009")</f>
        <v>AGT000000009</v>
      </c>
      <c r="D1214" s="1" t="str">
        <f ca="1">IFERROR(__xludf.DUMMYFUNCTION("""COMPUTED_VALUE"""),"All/共用")</f>
        <v>All/共用</v>
      </c>
      <c r="E1214" s="1" t="str">
        <f ca="1">IFERROR(__xludf.DUMMYFUNCTION("""COMPUTED_VALUE"""),"p2/庫存")</f>
        <v>p2/庫存</v>
      </c>
      <c r="F1214" s="1">
        <f ca="1">IFERROR(__xludf.DUMMYFUNCTION("""COMPUTED_VALUE"""),1)</f>
        <v>1</v>
      </c>
      <c r="G1214" s="1"/>
      <c r="H1214" s="1" t="str">
        <f ca="1">IFERROR(__xludf.DUMMYFUNCTION("""COMPUTED_VALUE"""),"P1")</f>
        <v>P1</v>
      </c>
      <c r="I1214" s="1" t="str">
        <f ca="1">IFERROR(__xludf.DUMMYFUNCTION("""COMPUTED_VALUE"""),"Nick")</f>
        <v>Nick</v>
      </c>
    </row>
    <row r="1215" spans="1:9" ht="12.7" x14ac:dyDescent="0.4">
      <c r="A1215" s="2">
        <f ca="1">IFERROR(__xludf.DUMMYFUNCTION("""COMPUTED_VALUE"""),45824.3369808333)</f>
        <v>45824.336980833301</v>
      </c>
      <c r="B1215" s="1" t="str">
        <f ca="1">IFERROR(__xludf.DUMMYFUNCTION("""COMPUTED_VALUE"""),"領料")</f>
        <v>領料</v>
      </c>
      <c r="C1215" s="1" t="str">
        <f ca="1">IFERROR(__xludf.DUMMYFUNCTION("""COMPUTED_VALUE"""),"AGT000000010")</f>
        <v>AGT000000010</v>
      </c>
      <c r="D1215" s="1" t="str">
        <f ca="1">IFERROR(__xludf.DUMMYFUNCTION("""COMPUTED_VALUE"""),"All/共用")</f>
        <v>All/共用</v>
      </c>
      <c r="E1215" s="1" t="str">
        <f ca="1">IFERROR(__xludf.DUMMYFUNCTION("""COMPUTED_VALUE"""),"p2/庫存")</f>
        <v>p2/庫存</v>
      </c>
      <c r="F1215" s="1">
        <f ca="1">IFERROR(__xludf.DUMMYFUNCTION("""COMPUTED_VALUE"""),1)</f>
        <v>1</v>
      </c>
      <c r="G1215" s="1"/>
      <c r="H1215" s="1" t="str">
        <f ca="1">IFERROR(__xludf.DUMMYFUNCTION("""COMPUTED_VALUE"""),"P1")</f>
        <v>P1</v>
      </c>
      <c r="I1215" s="1" t="str">
        <f ca="1">IFERROR(__xludf.DUMMYFUNCTION("""COMPUTED_VALUE"""),"Nick")</f>
        <v>Nick</v>
      </c>
    </row>
    <row r="1216" spans="1:9" ht="12.7" x14ac:dyDescent="0.4">
      <c r="A1216" s="2">
        <f ca="1">IFERROR(__xludf.DUMMYFUNCTION("""COMPUTED_VALUE"""),45824.3406161689)</f>
        <v>45824.340616168898</v>
      </c>
      <c r="B1216" s="1" t="str">
        <f ca="1">IFERROR(__xludf.DUMMYFUNCTION("""COMPUTED_VALUE"""),"領料")</f>
        <v>領料</v>
      </c>
      <c r="C1216" s="1" t="str">
        <f ca="1">IFERROR(__xludf.DUMMYFUNCTION("""COMPUTED_VALUE"""),"MM0260000259")</f>
        <v>MM0260000259</v>
      </c>
      <c r="D1216" s="1" t="str">
        <f ca="1">IFERROR(__xludf.DUMMYFUNCTION("""COMPUTED_VALUE"""),"All/SB")</f>
        <v>All/SB</v>
      </c>
      <c r="E1216" s="1" t="str">
        <f ca="1">IFERROR(__xludf.DUMMYFUNCTION("""COMPUTED_VALUE"""),"p2/庫存")</f>
        <v>p2/庫存</v>
      </c>
      <c r="F1216" s="1">
        <f ca="1">IFERROR(__xludf.DUMMYFUNCTION("""COMPUTED_VALUE"""),1)</f>
        <v>1</v>
      </c>
      <c r="G1216" s="1"/>
      <c r="H1216" s="1" t="str">
        <f ca="1">IFERROR(__xludf.DUMMYFUNCTION("""COMPUTED_VALUE"""),"P2_9001")</f>
        <v>P2_9001</v>
      </c>
      <c r="I1216" s="1" t="str">
        <f ca="1">IFERROR(__xludf.DUMMYFUNCTION("""COMPUTED_VALUE"""),"Nick")</f>
        <v>Nick</v>
      </c>
    </row>
    <row r="1217" spans="1:9" ht="12.7" x14ac:dyDescent="0.4">
      <c r="A1217" s="2">
        <f ca="1">IFERROR(__xludf.DUMMYFUNCTION("""COMPUTED_VALUE"""),45824.4361530555)</f>
        <v>45824.436153055503</v>
      </c>
      <c r="B1217" s="1" t="str">
        <f ca="1">IFERROR(__xludf.DUMMYFUNCTION("""COMPUTED_VALUE"""),"領料")</f>
        <v>領料</v>
      </c>
      <c r="C1217" s="1" t="str">
        <f ca="1">IFERROR(__xludf.DUMMYFUNCTION("""COMPUTED_VALUE"""),"AGT000000009")</f>
        <v>AGT000000009</v>
      </c>
      <c r="D1217" s="1" t="str">
        <f ca="1">IFERROR(__xludf.DUMMYFUNCTION("""COMPUTED_VALUE"""),"All/共用")</f>
        <v>All/共用</v>
      </c>
      <c r="E1217" s="1" t="str">
        <f ca="1">IFERROR(__xludf.DUMMYFUNCTION("""COMPUTED_VALUE"""),"p1/庫存")</f>
        <v>p1/庫存</v>
      </c>
      <c r="F1217" s="1">
        <f ca="1">IFERROR(__xludf.DUMMYFUNCTION("""COMPUTED_VALUE"""),1)</f>
        <v>1</v>
      </c>
      <c r="G1217" s="1"/>
      <c r="H1217" s="1" t="str">
        <f ca="1">IFERROR(__xludf.DUMMYFUNCTION("""COMPUTED_VALUE"""),"P1")</f>
        <v>P1</v>
      </c>
      <c r="I1217" s="1" t="str">
        <f ca="1">IFERROR(__xludf.DUMMYFUNCTION("""COMPUTED_VALUE"""),"Simon")</f>
        <v>Simon</v>
      </c>
    </row>
    <row r="1218" spans="1:9" ht="12.7" x14ac:dyDescent="0.4">
      <c r="A1218" s="2">
        <f ca="1">IFERROR(__xludf.DUMMYFUNCTION("""COMPUTED_VALUE"""),45825.4608122916)</f>
        <v>45825.460812291603</v>
      </c>
      <c r="B1218" s="1" t="str">
        <f ca="1">IFERROR(__xludf.DUMMYFUNCTION("""COMPUTED_VALUE"""),"領料")</f>
        <v>領料</v>
      </c>
      <c r="C1218" s="1" t="str">
        <f ca="1">IFERROR(__xludf.DUMMYFUNCTION("""COMPUTED_VALUE"""),"ME0270001045")</f>
        <v>ME0270001045</v>
      </c>
      <c r="D1218" s="1" t="str">
        <f ca="1">IFERROR(__xludf.DUMMYFUNCTION("""COMPUTED_VALUE"""),"All/共用")</f>
        <v>All/共用</v>
      </c>
      <c r="E1218" s="1" t="str">
        <f ca="1">IFERROR(__xludf.DUMMYFUNCTION("""COMPUTED_VALUE"""),"p1/庫存")</f>
        <v>p1/庫存</v>
      </c>
      <c r="F1218" s="1">
        <f ca="1">IFERROR(__xludf.DUMMYFUNCTION("""COMPUTED_VALUE"""),19)</f>
        <v>19</v>
      </c>
      <c r="G1218" s="1"/>
      <c r="H1218" s="1" t="str">
        <f ca="1">IFERROR(__xludf.DUMMYFUNCTION("""COMPUTED_VALUE"""),"P1")</f>
        <v>P1</v>
      </c>
      <c r="I1218" s="1" t="str">
        <f ca="1">IFERROR(__xludf.DUMMYFUNCTION("""COMPUTED_VALUE"""),"Chiao Yu")</f>
        <v>Chiao Yu</v>
      </c>
    </row>
    <row r="1219" spans="1:9" ht="12.7" x14ac:dyDescent="0.4">
      <c r="A1219" s="2">
        <f ca="1">IFERROR(__xludf.DUMMYFUNCTION("""COMPUTED_VALUE"""),45826.5687026967)</f>
        <v>45826.568702696699</v>
      </c>
      <c r="B1219" s="1" t="str">
        <f ca="1">IFERROR(__xludf.DUMMYFUNCTION("""COMPUTED_VALUE"""),"領料")</f>
        <v>領料</v>
      </c>
      <c r="C1219" s="1" t="str">
        <f ca="1">IFERROR(__xludf.DUMMYFUNCTION("""COMPUTED_VALUE"""),"MM0260000266")</f>
        <v>MM0260000266</v>
      </c>
      <c r="D1219" s="1" t="str">
        <f ca="1">IFERROR(__xludf.DUMMYFUNCTION("""COMPUTED_VALUE"""),"All/BA")</f>
        <v>All/BA</v>
      </c>
      <c r="E1219" s="1" t="str">
        <f ca="1">IFERROR(__xludf.DUMMYFUNCTION("""COMPUTED_VALUE"""),"p2/庫存")</f>
        <v>p2/庫存</v>
      </c>
      <c r="F1219" s="1">
        <f ca="1">IFERROR(__xludf.DUMMYFUNCTION("""COMPUTED_VALUE"""),5)</f>
        <v>5</v>
      </c>
      <c r="G1219" s="1"/>
      <c r="H1219" s="1" t="str">
        <f ca="1">IFERROR(__xludf.DUMMYFUNCTION("""COMPUTED_VALUE"""),"P2_11002")</f>
        <v>P2_11002</v>
      </c>
      <c r="I1219" s="1" t="str">
        <f ca="1">IFERROR(__xludf.DUMMYFUNCTION("""COMPUTED_VALUE"""),"Barry")</f>
        <v>Barry</v>
      </c>
    </row>
    <row r="1220" spans="1:9" ht="12.7" x14ac:dyDescent="0.4">
      <c r="A1220" s="2">
        <f ca="1">IFERROR(__xludf.DUMMYFUNCTION("""COMPUTED_VALUE"""),45829.2788348263)</f>
        <v>45829.278834826298</v>
      </c>
      <c r="B1220" s="1" t="str">
        <f ca="1">IFERROR(__xludf.DUMMYFUNCTION("""COMPUTED_VALUE"""),"送修")</f>
        <v>送修</v>
      </c>
      <c r="C1220" s="1" t="str">
        <f ca="1">IFERROR(__xludf.DUMMYFUNCTION("""COMPUTED_VALUE"""),"ME0020000592")</f>
        <v>ME0020000592</v>
      </c>
      <c r="D1220" s="1" t="str">
        <f ca="1">IFERROR(__xludf.DUMMYFUNCTION("""COMPUTED_VALUE"""),"All/共用")</f>
        <v>All/共用</v>
      </c>
      <c r="E1220" s="1" t="str">
        <f ca="1">IFERROR(__xludf.DUMMYFUNCTION("""COMPUTED_VALUE"""),"p1/庫存")</f>
        <v>p1/庫存</v>
      </c>
      <c r="F1220" s="1">
        <f ca="1">IFERROR(__xludf.DUMMYFUNCTION("""COMPUTED_VALUE"""),0)</f>
        <v>0</v>
      </c>
      <c r="G1220" s="1" t="str">
        <f ca="1">IFERROR(__xludf.DUMMYFUNCTION("""COMPUTED_VALUE"""),"R9PT6152VQE")</f>
        <v>R9PT6152VQE</v>
      </c>
      <c r="H1220" s="1" t="str">
        <f ca="1">IFERROR(__xludf.DUMMYFUNCTION("""COMPUTED_VALUE"""),"P1_016")</f>
        <v>P1_016</v>
      </c>
      <c r="I1220" s="1" t="str">
        <f ca="1">IFERROR(__xludf.DUMMYFUNCTION("""COMPUTED_VALUE"""),"Jason")</f>
        <v>Jason</v>
      </c>
    </row>
    <row r="1221" spans="1:9" ht="12.7" x14ac:dyDescent="0.4">
      <c r="A1221" s="2">
        <f ca="1">IFERROR(__xludf.DUMMYFUNCTION("""COMPUTED_VALUE"""),45829.3430121643)</f>
        <v>45829.343012164303</v>
      </c>
      <c r="B1221" s="1" t="str">
        <f ca="1">IFERROR(__xludf.DUMMYFUNCTION("""COMPUTED_VALUE"""),"料件上線時間")</f>
        <v>料件上線時間</v>
      </c>
      <c r="C1221" s="1" t="str">
        <f ca="1">IFERROR(__xludf.DUMMYFUNCTION("""COMPUTED_VALUE"""),"ME0020000592")</f>
        <v>ME0020000592</v>
      </c>
      <c r="D1221" s="1" t="str">
        <f ca="1">IFERROR(__xludf.DUMMYFUNCTION("""COMPUTED_VALUE"""),"All/共用")</f>
        <v>All/共用</v>
      </c>
      <c r="E1221" s="1" t="str">
        <f ca="1">IFERROR(__xludf.DUMMYFUNCTION("""COMPUTED_VALUE"""),"p1/庫存")</f>
        <v>p1/庫存</v>
      </c>
      <c r="F1221" s="1">
        <f ca="1">IFERROR(__xludf.DUMMYFUNCTION("""COMPUTED_VALUE"""),1)</f>
        <v>1</v>
      </c>
      <c r="G1221" s="1" t="str">
        <f ca="1">IFERROR(__xludf.DUMMYFUNCTION("""COMPUTED_VALUE"""),"R9PTA0K0GHZ")</f>
        <v>R9PTA0K0GHZ</v>
      </c>
      <c r="H1221" s="1" t="str">
        <f ca="1">IFERROR(__xludf.DUMMYFUNCTION("""COMPUTED_VALUE"""),"P1_016")</f>
        <v>P1_016</v>
      </c>
      <c r="I1221" s="1" t="str">
        <f ca="1">IFERROR(__xludf.DUMMYFUNCTION("""COMPUTED_VALUE"""),"Jason")</f>
        <v>Jason</v>
      </c>
    </row>
    <row r="1222" spans="1:9" ht="12.7" x14ac:dyDescent="0.4">
      <c r="A1222" s="2">
        <f ca="1">IFERROR(__xludf.DUMMYFUNCTION("""COMPUTED_VALUE"""),45831.296700706)</f>
        <v>45831.296700706</v>
      </c>
      <c r="B1222" s="1" t="str">
        <f ca="1">IFERROR(__xludf.DUMMYFUNCTION("""COMPUTED_VALUE"""),"領料")</f>
        <v>領料</v>
      </c>
      <c r="C1222" s="1" t="str">
        <f ca="1">IFERROR(__xludf.DUMMYFUNCTION("""COMPUTED_VALUE"""),"MM0260000077")</f>
        <v>MM0260000077</v>
      </c>
      <c r="D1222" s="1" t="str">
        <f ca="1">IFERROR(__xludf.DUMMYFUNCTION("""COMPUTED_VALUE"""),"All/BA")</f>
        <v>All/BA</v>
      </c>
      <c r="E1222" s="1" t="str">
        <f ca="1">IFERROR(__xludf.DUMMYFUNCTION("""COMPUTED_VALUE"""),"p2/庫存")</f>
        <v>p2/庫存</v>
      </c>
      <c r="F1222" s="1">
        <f ca="1">IFERROR(__xludf.DUMMYFUNCTION("""COMPUTED_VALUE"""),56)</f>
        <v>56</v>
      </c>
      <c r="G1222" s="1"/>
      <c r="H1222" s="1" t="str">
        <f ca="1">IFERROR(__xludf.DUMMYFUNCTION("""COMPUTED_VALUE"""),"P2")</f>
        <v>P2</v>
      </c>
      <c r="I1222" s="1" t="str">
        <f ca="1">IFERROR(__xludf.DUMMYFUNCTION("""COMPUTED_VALUE"""),"Nick")</f>
        <v>Nick</v>
      </c>
    </row>
    <row r="1223" spans="1:9" ht="12.7" x14ac:dyDescent="0.4">
      <c r="A1223" s="2">
        <f ca="1">IFERROR(__xludf.DUMMYFUNCTION("""COMPUTED_VALUE"""),45831.723787743)</f>
        <v>45831.723787743002</v>
      </c>
      <c r="B1223" s="1" t="str">
        <f ca="1">IFERROR(__xludf.DUMMYFUNCTION("""COMPUTED_VALUE"""),"送修")</f>
        <v>送修</v>
      </c>
      <c r="C1223" s="1" t="str">
        <f ca="1">IFERROR(__xludf.DUMMYFUNCTION("""COMPUTED_VALUE"""),"ME0020000637")</f>
        <v>ME0020000637</v>
      </c>
      <c r="D1223" s="1" t="str">
        <f ca="1">IFERROR(__xludf.DUMMYFUNCTION("""COMPUTED_VALUE"""),"All/共用")</f>
        <v>All/共用</v>
      </c>
      <c r="E1223" s="1" t="str">
        <f ca="1">IFERROR(__xludf.DUMMYFUNCTION("""COMPUTED_VALUE"""),"p1/庫存")</f>
        <v>p1/庫存</v>
      </c>
      <c r="F1223" s="1">
        <f ca="1">IFERROR(__xludf.DUMMYFUNCTION("""COMPUTED_VALUE"""),1)</f>
        <v>1</v>
      </c>
      <c r="G1223" s="1"/>
      <c r="H1223" s="1" t="str">
        <f ca="1">IFERROR(__xludf.DUMMYFUNCTION("""COMPUTED_VALUE"""),"42W0A037FEHE")</f>
        <v>42W0A037FEHE</v>
      </c>
      <c r="I1223" s="1" t="str">
        <f ca="1">IFERROR(__xludf.DUMMYFUNCTION("""COMPUTED_VALUE"""),"Simon")</f>
        <v>Simon</v>
      </c>
    </row>
    <row r="1224" spans="1:9" ht="12.7" x14ac:dyDescent="0.4">
      <c r="A1224" s="2">
        <f ca="1">IFERROR(__xludf.DUMMYFUNCTION("""COMPUTED_VALUE"""),45831.7244302199)</f>
        <v>45831.724430219903</v>
      </c>
      <c r="B1224" s="1" t="str">
        <f ca="1">IFERROR(__xludf.DUMMYFUNCTION("""COMPUTED_VALUE"""),"料件上線時間")</f>
        <v>料件上線時間</v>
      </c>
      <c r="C1224" s="1" t="str">
        <f ca="1">IFERROR(__xludf.DUMMYFUNCTION("""COMPUTED_VALUE"""),"ME0020000637")</f>
        <v>ME0020000637</v>
      </c>
      <c r="D1224" s="1" t="str">
        <f ca="1">IFERROR(__xludf.DUMMYFUNCTION("""COMPUTED_VALUE"""),"All/共用")</f>
        <v>All/共用</v>
      </c>
      <c r="E1224" s="1" t="str">
        <f ca="1">IFERROR(__xludf.DUMMYFUNCTION("""COMPUTED_VALUE"""),"p1/庫存")</f>
        <v>p1/庫存</v>
      </c>
      <c r="F1224" s="1">
        <f ca="1">IFERROR(__xludf.DUMMYFUNCTION("""COMPUTED_VALUE"""),1)</f>
        <v>1</v>
      </c>
      <c r="G1224" s="1" t="str">
        <f ca="1">IFERROR(__xludf.DUMMYFUNCTION("""COMPUTED_VALUE"""),"待補")</f>
        <v>待補</v>
      </c>
      <c r="H1224" s="1" t="str">
        <f ca="1">IFERROR(__xludf.DUMMYFUNCTION("""COMPUTED_VALUE"""),"P1")</f>
        <v>P1</v>
      </c>
      <c r="I1224" s="1" t="str">
        <f ca="1">IFERROR(__xludf.DUMMYFUNCTION("""COMPUTED_VALUE"""),"Simon")</f>
        <v>Simon</v>
      </c>
    </row>
    <row r="1225" spans="1:9" ht="12.7" x14ac:dyDescent="0.4">
      <c r="A1225" s="2">
        <f ca="1">IFERROR(__xludf.DUMMYFUNCTION("""COMPUTED_VALUE"""),45832.7443029629)</f>
        <v>45832.744302962899</v>
      </c>
      <c r="B1225" s="1" t="str">
        <f ca="1">IFERROR(__xludf.DUMMYFUNCTION("""COMPUTED_VALUE"""),"領料")</f>
        <v>領料</v>
      </c>
      <c r="C1225" s="1" t="str">
        <f ca="1">IFERROR(__xludf.DUMMYFUNCTION("""COMPUTED_VALUE"""),"ME0120000048")</f>
        <v>ME0120000048</v>
      </c>
      <c r="D1225" s="1" t="str">
        <f ca="1">IFERROR(__xludf.DUMMYFUNCTION("""COMPUTED_VALUE"""),"All/共用")</f>
        <v>All/共用</v>
      </c>
      <c r="E1225" s="1" t="str">
        <f ca="1">IFERROR(__xludf.DUMMYFUNCTION("""COMPUTED_VALUE"""),"p1/庫存")</f>
        <v>p1/庫存</v>
      </c>
      <c r="F1225" s="1">
        <f ca="1">IFERROR(__xludf.DUMMYFUNCTION("""COMPUTED_VALUE"""),1)</f>
        <v>1</v>
      </c>
      <c r="G1225" s="1"/>
      <c r="H1225" s="1" t="str">
        <f ca="1">IFERROR(__xludf.DUMMYFUNCTION("""COMPUTED_VALUE"""),"P1")</f>
        <v>P1</v>
      </c>
      <c r="I1225" s="1" t="str">
        <f ca="1">IFERROR(__xludf.DUMMYFUNCTION("""COMPUTED_VALUE"""),"Chiao Yu")</f>
        <v>Chiao Yu</v>
      </c>
    </row>
    <row r="1226" spans="1:9" ht="12.7" x14ac:dyDescent="0.4">
      <c r="A1226" s="2">
        <f ca="1">IFERROR(__xludf.DUMMYFUNCTION("""COMPUTED_VALUE"""),45834.469216574)</f>
        <v>45834.469216573998</v>
      </c>
      <c r="B1226" s="1" t="str">
        <f ca="1">IFERROR(__xludf.DUMMYFUNCTION("""COMPUTED_VALUE"""),"進貨")</f>
        <v>進貨</v>
      </c>
      <c r="C1226" s="1" t="str">
        <f ca="1">IFERROR(__xludf.DUMMYFUNCTION("""COMPUTED_VALUE"""),"A00700000862")</f>
        <v>A00700000862</v>
      </c>
      <c r="D1226" s="1" t="str">
        <f ca="1">IFERROR(__xludf.DUMMYFUNCTION("""COMPUTED_VALUE"""),"All/SB")</f>
        <v>All/SB</v>
      </c>
      <c r="E1226" s="1" t="str">
        <f ca="1">IFERROR(__xludf.DUMMYFUNCTION("""COMPUTED_VALUE"""),"p1/庫存")</f>
        <v>p1/庫存</v>
      </c>
      <c r="F1226" s="1">
        <f ca="1">IFERROR(__xludf.DUMMYFUNCTION("""COMPUTED_VALUE"""),3)</f>
        <v>3</v>
      </c>
      <c r="G1226" s="1"/>
      <c r="H1226" s="1" t="str">
        <f ca="1">IFERROR(__xludf.DUMMYFUNCTION("""COMPUTED_VALUE"""),"P1")</f>
        <v>P1</v>
      </c>
      <c r="I1226" s="1" t="str">
        <f ca="1">IFERROR(__xludf.DUMMYFUNCTION("""COMPUTED_VALUE"""),"Simon")</f>
        <v>Simon</v>
      </c>
    </row>
    <row r="1227" spans="1:9" ht="12.7" x14ac:dyDescent="0.4">
      <c r="A1227" s="2">
        <f ca="1">IFERROR(__xludf.DUMMYFUNCTION("""COMPUTED_VALUE"""),45834.469808287)</f>
        <v>45834.469808287002</v>
      </c>
      <c r="B1227" s="1" t="str">
        <f ca="1">IFERROR(__xludf.DUMMYFUNCTION("""COMPUTED_VALUE"""),"進貨")</f>
        <v>進貨</v>
      </c>
      <c r="C1227" s="1" t="str">
        <f ca="1">IFERROR(__xludf.DUMMYFUNCTION("""COMPUTED_VALUE"""),"A00700000862")</f>
        <v>A00700000862</v>
      </c>
      <c r="D1227" s="1" t="str">
        <f ca="1">IFERROR(__xludf.DUMMYFUNCTION("""COMPUTED_VALUE"""),"All/SB")</f>
        <v>All/SB</v>
      </c>
      <c r="E1227" s="1" t="str">
        <f ca="1">IFERROR(__xludf.DUMMYFUNCTION("""COMPUTED_VALUE"""),"p2/庫存")</f>
        <v>p2/庫存</v>
      </c>
      <c r="F1227" s="1">
        <f ca="1">IFERROR(__xludf.DUMMYFUNCTION("""COMPUTED_VALUE"""),3)</f>
        <v>3</v>
      </c>
      <c r="G1227" s="1"/>
      <c r="H1227" s="1" t="str">
        <f ca="1">IFERROR(__xludf.DUMMYFUNCTION("""COMPUTED_VALUE"""),"P2")</f>
        <v>P2</v>
      </c>
      <c r="I1227" s="1" t="str">
        <f ca="1">IFERROR(__xludf.DUMMYFUNCTION("""COMPUTED_VALUE"""),"Simon")</f>
        <v>Simon</v>
      </c>
    </row>
    <row r="1228" spans="1:9" ht="12.7" x14ac:dyDescent="0.4">
      <c r="A1228" s="2">
        <f ca="1">IFERROR(__xludf.DUMMYFUNCTION("""COMPUTED_VALUE"""),45834.4709197106)</f>
        <v>45834.470919710599</v>
      </c>
      <c r="B1228" s="1" t="str">
        <f ca="1">IFERROR(__xludf.DUMMYFUNCTION("""COMPUTED_VALUE"""),"進貨")</f>
        <v>進貨</v>
      </c>
      <c r="C1228" s="1" t="str">
        <f ca="1">IFERROR(__xludf.DUMMYFUNCTION("""COMPUTED_VALUE"""),"MM0260000259")</f>
        <v>MM0260000259</v>
      </c>
      <c r="D1228" s="1" t="str">
        <f ca="1">IFERROR(__xludf.DUMMYFUNCTION("""COMPUTED_VALUE"""),"All/SB")</f>
        <v>All/SB</v>
      </c>
      <c r="E1228" s="1" t="str">
        <f ca="1">IFERROR(__xludf.DUMMYFUNCTION("""COMPUTED_VALUE"""),"p2/庫存")</f>
        <v>p2/庫存</v>
      </c>
      <c r="F1228" s="1">
        <f ca="1">IFERROR(__xludf.DUMMYFUNCTION("""COMPUTED_VALUE"""),4)</f>
        <v>4</v>
      </c>
      <c r="G1228" s="1"/>
      <c r="H1228" s="1" t="str">
        <f ca="1">IFERROR(__xludf.DUMMYFUNCTION("""COMPUTED_VALUE"""),"P2")</f>
        <v>P2</v>
      </c>
      <c r="I1228" s="1" t="str">
        <f ca="1">IFERROR(__xludf.DUMMYFUNCTION("""COMPUTED_VALUE"""),"Simon")</f>
        <v>Simon</v>
      </c>
    </row>
    <row r="1229" spans="1:9" ht="12.7" x14ac:dyDescent="0.4">
      <c r="A1229" s="2">
        <f ca="1">IFERROR(__xludf.DUMMYFUNCTION("""COMPUTED_VALUE"""),45834.7061202546)</f>
        <v>45834.706120254603</v>
      </c>
      <c r="B1229" s="1" t="str">
        <f ca="1">IFERROR(__xludf.DUMMYFUNCTION("""COMPUTED_VALUE"""),"庫存調整")</f>
        <v>庫存調整</v>
      </c>
      <c r="C1229" s="1" t="str">
        <f ca="1">IFERROR(__xludf.DUMMYFUNCTION("""COMPUTED_VALUE"""),"A00700000862")</f>
        <v>A00700000862</v>
      </c>
      <c r="D1229" s="1" t="str">
        <f ca="1">IFERROR(__xludf.DUMMYFUNCTION("""COMPUTED_VALUE"""),"All/SB")</f>
        <v>All/SB</v>
      </c>
      <c r="E1229" s="1" t="str">
        <f ca="1">IFERROR(__xludf.DUMMYFUNCTION("""COMPUTED_VALUE"""),"p1/庫存")</f>
        <v>p1/庫存</v>
      </c>
      <c r="F1229" s="1">
        <f ca="1">IFERROR(__xludf.DUMMYFUNCTION("""COMPUTED_VALUE"""),-8)</f>
        <v>-8</v>
      </c>
      <c r="G1229" s="1"/>
      <c r="H1229" s="1" t="str">
        <f ca="1">IFERROR(__xludf.DUMMYFUNCTION("""COMPUTED_VALUE"""),"P1")</f>
        <v>P1</v>
      </c>
      <c r="I1229" s="1" t="str">
        <f ca="1">IFERROR(__xludf.DUMMYFUNCTION("""COMPUTED_VALUE"""),"Chiao Yu")</f>
        <v>Chiao Yu</v>
      </c>
    </row>
    <row r="1230" spans="1:9" ht="12.7" x14ac:dyDescent="0.4">
      <c r="A1230" s="2">
        <f ca="1">IFERROR(__xludf.DUMMYFUNCTION("""COMPUTED_VALUE"""),45834.7064362963)</f>
        <v>45834.706436296299</v>
      </c>
      <c r="B1230" s="1" t="str">
        <f ca="1">IFERROR(__xludf.DUMMYFUNCTION("""COMPUTED_VALUE"""),"庫存調整")</f>
        <v>庫存調整</v>
      </c>
      <c r="C1230" s="1" t="str">
        <f ca="1">IFERROR(__xludf.DUMMYFUNCTION("""COMPUTED_VALUE"""),"A00700000862")</f>
        <v>A00700000862</v>
      </c>
      <c r="D1230" s="1" t="str">
        <f ca="1">IFERROR(__xludf.DUMMYFUNCTION("""COMPUTED_VALUE"""),"All/SB")</f>
        <v>All/SB</v>
      </c>
      <c r="E1230" s="1" t="str">
        <f ca="1">IFERROR(__xludf.DUMMYFUNCTION("""COMPUTED_VALUE"""),"p2/庫存")</f>
        <v>p2/庫存</v>
      </c>
      <c r="F1230" s="1">
        <f ca="1">IFERROR(__xludf.DUMMYFUNCTION("""COMPUTED_VALUE"""),8)</f>
        <v>8</v>
      </c>
      <c r="G1230" s="1"/>
      <c r="H1230" s="1" t="str">
        <f ca="1">IFERROR(__xludf.DUMMYFUNCTION("""COMPUTED_VALUE"""),"P2")</f>
        <v>P2</v>
      </c>
      <c r="I1230" s="1" t="str">
        <f ca="1">IFERROR(__xludf.DUMMYFUNCTION("""COMPUTED_VALUE"""),"Chiao Yu")</f>
        <v>Chiao Yu</v>
      </c>
    </row>
    <row r="1231" spans="1:9" ht="12.7" x14ac:dyDescent="0.4">
      <c r="A1231" s="2">
        <f ca="1">IFERROR(__xludf.DUMMYFUNCTION("""COMPUTED_VALUE"""),45834.7072137152)</f>
        <v>45834.707213715199</v>
      </c>
      <c r="B1231" s="1" t="str">
        <f ca="1">IFERROR(__xludf.DUMMYFUNCTION("""COMPUTED_VALUE"""),"領料")</f>
        <v>領料</v>
      </c>
      <c r="C1231" s="1" t="str">
        <f ca="1">IFERROR(__xludf.DUMMYFUNCTION("""COMPUTED_VALUE"""),"A00700000862")</f>
        <v>A00700000862</v>
      </c>
      <c r="D1231" s="1" t="str">
        <f ca="1">IFERROR(__xludf.DUMMYFUNCTION("""COMPUTED_VALUE"""),"All/SB")</f>
        <v>All/SB</v>
      </c>
      <c r="E1231" s="1" t="str">
        <f ca="1">IFERROR(__xludf.DUMMYFUNCTION("""COMPUTED_VALUE"""),"p2/庫存")</f>
        <v>p2/庫存</v>
      </c>
      <c r="F1231" s="1">
        <f ca="1">IFERROR(__xludf.DUMMYFUNCTION("""COMPUTED_VALUE"""),3)</f>
        <v>3</v>
      </c>
      <c r="G1231" s="1"/>
      <c r="H1231" s="1" t="str">
        <f ca="1">IFERROR(__xludf.DUMMYFUNCTION("""COMPUTED_VALUE"""),"P2_4005")</f>
        <v>P2_4005</v>
      </c>
      <c r="I1231" s="1" t="str">
        <f ca="1">IFERROR(__xludf.DUMMYFUNCTION("""COMPUTED_VALUE"""),"Chiao Yu")</f>
        <v>Chiao Yu</v>
      </c>
    </row>
    <row r="1232" spans="1:9" ht="12.7" x14ac:dyDescent="0.4">
      <c r="A1232" s="2">
        <f ca="1">IFERROR(__xludf.DUMMYFUNCTION("""COMPUTED_VALUE"""),45834.7080538425)</f>
        <v>45834.7080538425</v>
      </c>
      <c r="B1232" s="1" t="str">
        <f ca="1">IFERROR(__xludf.DUMMYFUNCTION("""COMPUTED_VALUE"""),"領料")</f>
        <v>領料</v>
      </c>
      <c r="C1232" s="1" t="str">
        <f ca="1">IFERROR(__xludf.DUMMYFUNCTION("""COMPUTED_VALUE"""),"MM0260000259")</f>
        <v>MM0260000259</v>
      </c>
      <c r="D1232" s="1" t="str">
        <f ca="1">IFERROR(__xludf.DUMMYFUNCTION("""COMPUTED_VALUE"""),"All/SB")</f>
        <v>All/SB</v>
      </c>
      <c r="E1232" s="1" t="str">
        <f ca="1">IFERROR(__xludf.DUMMYFUNCTION("""COMPUTED_VALUE"""),"p2/庫存")</f>
        <v>p2/庫存</v>
      </c>
      <c r="F1232" s="1">
        <f ca="1">IFERROR(__xludf.DUMMYFUNCTION("""COMPUTED_VALUE"""),1)</f>
        <v>1</v>
      </c>
      <c r="G1232" s="1"/>
      <c r="H1232" s="1" t="str">
        <f ca="1">IFERROR(__xludf.DUMMYFUNCTION("""COMPUTED_VALUE"""),"P2_4005")</f>
        <v>P2_4005</v>
      </c>
      <c r="I1232" s="1" t="str">
        <f ca="1">IFERROR(__xludf.DUMMYFUNCTION("""COMPUTED_VALUE"""),"Chiao Yu")</f>
        <v>Chiao Yu</v>
      </c>
    </row>
    <row r="1233" spans="1:9" ht="12.7" x14ac:dyDescent="0.4">
      <c r="A1233" s="2">
        <f ca="1">IFERROR(__xludf.DUMMYFUNCTION("""COMPUTED_VALUE"""),45834.7084123379)</f>
        <v>45834.708412337903</v>
      </c>
      <c r="B1233" s="1" t="str">
        <f ca="1">IFERROR(__xludf.DUMMYFUNCTION("""COMPUTED_VALUE"""),"領料")</f>
        <v>領料</v>
      </c>
      <c r="C1233" s="1" t="str">
        <f ca="1">IFERROR(__xludf.DUMMYFUNCTION("""COMPUTED_VALUE"""),"MM0260000259")</f>
        <v>MM0260000259</v>
      </c>
      <c r="D1233" s="1" t="str">
        <f ca="1">IFERROR(__xludf.DUMMYFUNCTION("""COMPUTED_VALUE"""),"All/SB")</f>
        <v>All/SB</v>
      </c>
      <c r="E1233" s="1" t="str">
        <f ca="1">IFERROR(__xludf.DUMMYFUNCTION("""COMPUTED_VALUE"""),"p2/庫存")</f>
        <v>p2/庫存</v>
      </c>
      <c r="F1233" s="1">
        <f ca="1">IFERROR(__xludf.DUMMYFUNCTION("""COMPUTED_VALUE"""),1)</f>
        <v>1</v>
      </c>
      <c r="G1233" s="1"/>
      <c r="H1233" s="1" t="str">
        <f ca="1">IFERROR(__xludf.DUMMYFUNCTION("""COMPUTED_VALUE"""),"P2_9002")</f>
        <v>P2_9002</v>
      </c>
      <c r="I1233" s="1" t="str">
        <f ca="1">IFERROR(__xludf.DUMMYFUNCTION("""COMPUTED_VALUE"""),"Chiao Yu")</f>
        <v>Chiao Yu</v>
      </c>
    </row>
    <row r="1234" spans="1:9" ht="12.7" x14ac:dyDescent="0.4">
      <c r="A1234" s="2">
        <f ca="1">IFERROR(__xludf.DUMMYFUNCTION("""COMPUTED_VALUE"""),45835.597570868)</f>
        <v>45835.597570867998</v>
      </c>
      <c r="B1234" s="1" t="str">
        <f ca="1">IFERROR(__xludf.DUMMYFUNCTION("""COMPUTED_VALUE"""),"返修")</f>
        <v>返修</v>
      </c>
      <c r="C1234" s="1" t="str">
        <f ca="1">IFERROR(__xludf.DUMMYFUNCTION("""COMPUTED_VALUE"""),"ME0020000637")</f>
        <v>ME0020000637</v>
      </c>
      <c r="D1234" s="1" t="str">
        <f ca="1">IFERROR(__xludf.DUMMYFUNCTION("""COMPUTED_VALUE"""),"All/共用")</f>
        <v>All/共用</v>
      </c>
      <c r="E1234" s="1" t="str">
        <f ca="1">IFERROR(__xludf.DUMMYFUNCTION("""COMPUTED_VALUE"""),"p1/庫存")</f>
        <v>p1/庫存</v>
      </c>
      <c r="F1234" s="1">
        <f ca="1">IFERROR(__xludf.DUMMYFUNCTION("""COMPUTED_VALUE"""),1)</f>
        <v>1</v>
      </c>
      <c r="G1234" s="1" t="str">
        <f ca="1">IFERROR(__xludf.DUMMYFUNCTION("""COMPUTED_VALUE"""),"35E0A01UFEJE")</f>
        <v>35E0A01UFEJE</v>
      </c>
      <c r="H1234" s="1" t="str">
        <f ca="1">IFERROR(__xludf.DUMMYFUNCTION("""COMPUTED_VALUE"""),"P1")</f>
        <v>P1</v>
      </c>
      <c r="I1234" s="1" t="str">
        <f ca="1">IFERROR(__xludf.DUMMYFUNCTION("""COMPUTED_VALUE"""),"Simon")</f>
        <v>Simon</v>
      </c>
    </row>
    <row r="1235" spans="1:9" ht="12.7" x14ac:dyDescent="0.4">
      <c r="A1235" s="2">
        <f ca="1">IFERROR(__xludf.DUMMYFUNCTION("""COMPUTED_VALUE"""),45835.6237496759)</f>
        <v>45835.623749675899</v>
      </c>
      <c r="B1235" s="1" t="str">
        <f ca="1">IFERROR(__xludf.DUMMYFUNCTION("""COMPUTED_VALUE"""),"返修")</f>
        <v>返修</v>
      </c>
      <c r="C1235" s="1" t="str">
        <f ca="1">IFERROR(__xludf.DUMMYFUNCTION("""COMPUTED_VALUE"""),"A00100000731")</f>
        <v>A00100000731</v>
      </c>
      <c r="D1235" s="1" t="str">
        <f ca="1">IFERROR(__xludf.DUMMYFUNCTION("""COMPUTED_VALUE"""),"All/BA")</f>
        <v>All/BA</v>
      </c>
      <c r="E1235" s="1" t="str">
        <f ca="1">IFERROR(__xludf.DUMMYFUNCTION("""COMPUTED_VALUE"""),"p2/庫存")</f>
        <v>p2/庫存</v>
      </c>
      <c r="F1235" s="1">
        <f ca="1">IFERROR(__xludf.DUMMYFUNCTION("""COMPUTED_VALUE"""),1)</f>
        <v>1</v>
      </c>
      <c r="G1235" s="1" t="str">
        <f ca="1">IFERROR(__xludf.DUMMYFUNCTION("""COMPUTED_VALUE"""),"04F225")</f>
        <v>04F225</v>
      </c>
      <c r="H1235" s="1" t="str">
        <f ca="1">IFERROR(__xludf.DUMMYFUNCTION("""COMPUTED_VALUE"""),"P1_003")</f>
        <v>P1_003</v>
      </c>
      <c r="I1235" s="1" t="str">
        <f ca="1">IFERROR(__xludf.DUMMYFUNCTION("""COMPUTED_VALUE"""),"Simon")</f>
        <v>Simon</v>
      </c>
    </row>
    <row r="1236" spans="1:9" ht="12.7" x14ac:dyDescent="0.4">
      <c r="A1236" s="2">
        <f ca="1">IFERROR(__xludf.DUMMYFUNCTION("""COMPUTED_VALUE"""),45835.6255598148)</f>
        <v>45835.625559814798</v>
      </c>
      <c r="B1236" s="1" t="str">
        <f ca="1">IFERROR(__xludf.DUMMYFUNCTION("""COMPUTED_VALUE"""),"返修")</f>
        <v>返修</v>
      </c>
      <c r="C1236" s="1" t="str">
        <f ca="1">IFERROR(__xludf.DUMMYFUNCTION("""COMPUTED_VALUE"""),"A00100000731")</f>
        <v>A00100000731</v>
      </c>
      <c r="D1236" s="1" t="str">
        <f ca="1">IFERROR(__xludf.DUMMYFUNCTION("""COMPUTED_VALUE"""),"All/BA")</f>
        <v>All/BA</v>
      </c>
      <c r="E1236" s="1" t="str">
        <f ca="1">IFERROR(__xludf.DUMMYFUNCTION("""COMPUTED_VALUE"""),"p1/庫存")</f>
        <v>p1/庫存</v>
      </c>
      <c r="F1236" s="1">
        <f ca="1">IFERROR(__xludf.DUMMYFUNCTION("""COMPUTED_VALUE"""),1)</f>
        <v>1</v>
      </c>
      <c r="G1236" s="1" t="str">
        <f ca="1">IFERROR(__xludf.DUMMYFUNCTION("""COMPUTED_VALUE"""),"04F553")</f>
        <v>04F553</v>
      </c>
      <c r="H1236" s="1" t="str">
        <f ca="1">IFERROR(__xludf.DUMMYFUNCTION("""COMPUTED_VALUE"""),"P1_023")</f>
        <v>P1_023</v>
      </c>
      <c r="I1236" s="1" t="str">
        <f ca="1">IFERROR(__xludf.DUMMYFUNCTION("""COMPUTED_VALUE"""),"Simon")</f>
        <v>Simon</v>
      </c>
    </row>
    <row r="1237" spans="1:9" ht="12.7" x14ac:dyDescent="0.4">
      <c r="A1237" s="2">
        <f ca="1">IFERROR(__xludf.DUMMYFUNCTION("""COMPUTED_VALUE"""),45835.6265915625)</f>
        <v>45835.626591562497</v>
      </c>
      <c r="B1237" s="1" t="str">
        <f ca="1">IFERROR(__xludf.DUMMYFUNCTION("""COMPUTED_VALUE"""),"返修")</f>
        <v>返修</v>
      </c>
      <c r="C1237" s="1" t="str">
        <f ca="1">IFERROR(__xludf.DUMMYFUNCTION("""COMPUTED_VALUE"""),"A00100000731")</f>
        <v>A00100000731</v>
      </c>
      <c r="D1237" s="1" t="str">
        <f ca="1">IFERROR(__xludf.DUMMYFUNCTION("""COMPUTED_VALUE"""),"All/BA")</f>
        <v>All/BA</v>
      </c>
      <c r="E1237" s="1" t="str">
        <f ca="1">IFERROR(__xludf.DUMMYFUNCTION("""COMPUTED_VALUE"""),"p1/庫存")</f>
        <v>p1/庫存</v>
      </c>
      <c r="F1237" s="1">
        <f ca="1">IFERROR(__xludf.DUMMYFUNCTION("""COMPUTED_VALUE"""),1)</f>
        <v>1</v>
      </c>
      <c r="G1237" s="1" t="str">
        <f ca="1">IFERROR(__xludf.DUMMYFUNCTION("""COMPUTED_VALUE"""),"03F460")</f>
        <v>03F460</v>
      </c>
      <c r="H1237" s="1" t="str">
        <f ca="1">IFERROR(__xludf.DUMMYFUNCTION("""COMPUTED_VALUE"""),"P1_042")</f>
        <v>P1_042</v>
      </c>
      <c r="I1237" s="1" t="str">
        <f ca="1">IFERROR(__xludf.DUMMYFUNCTION("""COMPUTED_VALUE"""),"Simon")</f>
        <v>Simon</v>
      </c>
    </row>
    <row r="1238" spans="1:9" ht="12.7" x14ac:dyDescent="0.4">
      <c r="A1238" s="2">
        <f ca="1">IFERROR(__xludf.DUMMYFUNCTION("""COMPUTED_VALUE"""),45838.6570838541)</f>
        <v>45838.657083854101</v>
      </c>
      <c r="B1238" s="1" t="str">
        <f ca="1">IFERROR(__xludf.DUMMYFUNCTION("""COMPUTED_VALUE"""),"領料")</f>
        <v>領料</v>
      </c>
      <c r="C1238" s="1" t="str">
        <f ca="1">IFERROR(__xludf.DUMMYFUNCTION("""COMPUTED_VALUE"""),"ME0020000563")</f>
        <v>ME0020000563</v>
      </c>
      <c r="D1238" s="1" t="str">
        <f ca="1">IFERROR(__xludf.DUMMYFUNCTION("""COMPUTED_VALUE"""),"All/共用")</f>
        <v>All/共用</v>
      </c>
      <c r="E1238" s="1" t="str">
        <f ca="1">IFERROR(__xludf.DUMMYFUNCTION("""COMPUTED_VALUE"""),"p2/庫存")</f>
        <v>p2/庫存</v>
      </c>
      <c r="F1238" s="1">
        <f ca="1">IFERROR(__xludf.DUMMYFUNCTION("""COMPUTED_VALUE"""),1)</f>
        <v>1</v>
      </c>
      <c r="G1238" s="1"/>
      <c r="H1238" s="1" t="str">
        <f ca="1">IFERROR(__xludf.DUMMYFUNCTION("""COMPUTED_VALUE"""),"P2")</f>
        <v>P2</v>
      </c>
      <c r="I1238" s="1" t="str">
        <f ca="1">IFERROR(__xludf.DUMMYFUNCTION("""COMPUTED_VALUE"""),"Uri")</f>
        <v>Uri</v>
      </c>
    </row>
    <row r="1239" spans="1:9" ht="12.7" x14ac:dyDescent="0.4">
      <c r="A1239" s="2">
        <f ca="1">IFERROR(__xludf.DUMMYFUNCTION("""COMPUTED_VALUE"""),45838.658153206)</f>
        <v>45838.658153206001</v>
      </c>
      <c r="B1239" s="1" t="str">
        <f ca="1">IFERROR(__xludf.DUMMYFUNCTION("""COMPUTED_VALUE"""),"庫存調整")</f>
        <v>庫存調整</v>
      </c>
      <c r="C1239" s="1" t="str">
        <f ca="1">IFERROR(__xludf.DUMMYFUNCTION("""COMPUTED_VALUE"""),"ME0020000563")</f>
        <v>ME0020000563</v>
      </c>
      <c r="D1239" s="1" t="str">
        <f ca="1">IFERROR(__xludf.DUMMYFUNCTION("""COMPUTED_VALUE"""),"All/共用")</f>
        <v>All/共用</v>
      </c>
      <c r="E1239" s="1" t="str">
        <f ca="1">IFERROR(__xludf.DUMMYFUNCTION("""COMPUTED_VALUE"""),"p1/庫存")</f>
        <v>p1/庫存</v>
      </c>
      <c r="F1239" s="1">
        <f ca="1">IFERROR(__xludf.DUMMYFUNCTION("""COMPUTED_VALUE"""),-2)</f>
        <v>-2</v>
      </c>
      <c r="G1239" s="1"/>
      <c r="H1239" s="1" t="str">
        <f ca="1">IFERROR(__xludf.DUMMYFUNCTION("""COMPUTED_VALUE"""),"P1")</f>
        <v>P1</v>
      </c>
      <c r="I1239" s="1" t="str">
        <f ca="1">IFERROR(__xludf.DUMMYFUNCTION("""COMPUTED_VALUE"""),"Simon")</f>
        <v>Simon</v>
      </c>
    </row>
    <row r="1240" spans="1:9" ht="12.7" x14ac:dyDescent="0.4">
      <c r="A1240" s="2">
        <f ca="1">IFERROR(__xludf.DUMMYFUNCTION("""COMPUTED_VALUE"""),45838.6587998148)</f>
        <v>45838.658799814802</v>
      </c>
      <c r="B1240" s="1" t="str">
        <f ca="1">IFERROR(__xludf.DUMMYFUNCTION("""COMPUTED_VALUE"""),"庫存調整")</f>
        <v>庫存調整</v>
      </c>
      <c r="C1240" s="1" t="str">
        <f ca="1">IFERROR(__xludf.DUMMYFUNCTION("""COMPUTED_VALUE"""),"ME0020000563")</f>
        <v>ME0020000563</v>
      </c>
      <c r="D1240" s="1" t="str">
        <f ca="1">IFERROR(__xludf.DUMMYFUNCTION("""COMPUTED_VALUE"""),"All/共用")</f>
        <v>All/共用</v>
      </c>
      <c r="E1240" s="1" t="str">
        <f ca="1">IFERROR(__xludf.DUMMYFUNCTION("""COMPUTED_VALUE"""),"p2/庫存")</f>
        <v>p2/庫存</v>
      </c>
      <c r="F1240" s="1">
        <f ca="1">IFERROR(__xludf.DUMMYFUNCTION("""COMPUTED_VALUE"""),2)</f>
        <v>2</v>
      </c>
      <c r="G1240" s="1"/>
      <c r="H1240" s="1" t="str">
        <f ca="1">IFERROR(__xludf.DUMMYFUNCTION("""COMPUTED_VALUE"""),"P2")</f>
        <v>P2</v>
      </c>
      <c r="I1240" s="1" t="str">
        <f ca="1">IFERROR(__xludf.DUMMYFUNCTION("""COMPUTED_VALUE"""),"Simon")</f>
        <v>Simon</v>
      </c>
    </row>
    <row r="1241" spans="1:9" ht="12.7" x14ac:dyDescent="0.4">
      <c r="A1241" s="2">
        <f ca="1">IFERROR(__xludf.DUMMYFUNCTION("""COMPUTED_VALUE"""),45839.627361412)</f>
        <v>45839.627361412</v>
      </c>
      <c r="B1241" s="1" t="str">
        <f ca="1">IFERROR(__xludf.DUMMYFUNCTION("""COMPUTED_VALUE"""),"領料")</f>
        <v>領料</v>
      </c>
      <c r="C1241" s="1" t="str">
        <f ca="1">IFERROR(__xludf.DUMMYFUNCTION("""COMPUTED_VALUE"""),"MM0260000259")</f>
        <v>MM0260000259</v>
      </c>
      <c r="D1241" s="1" t="str">
        <f ca="1">IFERROR(__xludf.DUMMYFUNCTION("""COMPUTED_VALUE"""),"All/SB")</f>
        <v>All/SB</v>
      </c>
      <c r="E1241" s="1" t="str">
        <f ca="1">IFERROR(__xludf.DUMMYFUNCTION("""COMPUTED_VALUE"""),"p2/庫存")</f>
        <v>p2/庫存</v>
      </c>
      <c r="F1241" s="1">
        <f ca="1">IFERROR(__xludf.DUMMYFUNCTION("""COMPUTED_VALUE"""),1)</f>
        <v>1</v>
      </c>
      <c r="G1241" s="1"/>
      <c r="H1241" s="1" t="str">
        <f ca="1">IFERROR(__xludf.DUMMYFUNCTION("""COMPUTED_VALUE"""),"P1_4006")</f>
        <v>P1_4006</v>
      </c>
      <c r="I1241" s="1" t="str">
        <f ca="1">IFERROR(__xludf.DUMMYFUNCTION("""COMPUTED_VALUE"""),"Simon")</f>
        <v>Simon</v>
      </c>
    </row>
    <row r="1242" spans="1:9" ht="12.7" x14ac:dyDescent="0.4">
      <c r="A1242" s="2">
        <f ca="1">IFERROR(__xludf.DUMMYFUNCTION("""COMPUTED_VALUE"""),45839.6280240162)</f>
        <v>45839.628024016201</v>
      </c>
      <c r="B1242" s="1" t="str">
        <f ca="1">IFERROR(__xludf.DUMMYFUNCTION("""COMPUTED_VALUE"""),"領料")</f>
        <v>領料</v>
      </c>
      <c r="C1242" s="1" t="str">
        <f ca="1">IFERROR(__xludf.DUMMYFUNCTION("""COMPUTED_VALUE"""),"MM0260000259")</f>
        <v>MM0260000259</v>
      </c>
      <c r="D1242" s="1" t="str">
        <f ca="1">IFERROR(__xludf.DUMMYFUNCTION("""COMPUTED_VALUE"""),"All/SB")</f>
        <v>All/SB</v>
      </c>
      <c r="E1242" s="1" t="str">
        <f ca="1">IFERROR(__xludf.DUMMYFUNCTION("""COMPUTED_VALUE"""),"p2/庫存")</f>
        <v>p2/庫存</v>
      </c>
      <c r="F1242" s="1">
        <f ca="1">IFERROR(__xludf.DUMMYFUNCTION("""COMPUTED_VALUE"""),1)</f>
        <v>1</v>
      </c>
      <c r="G1242" s="1"/>
      <c r="H1242" s="1" t="str">
        <f ca="1">IFERROR(__xludf.DUMMYFUNCTION("""COMPUTED_VALUE"""),"P1_9003")</f>
        <v>P1_9003</v>
      </c>
      <c r="I1242" s="1" t="str">
        <f ca="1">IFERROR(__xludf.DUMMYFUNCTION("""COMPUTED_VALUE"""),"Simon")</f>
        <v>Simon</v>
      </c>
    </row>
    <row r="1243" spans="1:9" ht="12.7" x14ac:dyDescent="0.4">
      <c r="A1243" s="2">
        <f ca="1">IFERROR(__xludf.DUMMYFUNCTION("""COMPUTED_VALUE"""),45839.780832662)</f>
        <v>45839.780832662</v>
      </c>
      <c r="B1243" s="1" t="str">
        <f ca="1">IFERROR(__xludf.DUMMYFUNCTION("""COMPUTED_VALUE"""),"領料")</f>
        <v>領料</v>
      </c>
      <c r="C1243" s="1" t="str">
        <f ca="1">IFERROR(__xludf.DUMMYFUNCTION("""COMPUTED_VALUE"""),"A00700000862")</f>
        <v>A00700000862</v>
      </c>
      <c r="D1243" s="1" t="str">
        <f ca="1">IFERROR(__xludf.DUMMYFUNCTION("""COMPUTED_VALUE"""),"All/SB")</f>
        <v>All/SB</v>
      </c>
      <c r="E1243" s="1" t="str">
        <f ca="1">IFERROR(__xludf.DUMMYFUNCTION("""COMPUTED_VALUE"""),"p2/庫存")</f>
        <v>p2/庫存</v>
      </c>
      <c r="F1243" s="1">
        <f ca="1">IFERROR(__xludf.DUMMYFUNCTION("""COMPUTED_VALUE"""),3)</f>
        <v>3</v>
      </c>
      <c r="G1243" s="1"/>
      <c r="H1243" s="1" t="str">
        <f ca="1">IFERROR(__xludf.DUMMYFUNCTION("""COMPUTED_VALUE"""),"P2_4004")</f>
        <v>P2_4004</v>
      </c>
      <c r="I1243" s="1" t="str">
        <f ca="1">IFERROR(__xludf.DUMMYFUNCTION("""COMPUTED_VALUE"""),"Simon")</f>
        <v>Simon</v>
      </c>
    </row>
    <row r="1244" spans="1:9" ht="12.7" x14ac:dyDescent="0.4">
      <c r="A1244" s="2">
        <f ca="1">IFERROR(__xludf.DUMMYFUNCTION("""COMPUTED_VALUE"""),45840.3001056597)</f>
        <v>45840.300105659699</v>
      </c>
      <c r="B1244" s="1" t="str">
        <f ca="1">IFERROR(__xludf.DUMMYFUNCTION("""COMPUTED_VALUE"""),"送修")</f>
        <v>送修</v>
      </c>
      <c r="C1244" s="1" t="str">
        <f ca="1">IFERROR(__xludf.DUMMYFUNCTION("""COMPUTED_VALUE"""),"A00100000731")</f>
        <v>A00100000731</v>
      </c>
      <c r="D1244" s="1" t="str">
        <f ca="1">IFERROR(__xludf.DUMMYFUNCTION("""COMPUTED_VALUE"""),"All/BA")</f>
        <v>All/BA</v>
      </c>
      <c r="E1244" s="1" t="str">
        <f ca="1">IFERROR(__xludf.DUMMYFUNCTION("""COMPUTED_VALUE"""),"p1/庫存")</f>
        <v>p1/庫存</v>
      </c>
      <c r="F1244" s="1">
        <f ca="1">IFERROR(__xludf.DUMMYFUNCTION("""COMPUTED_VALUE"""),1)</f>
        <v>1</v>
      </c>
      <c r="G1244" s="1" t="str">
        <f ca="1">IFERROR(__xludf.DUMMYFUNCTION("""COMPUTED_VALUE"""),"06F340")</f>
        <v>06F340</v>
      </c>
      <c r="H1244" s="1" t="str">
        <f ca="1">IFERROR(__xludf.DUMMYFUNCTION("""COMPUTED_VALUE"""),"P1_011")</f>
        <v>P1_011</v>
      </c>
      <c r="I1244" s="1" t="str">
        <f ca="1">IFERROR(__xludf.DUMMYFUNCTION("""COMPUTED_VALUE"""),"Nick")</f>
        <v>Nick</v>
      </c>
    </row>
    <row r="1245" spans="1:9" ht="12.7" x14ac:dyDescent="0.4">
      <c r="A1245" s="2">
        <f ca="1">IFERROR(__xludf.DUMMYFUNCTION("""COMPUTED_VALUE"""),45840.3627886689)</f>
        <v>45840.362788668899</v>
      </c>
      <c r="B1245" s="1" t="str">
        <f ca="1">IFERROR(__xludf.DUMMYFUNCTION("""COMPUTED_VALUE"""),"料件上線時間")</f>
        <v>料件上線時間</v>
      </c>
      <c r="C1245" s="1" t="str">
        <f ca="1">IFERROR(__xludf.DUMMYFUNCTION("""COMPUTED_VALUE"""),"A00100000731")</f>
        <v>A00100000731</v>
      </c>
      <c r="D1245" s="1" t="str">
        <f ca="1">IFERROR(__xludf.DUMMYFUNCTION("""COMPUTED_VALUE"""),"All/BA")</f>
        <v>All/BA</v>
      </c>
      <c r="E1245" s="1" t="str">
        <f ca="1">IFERROR(__xludf.DUMMYFUNCTION("""COMPUTED_VALUE"""),"p1/庫存")</f>
        <v>p1/庫存</v>
      </c>
      <c r="F1245" s="1">
        <f ca="1">IFERROR(__xludf.DUMMYFUNCTION("""COMPUTED_VALUE"""),1)</f>
        <v>1</v>
      </c>
      <c r="G1245" s="1" t="str">
        <f ca="1">IFERROR(__xludf.DUMMYFUNCTION("""COMPUTED_VALUE"""),"03F460")</f>
        <v>03F460</v>
      </c>
      <c r="H1245" s="1" t="str">
        <f ca="1">IFERROR(__xludf.DUMMYFUNCTION("""COMPUTED_VALUE"""),"P1_011")</f>
        <v>P1_011</v>
      </c>
      <c r="I1245" s="1" t="str">
        <f ca="1">IFERROR(__xludf.DUMMYFUNCTION("""COMPUTED_VALUE"""),"Nick")</f>
        <v>Nick</v>
      </c>
    </row>
    <row r="1246" spans="1:9" ht="12.7" x14ac:dyDescent="0.4">
      <c r="A1246" s="2">
        <f ca="1">IFERROR(__xludf.DUMMYFUNCTION("""COMPUTED_VALUE"""),45841.2251035416)</f>
        <v>45841.225103541597</v>
      </c>
      <c r="B1246" s="1" t="str">
        <f ca="1">IFERROR(__xludf.DUMMYFUNCTION("""COMPUTED_VALUE"""),"送修")</f>
        <v>送修</v>
      </c>
      <c r="C1246" s="1" t="str">
        <f ca="1">IFERROR(__xludf.DUMMYFUNCTION("""COMPUTED_VALUE"""),"A00100000731")</f>
        <v>A00100000731</v>
      </c>
      <c r="D1246" s="1" t="str">
        <f ca="1">IFERROR(__xludf.DUMMYFUNCTION("""COMPUTED_VALUE"""),"All/BA")</f>
        <v>All/BA</v>
      </c>
      <c r="E1246" s="1" t="str">
        <f ca="1">IFERROR(__xludf.DUMMYFUNCTION("""COMPUTED_VALUE"""),"p1/庫存")</f>
        <v>p1/庫存</v>
      </c>
      <c r="F1246" s="1">
        <f ca="1">IFERROR(__xludf.DUMMYFUNCTION("""COMPUTED_VALUE"""),1)</f>
        <v>1</v>
      </c>
      <c r="G1246" s="1" t="str">
        <f ca="1">IFERROR(__xludf.DUMMYFUNCTION("""COMPUTED_VALUE"""),"04F004")</f>
        <v>04F004</v>
      </c>
      <c r="H1246" s="1" t="str">
        <f ca="1">IFERROR(__xludf.DUMMYFUNCTION("""COMPUTED_VALUE"""),"P1_015")</f>
        <v>P1_015</v>
      </c>
      <c r="I1246" s="1" t="str">
        <f ca="1">IFERROR(__xludf.DUMMYFUNCTION("""COMPUTED_VALUE"""),"Jason")</f>
        <v>Jason</v>
      </c>
    </row>
    <row r="1247" spans="1:9" ht="12.7" x14ac:dyDescent="0.4">
      <c r="A1247" s="2">
        <f ca="1">IFERROR(__xludf.DUMMYFUNCTION("""COMPUTED_VALUE"""),45841.22784)</f>
        <v>45841.22784</v>
      </c>
      <c r="B1247" s="1" t="str">
        <f ca="1">IFERROR(__xludf.DUMMYFUNCTION("""COMPUTED_VALUE"""),"料件上線時間")</f>
        <v>料件上線時間</v>
      </c>
      <c r="C1247" s="1" t="str">
        <f ca="1">IFERROR(__xludf.DUMMYFUNCTION("""COMPUTED_VALUE"""),"A00100000731")</f>
        <v>A00100000731</v>
      </c>
      <c r="D1247" s="1" t="str">
        <f ca="1">IFERROR(__xludf.DUMMYFUNCTION("""COMPUTED_VALUE"""),"All/BA")</f>
        <v>All/BA</v>
      </c>
      <c r="E1247" s="1" t="str">
        <f ca="1">IFERROR(__xludf.DUMMYFUNCTION("""COMPUTED_VALUE"""),"p1/庫存")</f>
        <v>p1/庫存</v>
      </c>
      <c r="F1247" s="1">
        <f ca="1">IFERROR(__xludf.DUMMYFUNCTION("""COMPUTED_VALUE"""),1)</f>
        <v>1</v>
      </c>
      <c r="G1247" s="1" t="str">
        <f ca="1">IFERROR(__xludf.DUMMYFUNCTION("""COMPUTED_VALUE"""),"04F553")</f>
        <v>04F553</v>
      </c>
      <c r="H1247" s="1" t="str">
        <f ca="1">IFERROR(__xludf.DUMMYFUNCTION("""COMPUTED_VALUE"""),"P1_015")</f>
        <v>P1_015</v>
      </c>
      <c r="I1247" s="1" t="str">
        <f ca="1">IFERROR(__xludf.DUMMYFUNCTION("""COMPUTED_VALUE"""),"Jason")</f>
        <v>Jason</v>
      </c>
    </row>
    <row r="1248" spans="1:9" ht="12.7" x14ac:dyDescent="0.4">
      <c r="A1248" s="2">
        <f ca="1">IFERROR(__xludf.DUMMYFUNCTION("""COMPUTED_VALUE"""),45846.7698888194)</f>
        <v>45846.769888819399</v>
      </c>
      <c r="B1248" s="1" t="str">
        <f ca="1">IFERROR(__xludf.DUMMYFUNCTION("""COMPUTED_VALUE"""),"領料")</f>
        <v>領料</v>
      </c>
      <c r="C1248" s="1" t="str">
        <f ca="1">IFERROR(__xludf.DUMMYFUNCTION("""COMPUTED_VALUE"""),"A00700000862")</f>
        <v>A00700000862</v>
      </c>
      <c r="D1248" s="1" t="str">
        <f ca="1">IFERROR(__xludf.DUMMYFUNCTION("""COMPUTED_VALUE"""),"All/SB")</f>
        <v>All/SB</v>
      </c>
      <c r="E1248" s="1" t="str">
        <f ca="1">IFERROR(__xludf.DUMMYFUNCTION("""COMPUTED_VALUE"""),"p2/庫存")</f>
        <v>p2/庫存</v>
      </c>
      <c r="F1248" s="1">
        <f ca="1">IFERROR(__xludf.DUMMYFUNCTION("""COMPUTED_VALUE"""),3)</f>
        <v>3</v>
      </c>
      <c r="G1248" s="1"/>
      <c r="H1248" s="1" t="str">
        <f ca="1">IFERROR(__xludf.DUMMYFUNCTION("""COMPUTED_VALUE"""),"P2_4003")</f>
        <v>P2_4003</v>
      </c>
      <c r="I1248" s="1" t="str">
        <f ca="1">IFERROR(__xludf.DUMMYFUNCTION("""COMPUTED_VALUE"""),"Chiao Yu")</f>
        <v>Chiao Yu</v>
      </c>
    </row>
    <row r="1249" spans="1:9" ht="12.7" x14ac:dyDescent="0.4">
      <c r="A1249" s="2">
        <f ca="1">IFERROR(__xludf.DUMMYFUNCTION("""COMPUTED_VALUE"""),45846.7704295486)</f>
        <v>45846.770429548596</v>
      </c>
      <c r="B1249" s="1" t="str">
        <f ca="1">IFERROR(__xludf.DUMMYFUNCTION("""COMPUTED_VALUE"""),"進貨")</f>
        <v>進貨</v>
      </c>
      <c r="C1249" s="1" t="str">
        <f ca="1">IFERROR(__xludf.DUMMYFUNCTION("""COMPUTED_VALUE"""),"MM0260000259")</f>
        <v>MM0260000259</v>
      </c>
      <c r="D1249" s="1" t="str">
        <f ca="1">IFERROR(__xludf.DUMMYFUNCTION("""COMPUTED_VALUE"""),"All/SB")</f>
        <v>All/SB</v>
      </c>
      <c r="E1249" s="1" t="str">
        <f ca="1">IFERROR(__xludf.DUMMYFUNCTION("""COMPUTED_VALUE"""),"p1/庫存")</f>
        <v>p1/庫存</v>
      </c>
      <c r="F1249" s="1">
        <f ca="1">IFERROR(__xludf.DUMMYFUNCTION("""COMPUTED_VALUE"""),1)</f>
        <v>1</v>
      </c>
      <c r="G1249" s="1"/>
      <c r="H1249" s="1" t="str">
        <f ca="1">IFERROR(__xludf.DUMMYFUNCTION("""COMPUTED_VALUE"""),"P1")</f>
        <v>P1</v>
      </c>
      <c r="I1249" s="1" t="str">
        <f ca="1">IFERROR(__xludf.DUMMYFUNCTION("""COMPUTED_VALUE"""),"Chiao Yu")</f>
        <v>Chiao Yu</v>
      </c>
    </row>
    <row r="1250" spans="1:9" ht="12.7" x14ac:dyDescent="0.4">
      <c r="A1250" s="2">
        <f ca="1">IFERROR(__xludf.DUMMYFUNCTION("""COMPUTED_VALUE"""),45846.7707243981)</f>
        <v>45846.770724398099</v>
      </c>
      <c r="B1250" s="1" t="str">
        <f ca="1">IFERROR(__xludf.DUMMYFUNCTION("""COMPUTED_VALUE"""),"進貨")</f>
        <v>進貨</v>
      </c>
      <c r="C1250" s="1" t="str">
        <f ca="1">IFERROR(__xludf.DUMMYFUNCTION("""COMPUTED_VALUE"""),"MM0260000259")</f>
        <v>MM0260000259</v>
      </c>
      <c r="D1250" s="1" t="str">
        <f ca="1">IFERROR(__xludf.DUMMYFUNCTION("""COMPUTED_VALUE"""),"All/SB")</f>
        <v>All/SB</v>
      </c>
      <c r="E1250" s="1" t="str">
        <f ca="1">IFERROR(__xludf.DUMMYFUNCTION("""COMPUTED_VALUE"""),"p2/庫存")</f>
        <v>p2/庫存</v>
      </c>
      <c r="F1250" s="1">
        <f ca="1">IFERROR(__xludf.DUMMYFUNCTION("""COMPUTED_VALUE"""),9)</f>
        <v>9</v>
      </c>
      <c r="G1250" s="1"/>
      <c r="H1250" s="1" t="str">
        <f ca="1">IFERROR(__xludf.DUMMYFUNCTION("""COMPUTED_VALUE"""),"P2")</f>
        <v>P2</v>
      </c>
      <c r="I1250" s="1" t="str">
        <f ca="1">IFERROR(__xludf.DUMMYFUNCTION("""COMPUTED_VALUE"""),"Chiao Yu")</f>
        <v>Chiao Yu</v>
      </c>
    </row>
    <row r="1251" spans="1:9" ht="12.7" x14ac:dyDescent="0.4">
      <c r="A1251" s="2">
        <f ca="1">IFERROR(__xludf.DUMMYFUNCTION("""COMPUTED_VALUE"""),45846.772426493)</f>
        <v>45846.772426493</v>
      </c>
      <c r="B1251" s="1" t="str">
        <f ca="1">IFERROR(__xludf.DUMMYFUNCTION("""COMPUTED_VALUE"""),"領料")</f>
        <v>領料</v>
      </c>
      <c r="C1251" s="1" t="str">
        <f ca="1">IFERROR(__xludf.DUMMYFUNCTION("""COMPUTED_VALUE"""),"MM0260000259")</f>
        <v>MM0260000259</v>
      </c>
      <c r="D1251" s="1" t="str">
        <f ca="1">IFERROR(__xludf.DUMMYFUNCTION("""COMPUTED_VALUE"""),"All/SB")</f>
        <v>All/SB</v>
      </c>
      <c r="E1251" s="1" t="str">
        <f ca="1">IFERROR(__xludf.DUMMYFUNCTION("""COMPUTED_VALUE"""),"p2/庫存")</f>
        <v>p2/庫存</v>
      </c>
      <c r="F1251" s="1">
        <f ca="1">IFERROR(__xludf.DUMMYFUNCTION("""COMPUTED_VALUE"""),3)</f>
        <v>3</v>
      </c>
      <c r="G1251" s="1"/>
      <c r="H1251" s="1" t="str">
        <f ca="1">IFERROR(__xludf.DUMMYFUNCTION("""COMPUTED_VALUE"""),"P2")</f>
        <v>P2</v>
      </c>
      <c r="I1251" s="1" t="str">
        <f ca="1">IFERROR(__xludf.DUMMYFUNCTION("""COMPUTED_VALUE"""),"Chiao Yu")</f>
        <v>Chiao Yu</v>
      </c>
    </row>
    <row r="1252" spans="1:9" ht="12.7" x14ac:dyDescent="0.4">
      <c r="A1252" s="2">
        <f ca="1">IFERROR(__xludf.DUMMYFUNCTION("""COMPUTED_VALUE"""),45847.6832316782)</f>
        <v>45847.683231678202</v>
      </c>
      <c r="B1252" s="1" t="str">
        <f ca="1">IFERROR(__xludf.DUMMYFUNCTION("""COMPUTED_VALUE"""),"領料")</f>
        <v>領料</v>
      </c>
      <c r="C1252" s="1" t="str">
        <f ca="1">IFERROR(__xludf.DUMMYFUNCTION("""COMPUTED_VALUE"""),"MM0260000259")</f>
        <v>MM0260000259</v>
      </c>
      <c r="D1252" s="1" t="str">
        <f ca="1">IFERROR(__xludf.DUMMYFUNCTION("""COMPUTED_VALUE"""),"All/SB")</f>
        <v>All/SB</v>
      </c>
      <c r="E1252" s="1" t="str">
        <f ca="1">IFERROR(__xludf.DUMMYFUNCTION("""COMPUTED_VALUE"""),"p2/庫存")</f>
        <v>p2/庫存</v>
      </c>
      <c r="F1252" s="1">
        <f ca="1">IFERROR(__xludf.DUMMYFUNCTION("""COMPUTED_VALUE"""),5)</f>
        <v>5</v>
      </c>
      <c r="G1252" s="1"/>
      <c r="H1252" s="1" t="str">
        <f ca="1">IFERROR(__xludf.DUMMYFUNCTION("""COMPUTED_VALUE"""),"P2")</f>
        <v>P2</v>
      </c>
      <c r="I1252" s="1" t="str">
        <f ca="1">IFERROR(__xludf.DUMMYFUNCTION("""COMPUTED_VALUE"""),"Chiao Yu")</f>
        <v>Chiao Yu</v>
      </c>
    </row>
    <row r="1253" spans="1:9" ht="12.7" x14ac:dyDescent="0.4">
      <c r="A1253" s="2">
        <f ca="1">IFERROR(__xludf.DUMMYFUNCTION("""COMPUTED_VALUE"""),45847.6841948958)</f>
        <v>45847.684194895803</v>
      </c>
      <c r="B1253" s="1" t="str">
        <f ca="1">IFERROR(__xludf.DUMMYFUNCTION("""COMPUTED_VALUE"""),"領料")</f>
        <v>領料</v>
      </c>
      <c r="C1253" s="1" t="str">
        <f ca="1">IFERROR(__xludf.DUMMYFUNCTION("""COMPUTED_VALUE"""),"A00700000862")</f>
        <v>A00700000862</v>
      </c>
      <c r="D1253" s="1" t="str">
        <f ca="1">IFERROR(__xludf.DUMMYFUNCTION("""COMPUTED_VALUE"""),"All/SB")</f>
        <v>All/SB</v>
      </c>
      <c r="E1253" s="1" t="str">
        <f ca="1">IFERROR(__xludf.DUMMYFUNCTION("""COMPUTED_VALUE"""),"p2/庫存")</f>
        <v>p2/庫存</v>
      </c>
      <c r="F1253" s="1">
        <f ca="1">IFERROR(__xludf.DUMMYFUNCTION("""COMPUTED_VALUE"""),3)</f>
        <v>3</v>
      </c>
      <c r="G1253" s="1"/>
      <c r="H1253" s="1" t="str">
        <f ca="1">IFERROR(__xludf.DUMMYFUNCTION("""COMPUTED_VALUE"""),"P2_4001")</f>
        <v>P2_4001</v>
      </c>
      <c r="I1253" s="1" t="str">
        <f ca="1">IFERROR(__xludf.DUMMYFUNCTION("""COMPUTED_VALUE"""),"Chiao Yu")</f>
        <v>Chiao Yu</v>
      </c>
    </row>
    <row r="1254" spans="1:9" ht="12.7" x14ac:dyDescent="0.4">
      <c r="A1254" s="2">
        <f ca="1">IFERROR(__xludf.DUMMYFUNCTION("""COMPUTED_VALUE"""),45847.740161655)</f>
        <v>45847.740161654998</v>
      </c>
      <c r="B1254" s="1" t="str">
        <f ca="1">IFERROR(__xludf.DUMMYFUNCTION("""COMPUTED_VALUE"""),"領料")</f>
        <v>領料</v>
      </c>
      <c r="C1254" s="1" t="str">
        <f ca="1">IFERROR(__xludf.DUMMYFUNCTION("""COMPUTED_VALUE"""),"A00700000862")</f>
        <v>A00700000862</v>
      </c>
      <c r="D1254" s="1" t="str">
        <f ca="1">IFERROR(__xludf.DUMMYFUNCTION("""COMPUTED_VALUE"""),"All/SB")</f>
        <v>All/SB</v>
      </c>
      <c r="E1254" s="1" t="str">
        <f ca="1">IFERROR(__xludf.DUMMYFUNCTION("""COMPUTED_VALUE"""),"p1/庫存")</f>
        <v>p1/庫存</v>
      </c>
      <c r="F1254" s="1">
        <f ca="1">IFERROR(__xludf.DUMMYFUNCTION("""COMPUTED_VALUE"""),3)</f>
        <v>3</v>
      </c>
      <c r="G1254" s="1"/>
      <c r="H1254" s="1" t="str">
        <f ca="1">IFERROR(__xludf.DUMMYFUNCTION("""COMPUTED_VALUE"""),"P1_4007")</f>
        <v>P1_4007</v>
      </c>
      <c r="I1254" s="1" t="str">
        <f ca="1">IFERROR(__xludf.DUMMYFUNCTION("""COMPUTED_VALUE"""),"Chiao Yu")</f>
        <v>Chiao Yu</v>
      </c>
    </row>
    <row r="1255" spans="1:9" ht="12.7" x14ac:dyDescent="0.4">
      <c r="A1255" s="2">
        <f ca="1">IFERROR(__xludf.DUMMYFUNCTION("""COMPUTED_VALUE"""),45848.4279890046)</f>
        <v>45848.427989004602</v>
      </c>
      <c r="B1255" s="1" t="str">
        <f ca="1">IFERROR(__xludf.DUMMYFUNCTION("""COMPUTED_VALUE"""),"庫存調整")</f>
        <v>庫存調整</v>
      </c>
      <c r="C1255" s="1" t="str">
        <f ca="1">IFERROR(__xludf.DUMMYFUNCTION("""COMPUTED_VALUE"""),"MM0220000044")</f>
        <v>MM0220000044</v>
      </c>
      <c r="D1255" s="1" t="str">
        <f ca="1">IFERROR(__xludf.DUMMYFUNCTION("""COMPUTED_VALUE"""),"All/共用")</f>
        <v>All/共用</v>
      </c>
      <c r="E1255" s="1" t="str">
        <f ca="1">IFERROR(__xludf.DUMMYFUNCTION("""COMPUTED_VALUE"""),"p2/庫存")</f>
        <v>p2/庫存</v>
      </c>
      <c r="F1255" s="1">
        <f ca="1">IFERROR(__xludf.DUMMYFUNCTION("""COMPUTED_VALUE"""),1)</f>
        <v>1</v>
      </c>
      <c r="G1255" s="1"/>
      <c r="H1255" s="1" t="str">
        <f ca="1">IFERROR(__xludf.DUMMYFUNCTION("""COMPUTED_VALUE"""),"P2")</f>
        <v>P2</v>
      </c>
      <c r="I1255" s="1" t="str">
        <f ca="1">IFERROR(__xludf.DUMMYFUNCTION("""COMPUTED_VALUE"""),"Chiao Yu")</f>
        <v>Chiao Yu</v>
      </c>
    </row>
    <row r="1256" spans="1:9" ht="12.7" x14ac:dyDescent="0.4">
      <c r="A1256" s="2">
        <f ca="1">IFERROR(__xludf.DUMMYFUNCTION("""COMPUTED_VALUE"""),45848.7239884027)</f>
        <v>45848.7239884027</v>
      </c>
      <c r="B1256" s="1" t="str">
        <f ca="1">IFERROR(__xludf.DUMMYFUNCTION("""COMPUTED_VALUE"""),"領料")</f>
        <v>領料</v>
      </c>
      <c r="C1256" s="1" t="str">
        <f ca="1">IFERROR(__xludf.DUMMYFUNCTION("""COMPUTED_VALUE"""),"ME0270001256")</f>
        <v>ME0270001256</v>
      </c>
      <c r="D1256" s="1" t="str">
        <f ca="1">IFERROR(__xludf.DUMMYFUNCTION("""COMPUTED_VALUE"""),"All/共用")</f>
        <v>All/共用</v>
      </c>
      <c r="E1256" s="1" t="str">
        <f ca="1">IFERROR(__xludf.DUMMYFUNCTION("""COMPUTED_VALUE"""),"p2/庫存")</f>
        <v>p2/庫存</v>
      </c>
      <c r="F1256" s="1">
        <f ca="1">IFERROR(__xludf.DUMMYFUNCTION("""COMPUTED_VALUE"""),1)</f>
        <v>1</v>
      </c>
      <c r="G1256" s="1"/>
      <c r="H1256" s="1" t="str">
        <f ca="1">IFERROR(__xludf.DUMMYFUNCTION("""COMPUTED_VALUE"""),"P2")</f>
        <v>P2</v>
      </c>
      <c r="I1256" s="1" t="str">
        <f ca="1">IFERROR(__xludf.DUMMYFUNCTION("""COMPUTED_VALUE"""),"Chiao Yu")</f>
        <v>Chiao Yu</v>
      </c>
    </row>
    <row r="1257" spans="1:9" ht="12.7" x14ac:dyDescent="0.4">
      <c r="A1257" s="2">
        <f ca="1">IFERROR(__xludf.DUMMYFUNCTION("""COMPUTED_VALUE"""),45848.7280982407)</f>
        <v>45848.728098240703</v>
      </c>
      <c r="B1257" s="1" t="str">
        <f ca="1">IFERROR(__xludf.DUMMYFUNCTION("""COMPUTED_VALUE"""),"領料")</f>
        <v>領料</v>
      </c>
      <c r="C1257" s="1" t="str">
        <f ca="1">IFERROR(__xludf.DUMMYFUNCTION("""COMPUTED_VALUE"""),"MM0220000040")</f>
        <v>MM0220000040</v>
      </c>
      <c r="D1257" s="1" t="str">
        <f ca="1">IFERROR(__xludf.DUMMYFUNCTION("""COMPUTED_VALUE"""),"All/共用")</f>
        <v>All/共用</v>
      </c>
      <c r="E1257" s="1" t="str">
        <f ca="1">IFERROR(__xludf.DUMMYFUNCTION("""COMPUTED_VALUE"""),"p2/庫存")</f>
        <v>p2/庫存</v>
      </c>
      <c r="F1257" s="1">
        <f ca="1">IFERROR(__xludf.DUMMYFUNCTION("""COMPUTED_VALUE"""),4)</f>
        <v>4</v>
      </c>
      <c r="G1257" s="1"/>
      <c r="H1257" s="1" t="str">
        <f ca="1">IFERROR(__xludf.DUMMYFUNCTION("""COMPUTED_VALUE"""),"P2")</f>
        <v>P2</v>
      </c>
      <c r="I1257" s="1" t="str">
        <f ca="1">IFERROR(__xludf.DUMMYFUNCTION("""COMPUTED_VALUE"""),"Chiao Yu")</f>
        <v>Chiao Yu</v>
      </c>
    </row>
    <row r="1258" spans="1:9" ht="12.7" x14ac:dyDescent="0.4">
      <c r="A1258" s="2">
        <f ca="1">IFERROR(__xludf.DUMMYFUNCTION("""COMPUTED_VALUE"""),45848.72875625)</f>
        <v>45848.728756249999</v>
      </c>
      <c r="B1258" s="1" t="str">
        <f ca="1">IFERROR(__xludf.DUMMYFUNCTION("""COMPUTED_VALUE"""),"領料")</f>
        <v>領料</v>
      </c>
      <c r="C1258" s="1" t="str">
        <f ca="1">IFERROR(__xludf.DUMMYFUNCTION("""COMPUTED_VALUE"""),"ME0050000167")</f>
        <v>ME0050000167</v>
      </c>
      <c r="D1258" s="1" t="str">
        <f ca="1">IFERROR(__xludf.DUMMYFUNCTION("""COMPUTED_VALUE"""),"All/共用")</f>
        <v>All/共用</v>
      </c>
      <c r="E1258" s="1" t="str">
        <f ca="1">IFERROR(__xludf.DUMMYFUNCTION("""COMPUTED_VALUE"""),"p2/庫存")</f>
        <v>p2/庫存</v>
      </c>
      <c r="F1258" s="1">
        <f ca="1">IFERROR(__xludf.DUMMYFUNCTION("""COMPUTED_VALUE"""),1)</f>
        <v>1</v>
      </c>
      <c r="G1258" s="1"/>
      <c r="H1258" s="1" t="str">
        <f ca="1">IFERROR(__xludf.DUMMYFUNCTION("""COMPUTED_VALUE"""),"P2")</f>
        <v>P2</v>
      </c>
      <c r="I1258" s="1" t="str">
        <f ca="1">IFERROR(__xludf.DUMMYFUNCTION("""COMPUTED_VALUE"""),"Chiao Yu")</f>
        <v>Chiao Yu</v>
      </c>
    </row>
    <row r="1259" spans="1:9" ht="12.7" x14ac:dyDescent="0.4">
      <c r="A1259" s="2">
        <f ca="1">IFERROR(__xludf.DUMMYFUNCTION("""COMPUTED_VALUE"""),45848.7291486226)</f>
        <v>45848.729148622602</v>
      </c>
      <c r="B1259" s="1" t="str">
        <f ca="1">IFERROR(__xludf.DUMMYFUNCTION("""COMPUTED_VALUE"""),"領料")</f>
        <v>領料</v>
      </c>
      <c r="C1259" s="1" t="str">
        <f ca="1">IFERROR(__xludf.DUMMYFUNCTION("""COMPUTED_VALUE"""),"ME0050000168")</f>
        <v>ME0050000168</v>
      </c>
      <c r="D1259" s="1" t="str">
        <f ca="1">IFERROR(__xludf.DUMMYFUNCTION("""COMPUTED_VALUE"""),"All/共用")</f>
        <v>All/共用</v>
      </c>
      <c r="E1259" s="1" t="str">
        <f ca="1">IFERROR(__xludf.DUMMYFUNCTION("""COMPUTED_VALUE"""),"p2/庫存")</f>
        <v>p2/庫存</v>
      </c>
      <c r="F1259" s="1">
        <f ca="1">IFERROR(__xludf.DUMMYFUNCTION("""COMPUTED_VALUE"""),1)</f>
        <v>1</v>
      </c>
      <c r="G1259" s="1"/>
      <c r="H1259" s="1" t="str">
        <f ca="1">IFERROR(__xludf.DUMMYFUNCTION("""COMPUTED_VALUE"""),"P2")</f>
        <v>P2</v>
      </c>
      <c r="I1259" s="1" t="str">
        <f ca="1">IFERROR(__xludf.DUMMYFUNCTION("""COMPUTED_VALUE"""),"Chiao Yu")</f>
        <v>Chiao Yu</v>
      </c>
    </row>
    <row r="1260" spans="1:9" ht="12.7" x14ac:dyDescent="0.4">
      <c r="A1260" s="2">
        <f ca="1">IFERROR(__xludf.DUMMYFUNCTION("""COMPUTED_VALUE"""),45848.7296967939)</f>
        <v>45848.729696793896</v>
      </c>
      <c r="B1260" s="1" t="str">
        <f ca="1">IFERROR(__xludf.DUMMYFUNCTION("""COMPUTED_VALUE"""),"領料")</f>
        <v>領料</v>
      </c>
      <c r="C1260" s="1" t="str">
        <f ca="1">IFERROR(__xludf.DUMMYFUNCTION("""COMPUTED_VALUE"""),"ME0050000167")</f>
        <v>ME0050000167</v>
      </c>
      <c r="D1260" s="1" t="str">
        <f ca="1">IFERROR(__xludf.DUMMYFUNCTION("""COMPUTED_VALUE"""),"All/共用")</f>
        <v>All/共用</v>
      </c>
      <c r="E1260" s="1" t="str">
        <f ca="1">IFERROR(__xludf.DUMMYFUNCTION("""COMPUTED_VALUE"""),"p1/庫存")</f>
        <v>p1/庫存</v>
      </c>
      <c r="F1260" s="1">
        <f ca="1">IFERROR(__xludf.DUMMYFUNCTION("""COMPUTED_VALUE"""),1)</f>
        <v>1</v>
      </c>
      <c r="G1260" s="1"/>
      <c r="H1260" s="1" t="str">
        <f ca="1">IFERROR(__xludf.DUMMYFUNCTION("""COMPUTED_VALUE"""),"P1")</f>
        <v>P1</v>
      </c>
      <c r="I1260" s="1" t="str">
        <f ca="1">IFERROR(__xludf.DUMMYFUNCTION("""COMPUTED_VALUE"""),"Chiao Yu")</f>
        <v>Chiao Yu</v>
      </c>
    </row>
    <row r="1261" spans="1:9" ht="12.7" x14ac:dyDescent="0.4">
      <c r="A1261" s="2">
        <f ca="1">IFERROR(__xludf.DUMMYFUNCTION("""COMPUTED_VALUE"""),45848.73009125)</f>
        <v>45848.73009125</v>
      </c>
      <c r="B1261" s="1" t="str">
        <f ca="1">IFERROR(__xludf.DUMMYFUNCTION("""COMPUTED_VALUE"""),"領料")</f>
        <v>領料</v>
      </c>
      <c r="C1261" s="1" t="str">
        <f ca="1">IFERROR(__xludf.DUMMYFUNCTION("""COMPUTED_VALUE"""),"ME0050000168")</f>
        <v>ME0050000168</v>
      </c>
      <c r="D1261" s="1" t="str">
        <f ca="1">IFERROR(__xludf.DUMMYFUNCTION("""COMPUTED_VALUE"""),"All/共用")</f>
        <v>All/共用</v>
      </c>
      <c r="E1261" s="1" t="str">
        <f ca="1">IFERROR(__xludf.DUMMYFUNCTION("""COMPUTED_VALUE"""),"p1/庫存")</f>
        <v>p1/庫存</v>
      </c>
      <c r="F1261" s="1">
        <f ca="1">IFERROR(__xludf.DUMMYFUNCTION("""COMPUTED_VALUE"""),1)</f>
        <v>1</v>
      </c>
      <c r="G1261" s="1"/>
      <c r="H1261" s="1" t="str">
        <f ca="1">IFERROR(__xludf.DUMMYFUNCTION("""COMPUTED_VALUE"""),"P1")</f>
        <v>P1</v>
      </c>
      <c r="I1261" s="1" t="str">
        <f ca="1">IFERROR(__xludf.DUMMYFUNCTION("""COMPUTED_VALUE"""),"Chiao Yu")</f>
        <v>Chiao Yu</v>
      </c>
    </row>
    <row r="1262" spans="1:9" ht="12.7" x14ac:dyDescent="0.4">
      <c r="A1262" s="2">
        <f ca="1">IFERROR(__xludf.DUMMYFUNCTION("""COMPUTED_VALUE"""),45848.7308516898)</f>
        <v>45848.730851689797</v>
      </c>
      <c r="B1262" s="1" t="str">
        <f ca="1">IFERROR(__xludf.DUMMYFUNCTION("""COMPUTED_VALUE"""),"領料")</f>
        <v>領料</v>
      </c>
      <c r="C1262" s="1" t="str">
        <f ca="1">IFERROR(__xludf.DUMMYFUNCTION("""COMPUTED_VALUE"""),"MM0220000043")</f>
        <v>MM0220000043</v>
      </c>
      <c r="D1262" s="1" t="str">
        <f ca="1">IFERROR(__xludf.DUMMYFUNCTION("""COMPUTED_VALUE"""),"All/共用")</f>
        <v>All/共用</v>
      </c>
      <c r="E1262" s="1" t="str">
        <f ca="1">IFERROR(__xludf.DUMMYFUNCTION("""COMPUTED_VALUE"""),"p1/庫存")</f>
        <v>p1/庫存</v>
      </c>
      <c r="F1262" s="1">
        <f ca="1">IFERROR(__xludf.DUMMYFUNCTION("""COMPUTED_VALUE"""),1)</f>
        <v>1</v>
      </c>
      <c r="G1262" s="1"/>
      <c r="H1262" s="1" t="str">
        <f ca="1">IFERROR(__xludf.DUMMYFUNCTION("""COMPUTED_VALUE"""),"P1")</f>
        <v>P1</v>
      </c>
      <c r="I1262" s="1" t="str">
        <f ca="1">IFERROR(__xludf.DUMMYFUNCTION("""COMPUTED_VALUE"""),"Chiao Yu")</f>
        <v>Chiao Yu</v>
      </c>
    </row>
    <row r="1263" spans="1:9" ht="12.7" x14ac:dyDescent="0.4">
      <c r="A1263" s="2">
        <f ca="1">IFERROR(__xludf.DUMMYFUNCTION("""COMPUTED_VALUE"""),45848.73153728)</f>
        <v>45848.73153728</v>
      </c>
      <c r="B1263" s="1" t="str">
        <f ca="1">IFERROR(__xludf.DUMMYFUNCTION("""COMPUTED_VALUE"""),"領料")</f>
        <v>領料</v>
      </c>
      <c r="C1263" s="1" t="str">
        <f ca="1">IFERROR(__xludf.DUMMYFUNCTION("""COMPUTED_VALUE"""),"ME0270000789")</f>
        <v>ME0270000789</v>
      </c>
      <c r="D1263" s="1" t="str">
        <f ca="1">IFERROR(__xludf.DUMMYFUNCTION("""COMPUTED_VALUE"""),"All/共用")</f>
        <v>All/共用</v>
      </c>
      <c r="E1263" s="1" t="str">
        <f ca="1">IFERROR(__xludf.DUMMYFUNCTION("""COMPUTED_VALUE"""),"p1/庫存")</f>
        <v>p1/庫存</v>
      </c>
      <c r="F1263" s="1">
        <f ca="1">IFERROR(__xludf.DUMMYFUNCTION("""COMPUTED_VALUE"""),2)</f>
        <v>2</v>
      </c>
      <c r="G1263" s="1"/>
      <c r="H1263" s="1" t="str">
        <f ca="1">IFERROR(__xludf.DUMMYFUNCTION("""COMPUTED_VALUE"""),"P1")</f>
        <v>P1</v>
      </c>
      <c r="I1263" s="1" t="str">
        <f ca="1">IFERROR(__xludf.DUMMYFUNCTION("""COMPUTED_VALUE"""),"Chiao Yu")</f>
        <v>Chiao Yu</v>
      </c>
    </row>
    <row r="1264" spans="1:9" ht="12.7" x14ac:dyDescent="0.4">
      <c r="A1264" s="2">
        <f ca="1">IFERROR(__xludf.DUMMYFUNCTION("""COMPUTED_VALUE"""),45848.7320087384)</f>
        <v>45848.7320087384</v>
      </c>
      <c r="B1264" s="1" t="str">
        <f ca="1">IFERROR(__xludf.DUMMYFUNCTION("""COMPUTED_VALUE"""),"領料")</f>
        <v>領料</v>
      </c>
      <c r="C1264" s="1" t="str">
        <f ca="1">IFERROR(__xludf.DUMMYFUNCTION("""COMPUTED_VALUE"""),"ME0270001300")</f>
        <v>ME0270001300</v>
      </c>
      <c r="D1264" s="1" t="str">
        <f ca="1">IFERROR(__xludf.DUMMYFUNCTION("""COMPUTED_VALUE"""),"All/共用")</f>
        <v>All/共用</v>
      </c>
      <c r="E1264" s="1" t="str">
        <f ca="1">IFERROR(__xludf.DUMMYFUNCTION("""COMPUTED_VALUE"""),"p1/庫存")</f>
        <v>p1/庫存</v>
      </c>
      <c r="F1264" s="1">
        <f ca="1">IFERROR(__xludf.DUMMYFUNCTION("""COMPUTED_VALUE"""),1)</f>
        <v>1</v>
      </c>
      <c r="G1264" s="1"/>
      <c r="H1264" s="1" t="str">
        <f ca="1">IFERROR(__xludf.DUMMYFUNCTION("""COMPUTED_VALUE"""),"P1")</f>
        <v>P1</v>
      </c>
      <c r="I1264" s="1" t="str">
        <f ca="1">IFERROR(__xludf.DUMMYFUNCTION("""COMPUTED_VALUE"""),"Chiao Yu")</f>
        <v>Chiao Yu</v>
      </c>
    </row>
    <row r="1265" spans="1:9" ht="12.7" x14ac:dyDescent="0.4">
      <c r="A1265" s="2">
        <f ca="1">IFERROR(__xludf.DUMMYFUNCTION("""COMPUTED_VALUE"""),45848.7324657523)</f>
        <v>45848.732465752299</v>
      </c>
      <c r="B1265" s="1" t="str">
        <f ca="1">IFERROR(__xludf.DUMMYFUNCTION("""COMPUTED_VALUE"""),"領料")</f>
        <v>領料</v>
      </c>
      <c r="C1265" s="1" t="str">
        <f ca="1">IFERROR(__xludf.DUMMYFUNCTION("""COMPUTED_VALUE"""),"ME0010000385")</f>
        <v>ME0010000385</v>
      </c>
      <c r="D1265" s="1" t="str">
        <f ca="1">IFERROR(__xludf.DUMMYFUNCTION("""COMPUTED_VALUE"""),"All/共用")</f>
        <v>All/共用</v>
      </c>
      <c r="E1265" s="1" t="str">
        <f ca="1">IFERROR(__xludf.DUMMYFUNCTION("""COMPUTED_VALUE"""),"p1/庫存")</f>
        <v>p1/庫存</v>
      </c>
      <c r="F1265" s="1">
        <f ca="1">IFERROR(__xludf.DUMMYFUNCTION("""COMPUTED_VALUE"""),2)</f>
        <v>2</v>
      </c>
      <c r="G1265" s="1"/>
      <c r="H1265" s="1" t="str">
        <f ca="1">IFERROR(__xludf.DUMMYFUNCTION("""COMPUTED_VALUE"""),"P1")</f>
        <v>P1</v>
      </c>
      <c r="I1265" s="1" t="str">
        <f ca="1">IFERROR(__xludf.DUMMYFUNCTION("""COMPUTED_VALUE"""),"Chiao Yu")</f>
        <v>Chiao Yu</v>
      </c>
    </row>
    <row r="1266" spans="1:9" ht="12.7" x14ac:dyDescent="0.4">
      <c r="A1266" s="2">
        <f ca="1">IFERROR(__xludf.DUMMYFUNCTION("""COMPUTED_VALUE"""),45848.7328307986)</f>
        <v>45848.732830798603</v>
      </c>
      <c r="B1266" s="1" t="str">
        <f ca="1">IFERROR(__xludf.DUMMYFUNCTION("""COMPUTED_VALUE"""),"領料")</f>
        <v>領料</v>
      </c>
      <c r="C1266" s="1" t="str">
        <f ca="1">IFERROR(__xludf.DUMMYFUNCTION("""COMPUTED_VALUE"""),"ME0030000076")</f>
        <v>ME0030000076</v>
      </c>
      <c r="D1266" s="1" t="str">
        <f ca="1">IFERROR(__xludf.DUMMYFUNCTION("""COMPUTED_VALUE"""),"All/共用")</f>
        <v>All/共用</v>
      </c>
      <c r="E1266" s="1" t="str">
        <f ca="1">IFERROR(__xludf.DUMMYFUNCTION("""COMPUTED_VALUE"""),"p1/庫存")</f>
        <v>p1/庫存</v>
      </c>
      <c r="F1266" s="1">
        <f ca="1">IFERROR(__xludf.DUMMYFUNCTION("""COMPUTED_VALUE"""),2)</f>
        <v>2</v>
      </c>
      <c r="G1266" s="1"/>
      <c r="H1266" s="1" t="str">
        <f ca="1">IFERROR(__xludf.DUMMYFUNCTION("""COMPUTED_VALUE"""),"P1")</f>
        <v>P1</v>
      </c>
      <c r="I1266" s="1" t="str">
        <f ca="1">IFERROR(__xludf.DUMMYFUNCTION("""COMPUTED_VALUE"""),"Chiao Yu")</f>
        <v>Chiao Yu</v>
      </c>
    </row>
    <row r="1267" spans="1:9" ht="12.7" x14ac:dyDescent="0.4">
      <c r="A1267" s="2">
        <f ca="1">IFERROR(__xludf.DUMMYFUNCTION("""COMPUTED_VALUE"""),45848.7333494675)</f>
        <v>45848.733349467497</v>
      </c>
      <c r="B1267" s="1" t="str">
        <f ca="1">IFERROR(__xludf.DUMMYFUNCTION("""COMPUTED_VALUE"""),"領料")</f>
        <v>領料</v>
      </c>
      <c r="C1267" s="1" t="str">
        <f ca="1">IFERROR(__xludf.DUMMYFUNCTION("""COMPUTED_VALUE"""),"ME0270001045")</f>
        <v>ME0270001045</v>
      </c>
      <c r="D1267" s="1" t="str">
        <f ca="1">IFERROR(__xludf.DUMMYFUNCTION("""COMPUTED_VALUE"""),"All/共用")</f>
        <v>All/共用</v>
      </c>
      <c r="E1267" s="1" t="str">
        <f ca="1">IFERROR(__xludf.DUMMYFUNCTION("""COMPUTED_VALUE"""),"p1/庫存")</f>
        <v>p1/庫存</v>
      </c>
      <c r="F1267" s="1">
        <f ca="1">IFERROR(__xludf.DUMMYFUNCTION("""COMPUTED_VALUE"""),2)</f>
        <v>2</v>
      </c>
      <c r="G1267" s="1"/>
      <c r="H1267" s="1" t="str">
        <f ca="1">IFERROR(__xludf.DUMMYFUNCTION("""COMPUTED_VALUE"""),"P1")</f>
        <v>P1</v>
      </c>
      <c r="I1267" s="1" t="str">
        <f ca="1">IFERROR(__xludf.DUMMYFUNCTION("""COMPUTED_VALUE"""),"Chiao Yu")</f>
        <v>Chiao Yu</v>
      </c>
    </row>
    <row r="1268" spans="1:9" ht="12.7" x14ac:dyDescent="0.4">
      <c r="A1268" s="2">
        <f ca="1">IFERROR(__xludf.DUMMYFUNCTION("""COMPUTED_VALUE"""),45848.7341542361)</f>
        <v>45848.734154236103</v>
      </c>
      <c r="B1268" s="1" t="str">
        <f ca="1">IFERROR(__xludf.DUMMYFUNCTION("""COMPUTED_VALUE"""),"領料")</f>
        <v>領料</v>
      </c>
      <c r="C1268" s="1" t="str">
        <f ca="1">IFERROR(__xludf.DUMMYFUNCTION("""COMPUTED_VALUE"""),"AGT000000009")</f>
        <v>AGT000000009</v>
      </c>
      <c r="D1268" s="1" t="str">
        <f ca="1">IFERROR(__xludf.DUMMYFUNCTION("""COMPUTED_VALUE"""),"All/共用")</f>
        <v>All/共用</v>
      </c>
      <c r="E1268" s="1" t="str">
        <f ca="1">IFERROR(__xludf.DUMMYFUNCTION("""COMPUTED_VALUE"""),"p1/庫存")</f>
        <v>p1/庫存</v>
      </c>
      <c r="F1268" s="1">
        <f ca="1">IFERROR(__xludf.DUMMYFUNCTION("""COMPUTED_VALUE"""),6)</f>
        <v>6</v>
      </c>
      <c r="G1268" s="1"/>
      <c r="H1268" s="1" t="str">
        <f ca="1">IFERROR(__xludf.DUMMYFUNCTION("""COMPUTED_VALUE"""),"P1")</f>
        <v>P1</v>
      </c>
      <c r="I1268" s="1" t="str">
        <f ca="1">IFERROR(__xludf.DUMMYFUNCTION("""COMPUTED_VALUE"""),"Chiao Yu")</f>
        <v>Chiao Yu</v>
      </c>
    </row>
    <row r="1269" spans="1:9" ht="12.7" x14ac:dyDescent="0.4">
      <c r="A1269" s="2">
        <f ca="1">IFERROR(__xludf.DUMMYFUNCTION("""COMPUTED_VALUE"""),45848.7353876388)</f>
        <v>45848.735387638801</v>
      </c>
      <c r="B1269" s="1" t="str">
        <f ca="1">IFERROR(__xludf.DUMMYFUNCTION("""COMPUTED_VALUE"""),"領料")</f>
        <v>領料</v>
      </c>
      <c r="C1269" s="1" t="str">
        <f ca="1">IFERROR(__xludf.DUMMYFUNCTION("""COMPUTED_VALUE"""),"AGT000000010")</f>
        <v>AGT000000010</v>
      </c>
      <c r="D1269" s="1" t="str">
        <f ca="1">IFERROR(__xludf.DUMMYFUNCTION("""COMPUTED_VALUE"""),"All/共用")</f>
        <v>All/共用</v>
      </c>
      <c r="E1269" s="1" t="str">
        <f ca="1">IFERROR(__xludf.DUMMYFUNCTION("""COMPUTED_VALUE"""),"p1/庫存")</f>
        <v>p1/庫存</v>
      </c>
      <c r="F1269" s="1">
        <f ca="1">IFERROR(__xludf.DUMMYFUNCTION("""COMPUTED_VALUE"""),5)</f>
        <v>5</v>
      </c>
      <c r="G1269" s="1"/>
      <c r="H1269" s="1" t="str">
        <f ca="1">IFERROR(__xludf.DUMMYFUNCTION("""COMPUTED_VALUE"""),"P1")</f>
        <v>P1</v>
      </c>
      <c r="I1269" s="1" t="str">
        <f ca="1">IFERROR(__xludf.DUMMYFUNCTION("""COMPUTED_VALUE"""),"Chiao Yu")</f>
        <v>Chiao Yu</v>
      </c>
    </row>
    <row r="1270" spans="1:9" ht="12.7" x14ac:dyDescent="0.4">
      <c r="A1270" s="2">
        <f ca="1">IFERROR(__xludf.DUMMYFUNCTION("""COMPUTED_VALUE"""),45848.7421635995)</f>
        <v>45848.742163599498</v>
      </c>
      <c r="B1270" s="1" t="str">
        <f ca="1">IFERROR(__xludf.DUMMYFUNCTION("""COMPUTED_VALUE"""),"庫存調整")</f>
        <v>庫存調整</v>
      </c>
      <c r="C1270" s="1" t="str">
        <f ca="1">IFERROR(__xludf.DUMMYFUNCTION("""COMPUTED_VALUE"""),"MM0220000044")</f>
        <v>MM0220000044</v>
      </c>
      <c r="D1270" s="1" t="str">
        <f ca="1">IFERROR(__xludf.DUMMYFUNCTION("""COMPUTED_VALUE"""),"All/共用")</f>
        <v>All/共用</v>
      </c>
      <c r="E1270" s="1" t="str">
        <f ca="1">IFERROR(__xludf.DUMMYFUNCTION("""COMPUTED_VALUE"""),"p2/庫存")</f>
        <v>p2/庫存</v>
      </c>
      <c r="F1270" s="1">
        <f ca="1">IFERROR(__xludf.DUMMYFUNCTION("""COMPUTED_VALUE"""),-1)</f>
        <v>-1</v>
      </c>
      <c r="G1270" s="1"/>
      <c r="H1270" s="1" t="str">
        <f ca="1">IFERROR(__xludf.DUMMYFUNCTION("""COMPUTED_VALUE"""),"P2")</f>
        <v>P2</v>
      </c>
      <c r="I1270" s="1" t="str">
        <f ca="1">IFERROR(__xludf.DUMMYFUNCTION("""COMPUTED_VALUE"""),"Chiao Yu")</f>
        <v>Chiao Yu</v>
      </c>
    </row>
    <row r="1271" spans="1:9" ht="12.7" x14ac:dyDescent="0.4">
      <c r="A1271" s="2">
        <f ca="1">IFERROR(__xludf.DUMMYFUNCTION("""COMPUTED_VALUE"""),45848.7424188078)</f>
        <v>45848.7424188078</v>
      </c>
      <c r="B1271" s="1" t="str">
        <f ca="1">IFERROR(__xludf.DUMMYFUNCTION("""COMPUTED_VALUE"""),"庫存調整")</f>
        <v>庫存調整</v>
      </c>
      <c r="C1271" s="1" t="str">
        <f ca="1">IFERROR(__xludf.DUMMYFUNCTION("""COMPUTED_VALUE"""),"MM0220000044")</f>
        <v>MM0220000044</v>
      </c>
      <c r="D1271" s="1" t="str">
        <f ca="1">IFERROR(__xludf.DUMMYFUNCTION("""COMPUTED_VALUE"""),"All/共用")</f>
        <v>All/共用</v>
      </c>
      <c r="E1271" s="1" t="str">
        <f ca="1">IFERROR(__xludf.DUMMYFUNCTION("""COMPUTED_VALUE"""),"p1/庫存")</f>
        <v>p1/庫存</v>
      </c>
      <c r="F1271" s="1">
        <f ca="1">IFERROR(__xludf.DUMMYFUNCTION("""COMPUTED_VALUE"""),1)</f>
        <v>1</v>
      </c>
      <c r="G1271" s="1"/>
      <c r="H1271" s="1" t="str">
        <f ca="1">IFERROR(__xludf.DUMMYFUNCTION("""COMPUTED_VALUE"""),"P1")</f>
        <v>P1</v>
      </c>
      <c r="I1271" s="1" t="str">
        <f ca="1">IFERROR(__xludf.DUMMYFUNCTION("""COMPUTED_VALUE"""),"Chiao Yu")</f>
        <v>Chiao Yu</v>
      </c>
    </row>
    <row r="1272" spans="1:9" ht="12.7" x14ac:dyDescent="0.4">
      <c r="A1272" s="2">
        <f ca="1">IFERROR(__xludf.DUMMYFUNCTION("""COMPUTED_VALUE"""),45849.5196924421)</f>
        <v>45849.519692442103</v>
      </c>
      <c r="B1272" s="1" t="str">
        <f ca="1">IFERROR(__xludf.DUMMYFUNCTION("""COMPUTED_VALUE"""),"進貨")</f>
        <v>進貨</v>
      </c>
      <c r="C1272" s="1" t="str">
        <f ca="1">IFERROR(__xludf.DUMMYFUNCTION("""COMPUTED_VALUE"""),"MM0220000048")</f>
        <v>MM0220000048</v>
      </c>
      <c r="D1272" s="1" t="str">
        <f ca="1">IFERROR(__xludf.DUMMYFUNCTION("""COMPUTED_VALUE"""),"All/BA")</f>
        <v>All/BA</v>
      </c>
      <c r="E1272" s="1" t="str">
        <f ca="1">IFERROR(__xludf.DUMMYFUNCTION("""COMPUTED_VALUE"""),"p1/庫存")</f>
        <v>p1/庫存</v>
      </c>
      <c r="F1272" s="1">
        <f ca="1">IFERROR(__xludf.DUMMYFUNCTION("""COMPUTED_VALUE"""),2)</f>
        <v>2</v>
      </c>
      <c r="G1272" s="1"/>
      <c r="H1272" s="1" t="str">
        <f ca="1">IFERROR(__xludf.DUMMYFUNCTION("""COMPUTED_VALUE"""),"P1")</f>
        <v>P1</v>
      </c>
      <c r="I1272" s="1" t="str">
        <f ca="1">IFERROR(__xludf.DUMMYFUNCTION("""COMPUTED_VALUE"""),"Chiao Yu")</f>
        <v>Chiao Yu</v>
      </c>
    </row>
    <row r="1273" spans="1:9" ht="12.7" x14ac:dyDescent="0.4">
      <c r="A1273" s="2">
        <f ca="1">IFERROR(__xludf.DUMMYFUNCTION("""COMPUTED_VALUE"""),45849.5202939351)</f>
        <v>45849.5202939351</v>
      </c>
      <c r="B1273" s="1" t="str">
        <f ca="1">IFERROR(__xludf.DUMMYFUNCTION("""COMPUTED_VALUE"""),"進貨")</f>
        <v>進貨</v>
      </c>
      <c r="C1273" s="1" t="str">
        <f ca="1">IFERROR(__xludf.DUMMYFUNCTION("""COMPUTED_VALUE"""),"MM0220000043")</f>
        <v>MM0220000043</v>
      </c>
      <c r="D1273" s="1" t="str">
        <f ca="1">IFERROR(__xludf.DUMMYFUNCTION("""COMPUTED_VALUE"""),"All/共用")</f>
        <v>All/共用</v>
      </c>
      <c r="E1273" s="1" t="str">
        <f ca="1">IFERROR(__xludf.DUMMYFUNCTION("""COMPUTED_VALUE"""),"p1/庫存")</f>
        <v>p1/庫存</v>
      </c>
      <c r="F1273" s="1">
        <f ca="1">IFERROR(__xludf.DUMMYFUNCTION("""COMPUTED_VALUE"""),1)</f>
        <v>1</v>
      </c>
      <c r="G1273" s="1"/>
      <c r="H1273" s="1" t="str">
        <f ca="1">IFERROR(__xludf.DUMMYFUNCTION("""COMPUTED_VALUE"""),"P1")</f>
        <v>P1</v>
      </c>
      <c r="I1273" s="1" t="str">
        <f ca="1">IFERROR(__xludf.DUMMYFUNCTION("""COMPUTED_VALUE"""),"Chiao Yu")</f>
        <v>Chiao Yu</v>
      </c>
    </row>
    <row r="1274" spans="1:9" ht="12.7" x14ac:dyDescent="0.4">
      <c r="A1274" s="2">
        <f ca="1">IFERROR(__xludf.DUMMYFUNCTION("""COMPUTED_VALUE"""),45849.52070728)</f>
        <v>45849.520707279997</v>
      </c>
      <c r="B1274" s="1" t="str">
        <f ca="1">IFERROR(__xludf.DUMMYFUNCTION("""COMPUTED_VALUE"""),"進貨")</f>
        <v>進貨</v>
      </c>
      <c r="C1274" s="1" t="str">
        <f ca="1">IFERROR(__xludf.DUMMYFUNCTION("""COMPUTED_VALUE"""),"A00900000618")</f>
        <v>A00900000618</v>
      </c>
      <c r="D1274" s="1" t="str">
        <f ca="1">IFERROR(__xludf.DUMMYFUNCTION("""COMPUTED_VALUE"""),"All/共用")</f>
        <v>All/共用</v>
      </c>
      <c r="E1274" s="1" t="str">
        <f ca="1">IFERROR(__xludf.DUMMYFUNCTION("""COMPUTED_VALUE"""),"p1/庫存")</f>
        <v>p1/庫存</v>
      </c>
      <c r="F1274" s="1">
        <f ca="1">IFERROR(__xludf.DUMMYFUNCTION("""COMPUTED_VALUE"""),2)</f>
        <v>2</v>
      </c>
      <c r="G1274" s="1"/>
      <c r="H1274" s="1" t="str">
        <f ca="1">IFERROR(__xludf.DUMMYFUNCTION("""COMPUTED_VALUE"""),"P1")</f>
        <v>P1</v>
      </c>
      <c r="I1274" s="1" t="str">
        <f ca="1">IFERROR(__xludf.DUMMYFUNCTION("""COMPUTED_VALUE"""),"Chiao Yu")</f>
        <v>Chiao Yu</v>
      </c>
    </row>
    <row r="1275" spans="1:9" ht="12.7" x14ac:dyDescent="0.4">
      <c r="A1275" s="2">
        <f ca="1">IFERROR(__xludf.DUMMYFUNCTION("""COMPUTED_VALUE"""),45849.5207126041)</f>
        <v>45849.520712604099</v>
      </c>
      <c r="B1275" s="1" t="str">
        <f ca="1">IFERROR(__xludf.DUMMYFUNCTION("""COMPUTED_VALUE"""),"進貨")</f>
        <v>進貨</v>
      </c>
      <c r="C1275" s="1" t="str">
        <f ca="1">IFERROR(__xludf.DUMMYFUNCTION("""COMPUTED_VALUE"""),"A00700000837")</f>
        <v>A00700000837</v>
      </c>
      <c r="D1275" s="1" t="str">
        <f ca="1">IFERROR(__xludf.DUMMYFUNCTION("""COMPUTED_VALUE"""),"All/COLOR")</f>
        <v>All/COLOR</v>
      </c>
      <c r="E1275" s="1" t="str">
        <f ca="1">IFERROR(__xludf.DUMMYFUNCTION("""COMPUTED_VALUE"""),"p1/庫存")</f>
        <v>p1/庫存</v>
      </c>
      <c r="F1275" s="1">
        <f ca="1">IFERROR(__xludf.DUMMYFUNCTION("""COMPUTED_VALUE"""),1)</f>
        <v>1</v>
      </c>
      <c r="G1275" s="1"/>
      <c r="H1275" s="1" t="str">
        <f ca="1">IFERROR(__xludf.DUMMYFUNCTION("""COMPUTED_VALUE"""),"P1")</f>
        <v>P1</v>
      </c>
      <c r="I1275" s="1" t="str">
        <f ca="1">IFERROR(__xludf.DUMMYFUNCTION("""COMPUTED_VALUE"""),"Simon")</f>
        <v>Simon</v>
      </c>
    </row>
    <row r="1276" spans="1:9" ht="12.7" x14ac:dyDescent="0.4">
      <c r="A1276" s="2">
        <f ca="1">IFERROR(__xludf.DUMMYFUNCTION("""COMPUTED_VALUE"""),45849.5211912731)</f>
        <v>45849.521191273103</v>
      </c>
      <c r="B1276" s="1" t="str">
        <f ca="1">IFERROR(__xludf.DUMMYFUNCTION("""COMPUTED_VALUE"""),"進貨")</f>
        <v>進貨</v>
      </c>
      <c r="C1276" s="1" t="str">
        <f ca="1">IFERROR(__xludf.DUMMYFUNCTION("""COMPUTED_VALUE"""),"A00700000837")</f>
        <v>A00700000837</v>
      </c>
      <c r="D1276" s="1" t="str">
        <f ca="1">IFERROR(__xludf.DUMMYFUNCTION("""COMPUTED_VALUE"""),"All/COLOR")</f>
        <v>All/COLOR</v>
      </c>
      <c r="E1276" s="1" t="str">
        <f ca="1">IFERROR(__xludf.DUMMYFUNCTION("""COMPUTED_VALUE"""),"p2/庫存")</f>
        <v>p2/庫存</v>
      </c>
      <c r="F1276" s="1">
        <f ca="1">IFERROR(__xludf.DUMMYFUNCTION("""COMPUTED_VALUE"""),2)</f>
        <v>2</v>
      </c>
      <c r="G1276" s="1"/>
      <c r="H1276" s="1" t="str">
        <f ca="1">IFERROR(__xludf.DUMMYFUNCTION("""COMPUTED_VALUE"""),"P2")</f>
        <v>P2</v>
      </c>
      <c r="I1276" s="1" t="str">
        <f ca="1">IFERROR(__xludf.DUMMYFUNCTION("""COMPUTED_VALUE"""),"Simon")</f>
        <v>Simon</v>
      </c>
    </row>
    <row r="1277" spans="1:9" ht="12.7" x14ac:dyDescent="0.4">
      <c r="A1277" s="2">
        <f ca="1">IFERROR(__xludf.DUMMYFUNCTION("""COMPUTED_VALUE"""),45849.5216925)</f>
        <v>45849.521692499999</v>
      </c>
      <c r="B1277" s="1" t="str">
        <f ca="1">IFERROR(__xludf.DUMMYFUNCTION("""COMPUTED_VALUE"""),"進貨")</f>
        <v>進貨</v>
      </c>
      <c r="C1277" s="1" t="str">
        <f ca="1">IFERROR(__xludf.DUMMYFUNCTION("""COMPUTED_VALUE"""),"ME0020000560")</f>
        <v>ME0020000560</v>
      </c>
      <c r="D1277" s="1" t="str">
        <f ca="1">IFERROR(__xludf.DUMMYFUNCTION("""COMPUTED_VALUE"""),"All/共用")</f>
        <v>All/共用</v>
      </c>
      <c r="E1277" s="1" t="str">
        <f ca="1">IFERROR(__xludf.DUMMYFUNCTION("""COMPUTED_VALUE"""),"p1/庫存")</f>
        <v>p1/庫存</v>
      </c>
      <c r="F1277" s="1">
        <f ca="1">IFERROR(__xludf.DUMMYFUNCTION("""COMPUTED_VALUE"""),1)</f>
        <v>1</v>
      </c>
      <c r="G1277" s="1"/>
      <c r="H1277" s="1" t="str">
        <f ca="1">IFERROR(__xludf.DUMMYFUNCTION("""COMPUTED_VALUE"""),"P1")</f>
        <v>P1</v>
      </c>
      <c r="I1277" s="1" t="str">
        <f ca="1">IFERROR(__xludf.DUMMYFUNCTION("""COMPUTED_VALUE"""),"Chiao Yu")</f>
        <v>Chiao Yu</v>
      </c>
    </row>
    <row r="1278" spans="1:9" ht="12.7" x14ac:dyDescent="0.4">
      <c r="A1278" s="2">
        <f ca="1">IFERROR(__xludf.DUMMYFUNCTION("""COMPUTED_VALUE"""),45849.522453125)</f>
        <v>45849.522453124999</v>
      </c>
      <c r="B1278" s="1" t="str">
        <f ca="1">IFERROR(__xludf.DUMMYFUNCTION("""COMPUTED_VALUE"""),"進貨")</f>
        <v>進貨</v>
      </c>
      <c r="C1278" s="1" t="str">
        <f ca="1">IFERROR(__xludf.DUMMYFUNCTION("""COMPUTED_VALUE"""),"ME0050000183")</f>
        <v>ME0050000183</v>
      </c>
      <c r="D1278" s="1" t="str">
        <f ca="1">IFERROR(__xludf.DUMMYFUNCTION("""COMPUTED_VALUE"""),"All/共用")</f>
        <v>All/共用</v>
      </c>
      <c r="E1278" s="1" t="str">
        <f ca="1">IFERROR(__xludf.DUMMYFUNCTION("""COMPUTED_VALUE"""),"p1/庫存")</f>
        <v>p1/庫存</v>
      </c>
      <c r="F1278" s="1">
        <f ca="1">IFERROR(__xludf.DUMMYFUNCTION("""COMPUTED_VALUE"""),2)</f>
        <v>2</v>
      </c>
      <c r="G1278" s="1"/>
      <c r="H1278" s="1" t="str">
        <f ca="1">IFERROR(__xludf.DUMMYFUNCTION("""COMPUTED_VALUE"""),"P1")</f>
        <v>P1</v>
      </c>
      <c r="I1278" s="1" t="str">
        <f ca="1">IFERROR(__xludf.DUMMYFUNCTION("""COMPUTED_VALUE"""),"Chiao Yu")</f>
        <v>Chiao Yu</v>
      </c>
    </row>
    <row r="1279" spans="1:9" ht="12.7" x14ac:dyDescent="0.4">
      <c r="A1279" s="2">
        <f ca="1">IFERROR(__xludf.DUMMYFUNCTION("""COMPUTED_VALUE"""),45849.5232082986)</f>
        <v>45849.523208298597</v>
      </c>
      <c r="B1279" s="1" t="str">
        <f ca="1">IFERROR(__xludf.DUMMYFUNCTION("""COMPUTED_VALUE"""),"進貨")</f>
        <v>進貨</v>
      </c>
      <c r="C1279" s="1" t="str">
        <f ca="1">IFERROR(__xludf.DUMMYFUNCTION("""COMPUTED_VALUE"""),"MM0260000249")</f>
        <v>MM0260000249</v>
      </c>
      <c r="D1279" s="1" t="str">
        <f ca="1">IFERROR(__xludf.DUMMYFUNCTION("""COMPUTED_VALUE"""),"All/RL")</f>
        <v>All/RL</v>
      </c>
      <c r="E1279" s="1" t="str">
        <f ca="1">IFERROR(__xludf.DUMMYFUNCTION("""COMPUTED_VALUE"""),"p1/庫存")</f>
        <v>p1/庫存</v>
      </c>
      <c r="F1279" s="1">
        <f ca="1">IFERROR(__xludf.DUMMYFUNCTION("""COMPUTED_VALUE"""),1)</f>
        <v>1</v>
      </c>
      <c r="G1279" s="1"/>
      <c r="H1279" s="1" t="str">
        <f ca="1">IFERROR(__xludf.DUMMYFUNCTION("""COMPUTED_VALUE"""),"P1")</f>
        <v>P1</v>
      </c>
      <c r="I1279" s="1" t="str">
        <f ca="1">IFERROR(__xludf.DUMMYFUNCTION("""COMPUTED_VALUE"""),"Simon")</f>
        <v>Simon</v>
      </c>
    </row>
    <row r="1280" spans="1:9" ht="12.7" x14ac:dyDescent="0.4">
      <c r="A1280" s="2">
        <f ca="1">IFERROR(__xludf.DUMMYFUNCTION("""COMPUTED_VALUE"""),45849.5236085185)</f>
        <v>45849.523608518502</v>
      </c>
      <c r="B1280" s="1" t="str">
        <f ca="1">IFERROR(__xludf.DUMMYFUNCTION("""COMPUTED_VALUE"""),"進貨")</f>
        <v>進貨</v>
      </c>
      <c r="C1280" s="1" t="str">
        <f ca="1">IFERROR(__xludf.DUMMYFUNCTION("""COMPUTED_VALUE"""),"MM0260000249")</f>
        <v>MM0260000249</v>
      </c>
      <c r="D1280" s="1" t="str">
        <f ca="1">IFERROR(__xludf.DUMMYFUNCTION("""COMPUTED_VALUE"""),"All/RL")</f>
        <v>All/RL</v>
      </c>
      <c r="E1280" s="1" t="str">
        <f ca="1">IFERROR(__xludf.DUMMYFUNCTION("""COMPUTED_VALUE"""),"p2/庫存")</f>
        <v>p2/庫存</v>
      </c>
      <c r="F1280" s="1">
        <f ca="1">IFERROR(__xludf.DUMMYFUNCTION("""COMPUTED_VALUE"""),2)</f>
        <v>2</v>
      </c>
      <c r="G1280" s="1"/>
      <c r="H1280" s="1" t="str">
        <f ca="1">IFERROR(__xludf.DUMMYFUNCTION("""COMPUTED_VALUE"""),"P2")</f>
        <v>P2</v>
      </c>
      <c r="I1280" s="1" t="str">
        <f ca="1">IFERROR(__xludf.DUMMYFUNCTION("""COMPUTED_VALUE"""),"Simon")</f>
        <v>Simon</v>
      </c>
    </row>
    <row r="1281" spans="1:9" ht="12.7" x14ac:dyDescent="0.4">
      <c r="A1281" s="2">
        <f ca="1">IFERROR(__xludf.DUMMYFUNCTION("""COMPUTED_VALUE"""),45849.5243869444)</f>
        <v>45849.524386944402</v>
      </c>
      <c r="B1281" s="1" t="str">
        <f ca="1">IFERROR(__xludf.DUMMYFUNCTION("""COMPUTED_VALUE"""),"進貨")</f>
        <v>進貨</v>
      </c>
      <c r="C1281" s="1" t="str">
        <f ca="1">IFERROR(__xludf.DUMMYFUNCTION("""COMPUTED_VALUE"""),"ME0020000622")</f>
        <v>ME0020000622</v>
      </c>
      <c r="D1281" s="1" t="str">
        <f ca="1">IFERROR(__xludf.DUMMYFUNCTION("""COMPUTED_VALUE"""),"All/共用")</f>
        <v>All/共用</v>
      </c>
      <c r="E1281" s="1" t="str">
        <f ca="1">IFERROR(__xludf.DUMMYFUNCTION("""COMPUTED_VALUE"""),"p1/庫存")</f>
        <v>p1/庫存</v>
      </c>
      <c r="F1281" s="1">
        <f ca="1">IFERROR(__xludf.DUMMYFUNCTION("""COMPUTED_VALUE"""),2)</f>
        <v>2</v>
      </c>
      <c r="G1281" s="1"/>
      <c r="H1281" s="1" t="str">
        <f ca="1">IFERROR(__xludf.DUMMYFUNCTION("""COMPUTED_VALUE"""),"P1")</f>
        <v>P1</v>
      </c>
      <c r="I1281" s="1" t="str">
        <f ca="1">IFERROR(__xludf.DUMMYFUNCTION("""COMPUTED_VALUE"""),"Chiao Yu")</f>
        <v>Chiao Yu</v>
      </c>
    </row>
    <row r="1282" spans="1:9" ht="12.7" x14ac:dyDescent="0.4">
      <c r="A1282" s="2">
        <f ca="1">IFERROR(__xludf.DUMMYFUNCTION("""COMPUTED_VALUE"""),45849.5247794675)</f>
        <v>45849.524779467502</v>
      </c>
      <c r="B1282" s="1" t="str">
        <f ca="1">IFERROR(__xludf.DUMMYFUNCTION("""COMPUTED_VALUE"""),"進貨")</f>
        <v>進貨</v>
      </c>
      <c r="C1282" s="1" t="str">
        <f ca="1">IFERROR(__xludf.DUMMYFUNCTION("""COMPUTED_VALUE"""),"ME0010000383")</f>
        <v>ME0010000383</v>
      </c>
      <c r="D1282" s="1" t="str">
        <f ca="1">IFERROR(__xludf.DUMMYFUNCTION("""COMPUTED_VALUE"""),"All/共用")</f>
        <v>All/共用</v>
      </c>
      <c r="E1282" s="1" t="str">
        <f ca="1">IFERROR(__xludf.DUMMYFUNCTION("""COMPUTED_VALUE"""),"p1/庫存")</f>
        <v>p1/庫存</v>
      </c>
      <c r="F1282" s="1">
        <f ca="1">IFERROR(__xludf.DUMMYFUNCTION("""COMPUTED_VALUE"""),2)</f>
        <v>2</v>
      </c>
      <c r="G1282" s="1"/>
      <c r="H1282" s="1" t="str">
        <f ca="1">IFERROR(__xludf.DUMMYFUNCTION("""COMPUTED_VALUE"""),"P1")</f>
        <v>P1</v>
      </c>
      <c r="I1282" s="1" t="str">
        <f ca="1">IFERROR(__xludf.DUMMYFUNCTION("""COMPUTED_VALUE"""),"Chiao Yu")</f>
        <v>Chiao Yu</v>
      </c>
    </row>
    <row r="1283" spans="1:9" ht="12.7" x14ac:dyDescent="0.4">
      <c r="A1283" s="2">
        <f ca="1">IFERROR(__xludf.DUMMYFUNCTION("""COMPUTED_VALUE"""),45849.5251332291)</f>
        <v>45849.525133229101</v>
      </c>
      <c r="B1283" s="1" t="str">
        <f ca="1">IFERROR(__xludf.DUMMYFUNCTION("""COMPUTED_VALUE"""),"進貨")</f>
        <v>進貨</v>
      </c>
      <c r="C1283" s="1" t="str">
        <f ca="1">IFERROR(__xludf.DUMMYFUNCTION("""COMPUTED_VALUE"""),"ME0120000230")</f>
        <v>ME0120000230</v>
      </c>
      <c r="D1283" s="1" t="str">
        <f ca="1">IFERROR(__xludf.DUMMYFUNCTION("""COMPUTED_VALUE"""),"All/共用")</f>
        <v>All/共用</v>
      </c>
      <c r="E1283" s="1" t="str">
        <f ca="1">IFERROR(__xludf.DUMMYFUNCTION("""COMPUTED_VALUE"""),"p1/庫存")</f>
        <v>p1/庫存</v>
      </c>
      <c r="F1283" s="1">
        <f ca="1">IFERROR(__xludf.DUMMYFUNCTION("""COMPUTED_VALUE"""),2)</f>
        <v>2</v>
      </c>
      <c r="G1283" s="1"/>
      <c r="H1283" s="1" t="str">
        <f ca="1">IFERROR(__xludf.DUMMYFUNCTION("""COMPUTED_VALUE"""),"P1")</f>
        <v>P1</v>
      </c>
      <c r="I1283" s="1" t="str">
        <f ca="1">IFERROR(__xludf.DUMMYFUNCTION("""COMPUTED_VALUE"""),"Chiao Yu")</f>
        <v>Chiao Yu</v>
      </c>
    </row>
    <row r="1284" spans="1:9" ht="12.7" x14ac:dyDescent="0.4">
      <c r="A1284" s="2">
        <f ca="1">IFERROR(__xludf.DUMMYFUNCTION("""COMPUTED_VALUE"""),45849.5273967939)</f>
        <v>45849.527396793899</v>
      </c>
      <c r="B1284" s="1" t="str">
        <f ca="1">IFERROR(__xludf.DUMMYFUNCTION("""COMPUTED_VALUE"""),"進貨")</f>
        <v>進貨</v>
      </c>
      <c r="C1284" s="1" t="str">
        <f ca="1">IFERROR(__xludf.DUMMYFUNCTION("""COMPUTED_VALUE"""),"ME0270001257")</f>
        <v>ME0270001257</v>
      </c>
      <c r="D1284" s="1" t="str">
        <f ca="1">IFERROR(__xludf.DUMMYFUNCTION("""COMPUTED_VALUE"""),"All/共用")</f>
        <v>All/共用</v>
      </c>
      <c r="E1284" s="1" t="str">
        <f ca="1">IFERROR(__xludf.DUMMYFUNCTION("""COMPUTED_VALUE"""),"p1/庫存")</f>
        <v>p1/庫存</v>
      </c>
      <c r="F1284" s="1">
        <f ca="1">IFERROR(__xludf.DUMMYFUNCTION("""COMPUTED_VALUE"""),2)</f>
        <v>2</v>
      </c>
      <c r="G1284" s="1"/>
      <c r="H1284" s="1" t="str">
        <f ca="1">IFERROR(__xludf.DUMMYFUNCTION("""COMPUTED_VALUE"""),"P1")</f>
        <v>P1</v>
      </c>
      <c r="I1284" s="1" t="str">
        <f ca="1">IFERROR(__xludf.DUMMYFUNCTION("""COMPUTED_VALUE"""),"Chiao Yu")</f>
        <v>Chiao Yu</v>
      </c>
    </row>
    <row r="1285" spans="1:9" ht="12.7" x14ac:dyDescent="0.4">
      <c r="A1285" s="2">
        <f ca="1">IFERROR(__xludf.DUMMYFUNCTION("""COMPUTED_VALUE"""),45849.5305728472)</f>
        <v>45849.530572847201</v>
      </c>
      <c r="B1285" s="1" t="str">
        <f ca="1">IFERROR(__xludf.DUMMYFUNCTION("""COMPUTED_VALUE"""),"進貨")</f>
        <v>進貨</v>
      </c>
      <c r="C1285" s="1" t="str">
        <f ca="1">IFERROR(__xludf.DUMMYFUNCTION("""COMPUTED_VALUE"""),"A00700000862")</f>
        <v>A00700000862</v>
      </c>
      <c r="D1285" s="1" t="str">
        <f ca="1">IFERROR(__xludf.DUMMYFUNCTION("""COMPUTED_VALUE"""),"All/SB")</f>
        <v>All/SB</v>
      </c>
      <c r="E1285" s="1" t="str">
        <f ca="1">IFERROR(__xludf.DUMMYFUNCTION("""COMPUTED_VALUE"""),"p1/庫存")</f>
        <v>p1/庫存</v>
      </c>
      <c r="F1285" s="1">
        <f ca="1">IFERROR(__xludf.DUMMYFUNCTION("""COMPUTED_VALUE"""),6)</f>
        <v>6</v>
      </c>
      <c r="G1285" s="1"/>
      <c r="H1285" s="1" t="str">
        <f ca="1">IFERROR(__xludf.DUMMYFUNCTION("""COMPUTED_VALUE"""),"P1")</f>
        <v>P1</v>
      </c>
      <c r="I1285" s="1" t="str">
        <f ca="1">IFERROR(__xludf.DUMMYFUNCTION("""COMPUTED_VALUE"""),"Simon")</f>
        <v>Simon</v>
      </c>
    </row>
    <row r="1286" spans="1:9" ht="12.7" x14ac:dyDescent="0.4">
      <c r="A1286" s="2">
        <f ca="1">IFERROR(__xludf.DUMMYFUNCTION("""COMPUTED_VALUE"""),45849.53267603)</f>
        <v>45849.532676030001</v>
      </c>
      <c r="B1286" s="1" t="str">
        <f ca="1">IFERROR(__xludf.DUMMYFUNCTION("""COMPUTED_VALUE"""),"進貨")</f>
        <v>進貨</v>
      </c>
      <c r="C1286" s="1" t="str">
        <f ca="1">IFERROR(__xludf.DUMMYFUNCTION("""COMPUTED_VALUE"""),"ME0300000021")</f>
        <v>ME0300000021</v>
      </c>
      <c r="D1286" s="1" t="str">
        <f ca="1">IFERROR(__xludf.DUMMYFUNCTION("""COMPUTED_VALUE"""),"All/COLOR")</f>
        <v>All/COLOR</v>
      </c>
      <c r="E1286" s="1" t="str">
        <f ca="1">IFERROR(__xludf.DUMMYFUNCTION("""COMPUTED_VALUE"""),"p2/庫存")</f>
        <v>p2/庫存</v>
      </c>
      <c r="F1286" s="1">
        <f ca="1">IFERROR(__xludf.DUMMYFUNCTION("""COMPUTED_VALUE"""),1)</f>
        <v>1</v>
      </c>
      <c r="G1286" s="1"/>
      <c r="H1286" s="1" t="str">
        <f ca="1">IFERROR(__xludf.DUMMYFUNCTION("""COMPUTED_VALUE"""),"P2")</f>
        <v>P2</v>
      </c>
      <c r="I1286" s="1" t="str">
        <f ca="1">IFERROR(__xludf.DUMMYFUNCTION("""COMPUTED_VALUE"""),"Simon")</f>
        <v>Simon</v>
      </c>
    </row>
    <row r="1287" spans="1:9" ht="12.7" x14ac:dyDescent="0.4">
      <c r="A1287" s="2">
        <f ca="1">IFERROR(__xludf.DUMMYFUNCTION("""COMPUTED_VALUE"""),45849.5473217361)</f>
        <v>45849.5473217361</v>
      </c>
      <c r="B1287" s="1" t="str">
        <f ca="1">IFERROR(__xludf.DUMMYFUNCTION("""COMPUTED_VALUE"""),"進貨")</f>
        <v>進貨</v>
      </c>
      <c r="C1287" s="1" t="str">
        <f ca="1">IFERROR(__xludf.DUMMYFUNCTION("""COMPUTED_VALUE"""),"MM0220000044")</f>
        <v>MM0220000044</v>
      </c>
      <c r="D1287" s="1" t="str">
        <f ca="1">IFERROR(__xludf.DUMMYFUNCTION("""COMPUTED_VALUE"""),"All/共用")</f>
        <v>All/共用</v>
      </c>
      <c r="E1287" s="1" t="str">
        <f ca="1">IFERROR(__xludf.DUMMYFUNCTION("""COMPUTED_VALUE"""),"p1/庫存")</f>
        <v>p1/庫存</v>
      </c>
      <c r="F1287" s="1">
        <f ca="1">IFERROR(__xludf.DUMMYFUNCTION("""COMPUTED_VALUE"""),2)</f>
        <v>2</v>
      </c>
      <c r="G1287" s="1"/>
      <c r="H1287" s="1" t="str">
        <f ca="1">IFERROR(__xludf.DUMMYFUNCTION("""COMPUTED_VALUE"""),"P1")</f>
        <v>P1</v>
      </c>
      <c r="I1287" s="1" t="str">
        <f ca="1">IFERROR(__xludf.DUMMYFUNCTION("""COMPUTED_VALUE"""),"Chiao Yu")</f>
        <v>Chiao Yu</v>
      </c>
    </row>
    <row r="1288" spans="1:9" ht="12.7" x14ac:dyDescent="0.4">
      <c r="A1288" s="2">
        <f ca="1">IFERROR(__xludf.DUMMYFUNCTION("""COMPUTED_VALUE"""),45849.551594074)</f>
        <v>45849.551594074001</v>
      </c>
      <c r="B1288" s="1" t="str">
        <f ca="1">IFERROR(__xludf.DUMMYFUNCTION("""COMPUTED_VALUE"""),"領料")</f>
        <v>領料</v>
      </c>
      <c r="C1288" s="1" t="str">
        <f ca="1">IFERROR(__xludf.DUMMYFUNCTION("""COMPUTED_VALUE"""),"MM0220000048")</f>
        <v>MM0220000048</v>
      </c>
      <c r="D1288" s="1" t="str">
        <f ca="1">IFERROR(__xludf.DUMMYFUNCTION("""COMPUTED_VALUE"""),"All/共用")</f>
        <v>All/共用</v>
      </c>
      <c r="E1288" s="1" t="str">
        <f ca="1">IFERROR(__xludf.DUMMYFUNCTION("""COMPUTED_VALUE"""),"p1/庫存")</f>
        <v>p1/庫存</v>
      </c>
      <c r="F1288" s="1">
        <f ca="1">IFERROR(__xludf.DUMMYFUNCTION("""COMPUTED_VALUE"""),2)</f>
        <v>2</v>
      </c>
      <c r="G1288" s="1"/>
      <c r="H1288" s="1" t="str">
        <f ca="1">IFERROR(__xludf.DUMMYFUNCTION("""COMPUTED_VALUE"""),"P1")</f>
        <v>P1</v>
      </c>
      <c r="I1288" s="1" t="str">
        <f ca="1">IFERROR(__xludf.DUMMYFUNCTION("""COMPUTED_VALUE"""),"Chiao Yu")</f>
        <v>Chiao Yu</v>
      </c>
    </row>
    <row r="1289" spans="1:9" ht="12.7" x14ac:dyDescent="0.4">
      <c r="A1289" s="2">
        <f ca="1">IFERROR(__xludf.DUMMYFUNCTION("""COMPUTED_VALUE"""),45849.5543308333)</f>
        <v>45849.5543308333</v>
      </c>
      <c r="B1289" s="1" t="str">
        <f ca="1">IFERROR(__xludf.DUMMYFUNCTION("""COMPUTED_VALUE"""),"領料")</f>
        <v>領料</v>
      </c>
      <c r="C1289" s="1" t="str">
        <f ca="1">IFERROR(__xludf.DUMMYFUNCTION("""COMPUTED_VALUE"""),"MM0220000043")</f>
        <v>MM0220000043</v>
      </c>
      <c r="D1289" s="1" t="str">
        <f ca="1">IFERROR(__xludf.DUMMYFUNCTION("""COMPUTED_VALUE"""),"All/共用")</f>
        <v>All/共用</v>
      </c>
      <c r="E1289" s="1" t="str">
        <f ca="1">IFERROR(__xludf.DUMMYFUNCTION("""COMPUTED_VALUE"""),"p1/庫存")</f>
        <v>p1/庫存</v>
      </c>
      <c r="F1289" s="1">
        <f ca="1">IFERROR(__xludf.DUMMYFUNCTION("""COMPUTED_VALUE"""),1)</f>
        <v>1</v>
      </c>
      <c r="G1289" s="1"/>
      <c r="H1289" s="1" t="str">
        <f ca="1">IFERROR(__xludf.DUMMYFUNCTION("""COMPUTED_VALUE"""),"P1")</f>
        <v>P1</v>
      </c>
      <c r="I1289" s="1" t="str">
        <f ca="1">IFERROR(__xludf.DUMMYFUNCTION("""COMPUTED_VALUE"""),"Chiao Yu")</f>
        <v>Chiao Yu</v>
      </c>
    </row>
    <row r="1290" spans="1:9" ht="12.7" x14ac:dyDescent="0.4">
      <c r="A1290" s="2">
        <f ca="1">IFERROR(__xludf.DUMMYFUNCTION("""COMPUTED_VALUE"""),45849.5548400347)</f>
        <v>45849.554840034703</v>
      </c>
      <c r="B1290" s="1" t="str">
        <f ca="1">IFERROR(__xludf.DUMMYFUNCTION("""COMPUTED_VALUE"""),"領料")</f>
        <v>領料</v>
      </c>
      <c r="C1290" s="1" t="str">
        <f ca="1">IFERROR(__xludf.DUMMYFUNCTION("""COMPUTED_VALUE"""),"A00900000618")</f>
        <v>A00900000618</v>
      </c>
      <c r="D1290" s="1" t="str">
        <f ca="1">IFERROR(__xludf.DUMMYFUNCTION("""COMPUTED_VALUE"""),"All/共用")</f>
        <v>All/共用</v>
      </c>
      <c r="E1290" s="1" t="str">
        <f ca="1">IFERROR(__xludf.DUMMYFUNCTION("""COMPUTED_VALUE"""),"p1/庫存")</f>
        <v>p1/庫存</v>
      </c>
      <c r="F1290" s="1">
        <f ca="1">IFERROR(__xludf.DUMMYFUNCTION("""COMPUTED_VALUE"""),2)</f>
        <v>2</v>
      </c>
      <c r="G1290" s="1"/>
      <c r="H1290" s="1" t="str">
        <f ca="1">IFERROR(__xludf.DUMMYFUNCTION("""COMPUTED_VALUE"""),"P1")</f>
        <v>P1</v>
      </c>
      <c r="I1290" s="1" t="str">
        <f ca="1">IFERROR(__xludf.DUMMYFUNCTION("""COMPUTED_VALUE"""),"Chiao Yu")</f>
        <v>Chiao Yu</v>
      </c>
    </row>
    <row r="1291" spans="1:9" ht="12.7" x14ac:dyDescent="0.4">
      <c r="A1291" s="2">
        <f ca="1">IFERROR(__xludf.DUMMYFUNCTION("""COMPUTED_VALUE"""),45849.5564032407)</f>
        <v>45849.556403240698</v>
      </c>
      <c r="B1291" s="1" t="str">
        <f ca="1">IFERROR(__xludf.DUMMYFUNCTION("""COMPUTED_VALUE"""),"領料")</f>
        <v>領料</v>
      </c>
      <c r="C1291" s="1" t="str">
        <f ca="1">IFERROR(__xludf.DUMMYFUNCTION("""COMPUTED_VALUE"""),"ME0020000560")</f>
        <v>ME0020000560</v>
      </c>
      <c r="D1291" s="1" t="str">
        <f ca="1">IFERROR(__xludf.DUMMYFUNCTION("""COMPUTED_VALUE"""),"All/共用")</f>
        <v>All/共用</v>
      </c>
      <c r="E1291" s="1" t="str">
        <f ca="1">IFERROR(__xludf.DUMMYFUNCTION("""COMPUTED_VALUE"""),"p1/庫存")</f>
        <v>p1/庫存</v>
      </c>
      <c r="F1291" s="1">
        <f ca="1">IFERROR(__xludf.DUMMYFUNCTION("""COMPUTED_VALUE"""),1)</f>
        <v>1</v>
      </c>
      <c r="G1291" s="1"/>
      <c r="H1291" s="1" t="str">
        <f ca="1">IFERROR(__xludf.DUMMYFUNCTION("""COMPUTED_VALUE"""),"P1")</f>
        <v>P1</v>
      </c>
      <c r="I1291" s="1" t="str">
        <f ca="1">IFERROR(__xludf.DUMMYFUNCTION("""COMPUTED_VALUE"""),"Chiao Yu")</f>
        <v>Chiao Yu</v>
      </c>
    </row>
    <row r="1292" spans="1:9" ht="12.7" x14ac:dyDescent="0.4">
      <c r="A1292" s="2">
        <f ca="1">IFERROR(__xludf.DUMMYFUNCTION("""COMPUTED_VALUE"""),45849.5571883333)</f>
        <v>45849.557188333303</v>
      </c>
      <c r="B1292" s="1" t="str">
        <f ca="1">IFERROR(__xludf.DUMMYFUNCTION("""COMPUTED_VALUE"""),"領料")</f>
        <v>領料</v>
      </c>
      <c r="C1292" s="1" t="str">
        <f ca="1">IFERROR(__xludf.DUMMYFUNCTION("""COMPUTED_VALUE"""),"ME0050000183")</f>
        <v>ME0050000183</v>
      </c>
      <c r="D1292" s="1" t="str">
        <f ca="1">IFERROR(__xludf.DUMMYFUNCTION("""COMPUTED_VALUE"""),"All/共用")</f>
        <v>All/共用</v>
      </c>
      <c r="E1292" s="1" t="str">
        <f ca="1">IFERROR(__xludf.DUMMYFUNCTION("""COMPUTED_VALUE"""),"p1/庫存")</f>
        <v>p1/庫存</v>
      </c>
      <c r="F1292" s="1">
        <f ca="1">IFERROR(__xludf.DUMMYFUNCTION("""COMPUTED_VALUE"""),2)</f>
        <v>2</v>
      </c>
      <c r="G1292" s="1"/>
      <c r="H1292" s="1" t="str">
        <f ca="1">IFERROR(__xludf.DUMMYFUNCTION("""COMPUTED_VALUE"""),"P1")</f>
        <v>P1</v>
      </c>
      <c r="I1292" s="1" t="str">
        <f ca="1">IFERROR(__xludf.DUMMYFUNCTION("""COMPUTED_VALUE"""),"Chiao Yu")</f>
        <v>Chiao Yu</v>
      </c>
    </row>
    <row r="1293" spans="1:9" ht="12.7" x14ac:dyDescent="0.4">
      <c r="A1293" s="2">
        <f ca="1">IFERROR(__xludf.DUMMYFUNCTION("""COMPUTED_VALUE"""),45849.5581915509)</f>
        <v>45849.558191550903</v>
      </c>
      <c r="B1293" s="1" t="str">
        <f ca="1">IFERROR(__xludf.DUMMYFUNCTION("""COMPUTED_VALUE"""),"領料")</f>
        <v>領料</v>
      </c>
      <c r="C1293" s="1" t="str">
        <f ca="1">IFERROR(__xludf.DUMMYFUNCTION("""COMPUTED_VALUE"""),"ME0020000592")</f>
        <v>ME0020000592</v>
      </c>
      <c r="D1293" s="1" t="str">
        <f ca="1">IFERROR(__xludf.DUMMYFUNCTION("""COMPUTED_VALUE"""),"All/共用")</f>
        <v>All/共用</v>
      </c>
      <c r="E1293" s="1" t="str">
        <f ca="1">IFERROR(__xludf.DUMMYFUNCTION("""COMPUTED_VALUE"""),"p1/庫存")</f>
        <v>p1/庫存</v>
      </c>
      <c r="F1293" s="1">
        <f ca="1">IFERROR(__xludf.DUMMYFUNCTION("""COMPUTED_VALUE"""),2)</f>
        <v>2</v>
      </c>
      <c r="G1293" s="1"/>
      <c r="H1293" s="1" t="str">
        <f ca="1">IFERROR(__xludf.DUMMYFUNCTION("""COMPUTED_VALUE"""),"P1")</f>
        <v>P1</v>
      </c>
      <c r="I1293" s="1" t="str">
        <f ca="1">IFERROR(__xludf.DUMMYFUNCTION("""COMPUTED_VALUE"""),"Chiao Yu")</f>
        <v>Chiao Yu</v>
      </c>
    </row>
    <row r="1294" spans="1:9" ht="12.7" x14ac:dyDescent="0.4">
      <c r="A1294" s="2">
        <f ca="1">IFERROR(__xludf.DUMMYFUNCTION("""COMPUTED_VALUE"""),45849.5585304282)</f>
        <v>45849.558530428199</v>
      </c>
      <c r="B1294" s="1" t="str">
        <f ca="1">IFERROR(__xludf.DUMMYFUNCTION("""COMPUTED_VALUE"""),"領料")</f>
        <v>領料</v>
      </c>
      <c r="C1294" s="1" t="str">
        <f ca="1">IFERROR(__xludf.DUMMYFUNCTION("""COMPUTED_VALUE"""),"ME0010000383")</f>
        <v>ME0010000383</v>
      </c>
      <c r="D1294" s="1" t="str">
        <f ca="1">IFERROR(__xludf.DUMMYFUNCTION("""COMPUTED_VALUE"""),"All/共用")</f>
        <v>All/共用</v>
      </c>
      <c r="E1294" s="1" t="str">
        <f ca="1">IFERROR(__xludf.DUMMYFUNCTION("""COMPUTED_VALUE"""),"p1/庫存")</f>
        <v>p1/庫存</v>
      </c>
      <c r="F1294" s="1">
        <f ca="1">IFERROR(__xludf.DUMMYFUNCTION("""COMPUTED_VALUE"""),2)</f>
        <v>2</v>
      </c>
      <c r="G1294" s="1"/>
      <c r="H1294" s="1" t="str">
        <f ca="1">IFERROR(__xludf.DUMMYFUNCTION("""COMPUTED_VALUE"""),"P1")</f>
        <v>P1</v>
      </c>
      <c r="I1294" s="1" t="str">
        <f ca="1">IFERROR(__xludf.DUMMYFUNCTION("""COMPUTED_VALUE"""),"Chiao Yu")</f>
        <v>Chiao Yu</v>
      </c>
    </row>
    <row r="1295" spans="1:9" ht="12.7" x14ac:dyDescent="0.4">
      <c r="A1295" s="2">
        <f ca="1">IFERROR(__xludf.DUMMYFUNCTION("""COMPUTED_VALUE"""),45849.5590741782)</f>
        <v>45849.5590741782</v>
      </c>
      <c r="B1295" s="1" t="str">
        <f ca="1">IFERROR(__xludf.DUMMYFUNCTION("""COMPUTED_VALUE"""),"領料")</f>
        <v>領料</v>
      </c>
      <c r="C1295" s="1" t="str">
        <f ca="1">IFERROR(__xludf.DUMMYFUNCTION("""COMPUTED_VALUE"""),"ME0120000230")</f>
        <v>ME0120000230</v>
      </c>
      <c r="D1295" s="1" t="str">
        <f ca="1">IFERROR(__xludf.DUMMYFUNCTION("""COMPUTED_VALUE"""),"All/共用")</f>
        <v>All/共用</v>
      </c>
      <c r="E1295" s="1" t="str">
        <f ca="1">IFERROR(__xludf.DUMMYFUNCTION("""COMPUTED_VALUE"""),"p1/庫存")</f>
        <v>p1/庫存</v>
      </c>
      <c r="F1295" s="1">
        <f ca="1">IFERROR(__xludf.DUMMYFUNCTION("""COMPUTED_VALUE"""),2)</f>
        <v>2</v>
      </c>
      <c r="G1295" s="1"/>
      <c r="H1295" s="1" t="str">
        <f ca="1">IFERROR(__xludf.DUMMYFUNCTION("""COMPUTED_VALUE"""),"P1")</f>
        <v>P1</v>
      </c>
      <c r="I1295" s="1" t="str">
        <f ca="1">IFERROR(__xludf.DUMMYFUNCTION("""COMPUTED_VALUE"""),"Chiao Yu")</f>
        <v>Chiao Yu</v>
      </c>
    </row>
    <row r="1296" spans="1:9" ht="12.7" x14ac:dyDescent="0.4">
      <c r="A1296" s="2">
        <f ca="1">IFERROR(__xludf.DUMMYFUNCTION("""COMPUTED_VALUE"""),45849.5594152199)</f>
        <v>45849.559415219897</v>
      </c>
      <c r="B1296" s="1" t="str">
        <f ca="1">IFERROR(__xludf.DUMMYFUNCTION("""COMPUTED_VALUE"""),"領料")</f>
        <v>領料</v>
      </c>
      <c r="C1296" s="1" t="str">
        <f ca="1">IFERROR(__xludf.DUMMYFUNCTION("""COMPUTED_VALUE"""),"ME0270001257")</f>
        <v>ME0270001257</v>
      </c>
      <c r="D1296" s="1" t="str">
        <f ca="1">IFERROR(__xludf.DUMMYFUNCTION("""COMPUTED_VALUE"""),"All/共用")</f>
        <v>All/共用</v>
      </c>
      <c r="E1296" s="1" t="str">
        <f ca="1">IFERROR(__xludf.DUMMYFUNCTION("""COMPUTED_VALUE"""),"p1/庫存")</f>
        <v>p1/庫存</v>
      </c>
      <c r="F1296" s="1">
        <f ca="1">IFERROR(__xludf.DUMMYFUNCTION("""COMPUTED_VALUE"""),2)</f>
        <v>2</v>
      </c>
      <c r="G1296" s="1"/>
      <c r="H1296" s="1" t="str">
        <f ca="1">IFERROR(__xludf.DUMMYFUNCTION("""COMPUTED_VALUE"""),"P1")</f>
        <v>P1</v>
      </c>
      <c r="I1296" s="1" t="str">
        <f ca="1">IFERROR(__xludf.DUMMYFUNCTION("""COMPUTED_VALUE"""),"Chiao Yu")</f>
        <v>Chiao Yu</v>
      </c>
    </row>
    <row r="1297" spans="1:9" ht="12.7" x14ac:dyDescent="0.4">
      <c r="A1297" s="2">
        <f ca="1">IFERROR(__xludf.DUMMYFUNCTION("""COMPUTED_VALUE"""),45849.5606516319)</f>
        <v>45849.560651631902</v>
      </c>
      <c r="B1297" s="1" t="str">
        <f ca="1">IFERROR(__xludf.DUMMYFUNCTION("""COMPUTED_VALUE"""),"領料")</f>
        <v>領料</v>
      </c>
      <c r="C1297" s="1" t="str">
        <f ca="1">IFERROR(__xludf.DUMMYFUNCTION("""COMPUTED_VALUE"""),"MM0220000044")</f>
        <v>MM0220000044</v>
      </c>
      <c r="D1297" s="1" t="str">
        <f ca="1">IFERROR(__xludf.DUMMYFUNCTION("""COMPUTED_VALUE"""),"All/共用")</f>
        <v>All/共用</v>
      </c>
      <c r="E1297" s="1" t="str">
        <f ca="1">IFERROR(__xludf.DUMMYFUNCTION("""COMPUTED_VALUE"""),"p1/庫存")</f>
        <v>p1/庫存</v>
      </c>
      <c r="F1297" s="1">
        <f ca="1">IFERROR(__xludf.DUMMYFUNCTION("""COMPUTED_VALUE"""),2)</f>
        <v>2</v>
      </c>
      <c r="G1297" s="1"/>
      <c r="H1297" s="1" t="str">
        <f ca="1">IFERROR(__xludf.DUMMYFUNCTION("""COMPUTED_VALUE"""),"P1")</f>
        <v>P1</v>
      </c>
      <c r="I1297" s="1" t="str">
        <f ca="1">IFERROR(__xludf.DUMMYFUNCTION("""COMPUTED_VALUE"""),"Chiao Yu")</f>
        <v>Chiao Yu</v>
      </c>
    </row>
    <row r="1298" spans="1:9" ht="12.7" x14ac:dyDescent="0.4">
      <c r="A1298" s="2">
        <f ca="1">IFERROR(__xludf.DUMMYFUNCTION("""COMPUTED_VALUE"""),45850.6946035995)</f>
        <v>45850.694603599499</v>
      </c>
      <c r="B1298" s="1" t="str">
        <f ca="1">IFERROR(__xludf.DUMMYFUNCTION("""COMPUTED_VALUE"""),"送修")</f>
        <v>送修</v>
      </c>
      <c r="C1298" s="1" t="str">
        <f ca="1">IFERROR(__xludf.DUMMYFUNCTION("""COMPUTED_VALUE"""),"ME0020000582")</f>
        <v>ME0020000582</v>
      </c>
      <c r="D1298" s="1" t="str">
        <f ca="1">IFERROR(__xludf.DUMMYFUNCTION("""COMPUTED_VALUE"""),"All/共用")</f>
        <v>All/共用</v>
      </c>
      <c r="E1298" s="1" t="str">
        <f ca="1">IFERROR(__xludf.DUMMYFUNCTION("""COMPUTED_VALUE"""),"p2/庫存")</f>
        <v>p2/庫存</v>
      </c>
      <c r="F1298" s="1">
        <f ca="1">IFERROR(__xludf.DUMMYFUNCTION("""COMPUTED_VALUE"""),1)</f>
        <v>1</v>
      </c>
      <c r="G1298" s="1" t="str">
        <f ca="1">IFERROR(__xludf.DUMMYFUNCTION("""COMPUTED_VALUE"""),"S2341050046")</f>
        <v>S2341050046</v>
      </c>
      <c r="H1298" s="1" t="str">
        <f ca="1">IFERROR(__xludf.DUMMYFUNCTION("""COMPUTED_VALUE"""),"P2_11001")</f>
        <v>P2_11001</v>
      </c>
      <c r="I1298" s="1" t="str">
        <f ca="1">IFERROR(__xludf.DUMMYFUNCTION("""COMPUTED_VALUE"""),"Jason")</f>
        <v>Jason</v>
      </c>
    </row>
    <row r="1299" spans="1:9" ht="12.7" x14ac:dyDescent="0.4">
      <c r="A1299" s="2">
        <f ca="1">IFERROR(__xludf.DUMMYFUNCTION("""COMPUTED_VALUE"""),45850.734855706)</f>
        <v>45850.734855706003</v>
      </c>
      <c r="B1299" s="1" t="str">
        <f ca="1">IFERROR(__xludf.DUMMYFUNCTION("""COMPUTED_VALUE"""),"料件上線時間")</f>
        <v>料件上線時間</v>
      </c>
      <c r="C1299" s="1" t="str">
        <f ca="1">IFERROR(__xludf.DUMMYFUNCTION("""COMPUTED_VALUE"""),"ME0020000582")</f>
        <v>ME0020000582</v>
      </c>
      <c r="D1299" s="1" t="str">
        <f ca="1">IFERROR(__xludf.DUMMYFUNCTION("""COMPUTED_VALUE"""),"All/共用")</f>
        <v>All/共用</v>
      </c>
      <c r="E1299" s="1" t="str">
        <f ca="1">IFERROR(__xludf.DUMMYFUNCTION("""COMPUTED_VALUE"""),"p2/庫存")</f>
        <v>p2/庫存</v>
      </c>
      <c r="F1299" s="1">
        <f ca="1">IFERROR(__xludf.DUMMYFUNCTION("""COMPUTED_VALUE"""),1)</f>
        <v>1</v>
      </c>
      <c r="G1299" s="1" t="str">
        <f ca="1">IFERROR(__xludf.DUMMYFUNCTION("""COMPUTED_VALUE"""),"待補")</f>
        <v>待補</v>
      </c>
      <c r="H1299" s="1" t="str">
        <f ca="1">IFERROR(__xludf.DUMMYFUNCTION("""COMPUTED_VALUE"""),"P2_11001")</f>
        <v>P2_11001</v>
      </c>
      <c r="I1299" s="1" t="str">
        <f ca="1">IFERROR(__xludf.DUMMYFUNCTION("""COMPUTED_VALUE"""),"Jason")</f>
        <v>Jason</v>
      </c>
    </row>
    <row r="1300" spans="1:9" ht="12.7" x14ac:dyDescent="0.4">
      <c r="A1300" s="2">
        <f ca="1">IFERROR(__xludf.DUMMYFUNCTION("""COMPUTED_VALUE"""),45852.7305114814)</f>
        <v>45852.730511481401</v>
      </c>
      <c r="B1300" s="1" t="str">
        <f ca="1">IFERROR(__xludf.DUMMYFUNCTION("""COMPUTED_VALUE"""),"庫存調整")</f>
        <v>庫存調整</v>
      </c>
      <c r="C1300" s="1" t="str">
        <f ca="1">IFERROR(__xludf.DUMMYFUNCTION("""COMPUTED_VALUE"""),"ME0050000135")</f>
        <v>ME0050000135</v>
      </c>
      <c r="D1300" s="1" t="str">
        <f ca="1">IFERROR(__xludf.DUMMYFUNCTION("""COMPUTED_VALUE"""),"All/RL")</f>
        <v>All/RL</v>
      </c>
      <c r="E1300" s="1" t="str">
        <f ca="1">IFERROR(__xludf.DUMMYFUNCTION("""COMPUTED_VALUE"""),"p2/庫存")</f>
        <v>p2/庫存</v>
      </c>
      <c r="F1300" s="1">
        <f ca="1">IFERROR(__xludf.DUMMYFUNCTION("""COMPUTED_VALUE"""),-1)</f>
        <v>-1</v>
      </c>
      <c r="G1300" s="1"/>
      <c r="H1300" s="1" t="str">
        <f ca="1">IFERROR(__xludf.DUMMYFUNCTION("""COMPUTED_VALUE"""),"P2")</f>
        <v>P2</v>
      </c>
      <c r="I1300" s="1" t="str">
        <f ca="1">IFERROR(__xludf.DUMMYFUNCTION("""COMPUTED_VALUE"""),"Simon")</f>
        <v>Simon</v>
      </c>
    </row>
    <row r="1301" spans="1:9" ht="12.7" x14ac:dyDescent="0.4">
      <c r="A1301" s="2">
        <f ca="1">IFERROR(__xludf.DUMMYFUNCTION("""COMPUTED_VALUE"""),45852.7312659953)</f>
        <v>45852.731265995302</v>
      </c>
      <c r="B1301" s="1" t="str">
        <f ca="1">IFERROR(__xludf.DUMMYFUNCTION("""COMPUTED_VALUE"""),"庫存調整")</f>
        <v>庫存調整</v>
      </c>
      <c r="C1301" s="1" t="str">
        <f ca="1">IFERROR(__xludf.DUMMYFUNCTION("""COMPUTED_VALUE"""),"ME0050000135")</f>
        <v>ME0050000135</v>
      </c>
      <c r="D1301" s="1" t="str">
        <f ca="1">IFERROR(__xludf.DUMMYFUNCTION("""COMPUTED_VALUE"""),"All/RL")</f>
        <v>All/RL</v>
      </c>
      <c r="E1301" s="1" t="str">
        <f ca="1">IFERROR(__xludf.DUMMYFUNCTION("""COMPUTED_VALUE"""),"p1/庫存")</f>
        <v>p1/庫存</v>
      </c>
      <c r="F1301" s="1">
        <f ca="1">IFERROR(__xludf.DUMMYFUNCTION("""COMPUTED_VALUE"""),1)</f>
        <v>1</v>
      </c>
      <c r="G1301" s="1"/>
      <c r="H1301" s="1" t="str">
        <f ca="1">IFERROR(__xludf.DUMMYFUNCTION("""COMPUTED_VALUE"""),"P1")</f>
        <v>P1</v>
      </c>
      <c r="I1301" s="1" t="str">
        <f ca="1">IFERROR(__xludf.DUMMYFUNCTION("""COMPUTED_VALUE"""),"Simon")</f>
        <v>Simon</v>
      </c>
    </row>
    <row r="1302" spans="1:9" ht="12.7" x14ac:dyDescent="0.4">
      <c r="A1302" s="2">
        <f ca="1">IFERROR(__xludf.DUMMYFUNCTION("""COMPUTED_VALUE"""),45852.7321683449)</f>
        <v>45852.732168344897</v>
      </c>
      <c r="B1302" s="1" t="str">
        <f ca="1">IFERROR(__xludf.DUMMYFUNCTION("""COMPUTED_VALUE"""),"庫存調整")</f>
        <v>庫存調整</v>
      </c>
      <c r="C1302" s="1" t="str">
        <f ca="1">IFERROR(__xludf.DUMMYFUNCTION("""COMPUTED_VALUE"""),"ME0120000132")</f>
        <v>ME0120000132</v>
      </c>
      <c r="D1302" s="1" t="str">
        <f ca="1">IFERROR(__xludf.DUMMYFUNCTION("""COMPUTED_VALUE"""),"All/RL")</f>
        <v>All/RL</v>
      </c>
      <c r="E1302" s="1" t="str">
        <f ca="1">IFERROR(__xludf.DUMMYFUNCTION("""COMPUTED_VALUE"""),"p2/庫存")</f>
        <v>p2/庫存</v>
      </c>
      <c r="F1302" s="1">
        <f ca="1">IFERROR(__xludf.DUMMYFUNCTION("""COMPUTED_VALUE"""),-1)</f>
        <v>-1</v>
      </c>
      <c r="G1302" s="1"/>
      <c r="H1302" s="1" t="str">
        <f ca="1">IFERROR(__xludf.DUMMYFUNCTION("""COMPUTED_VALUE"""),"P2")</f>
        <v>P2</v>
      </c>
      <c r="I1302" s="1" t="str">
        <f ca="1">IFERROR(__xludf.DUMMYFUNCTION("""COMPUTED_VALUE"""),"Simon")</f>
        <v>Simon</v>
      </c>
    </row>
    <row r="1303" spans="1:9" ht="12.7" x14ac:dyDescent="0.4">
      <c r="A1303" s="2">
        <f ca="1">IFERROR(__xludf.DUMMYFUNCTION("""COMPUTED_VALUE"""),45852.7329607523)</f>
        <v>45852.732960752299</v>
      </c>
      <c r="B1303" s="1" t="str">
        <f ca="1">IFERROR(__xludf.DUMMYFUNCTION("""COMPUTED_VALUE"""),"庫存調整")</f>
        <v>庫存調整</v>
      </c>
      <c r="C1303" s="1" t="str">
        <f ca="1">IFERROR(__xludf.DUMMYFUNCTION("""COMPUTED_VALUE"""),"ME0120000132")</f>
        <v>ME0120000132</v>
      </c>
      <c r="D1303" s="1" t="str">
        <f ca="1">IFERROR(__xludf.DUMMYFUNCTION("""COMPUTED_VALUE"""),"All/RL")</f>
        <v>All/RL</v>
      </c>
      <c r="E1303" s="1" t="str">
        <f ca="1">IFERROR(__xludf.DUMMYFUNCTION("""COMPUTED_VALUE"""),"p1/庫存")</f>
        <v>p1/庫存</v>
      </c>
      <c r="F1303" s="1">
        <f ca="1">IFERROR(__xludf.DUMMYFUNCTION("""COMPUTED_VALUE"""),1)</f>
        <v>1</v>
      </c>
      <c r="G1303" s="1"/>
      <c r="H1303" s="1" t="str">
        <f ca="1">IFERROR(__xludf.DUMMYFUNCTION("""COMPUTED_VALUE"""),"P1")</f>
        <v>P1</v>
      </c>
      <c r="I1303" s="1" t="str">
        <f ca="1">IFERROR(__xludf.DUMMYFUNCTION("""COMPUTED_VALUE"""),"Simon")</f>
        <v>Simon</v>
      </c>
    </row>
    <row r="1304" spans="1:9" ht="12.7" x14ac:dyDescent="0.4">
      <c r="A1304" s="2">
        <f ca="1">IFERROR(__xludf.DUMMYFUNCTION("""COMPUTED_VALUE"""),45853.3698469328)</f>
        <v>45853.369846932801</v>
      </c>
      <c r="B1304" s="1" t="str">
        <f ca="1">IFERROR(__xludf.DUMMYFUNCTION("""COMPUTED_VALUE"""),"返修")</f>
        <v>返修</v>
      </c>
      <c r="C1304" s="1" t="str">
        <f ca="1">IFERROR(__xludf.DUMMYFUNCTION("""COMPUTED_VALUE"""),"ME0160000073")</f>
        <v>ME0160000073</v>
      </c>
      <c r="D1304" s="1" t="str">
        <f ca="1">IFERROR(__xludf.DUMMYFUNCTION("""COMPUTED_VALUE"""),"All/BA")</f>
        <v>All/BA</v>
      </c>
      <c r="E1304" s="1" t="str">
        <f ca="1">IFERROR(__xludf.DUMMYFUNCTION("""COMPUTED_VALUE"""),"p1/庫存")</f>
        <v>p1/庫存</v>
      </c>
      <c r="F1304" s="1">
        <f ca="1">IFERROR(__xludf.DUMMYFUNCTION("""COMPUTED_VALUE"""),1)</f>
        <v>1</v>
      </c>
      <c r="G1304" s="1" t="str">
        <f ca="1">IFERROR(__xludf.DUMMYFUNCTION("""COMPUTED_VALUE"""),"B2206364 ")</f>
        <v xml:space="preserve">B2206364 </v>
      </c>
      <c r="H1304" s="1" t="str">
        <f ca="1">IFERROR(__xludf.DUMMYFUNCTION("""COMPUTED_VALUE"""),"P1")</f>
        <v>P1</v>
      </c>
      <c r="I1304" s="1" t="str">
        <f ca="1">IFERROR(__xludf.DUMMYFUNCTION("""COMPUTED_VALUE"""),"Simon")</f>
        <v>Simon</v>
      </c>
    </row>
    <row r="1305" spans="1:9" ht="12.7" x14ac:dyDescent="0.4">
      <c r="A1305" s="2">
        <f ca="1">IFERROR(__xludf.DUMMYFUNCTION("""COMPUTED_VALUE"""),45853.370864375)</f>
        <v>45853.370864375</v>
      </c>
      <c r="B1305" s="1" t="str">
        <f ca="1">IFERROR(__xludf.DUMMYFUNCTION("""COMPUTED_VALUE"""),"返修")</f>
        <v>返修</v>
      </c>
      <c r="C1305" s="1" t="str">
        <f ca="1">IFERROR(__xludf.DUMMYFUNCTION("""COMPUTED_VALUE"""),"ME0160000073")</f>
        <v>ME0160000073</v>
      </c>
      <c r="D1305" s="1" t="str">
        <f ca="1">IFERROR(__xludf.DUMMYFUNCTION("""COMPUTED_VALUE"""),"All/BA")</f>
        <v>All/BA</v>
      </c>
      <c r="E1305" s="1" t="str">
        <f ca="1">IFERROR(__xludf.DUMMYFUNCTION("""COMPUTED_VALUE"""),"p1/庫存")</f>
        <v>p1/庫存</v>
      </c>
      <c r="F1305" s="1">
        <f ca="1">IFERROR(__xludf.DUMMYFUNCTION("""COMPUTED_VALUE"""),1)</f>
        <v>1</v>
      </c>
      <c r="G1305" s="1" t="str">
        <f ca="1">IFERROR(__xludf.DUMMYFUNCTION("""COMPUTED_VALUE"""),"B2211386")</f>
        <v>B2211386</v>
      </c>
      <c r="H1305" s="1" t="str">
        <f ca="1">IFERROR(__xludf.DUMMYFUNCTION("""COMPUTED_VALUE"""),"P1")</f>
        <v>P1</v>
      </c>
      <c r="I1305" s="1" t="str">
        <f ca="1">IFERROR(__xludf.DUMMYFUNCTION("""COMPUTED_VALUE"""),"Simon")</f>
        <v>Simon</v>
      </c>
    </row>
    <row r="1306" spans="1:9" ht="12.7" x14ac:dyDescent="0.4">
      <c r="A1306" s="2">
        <f ca="1">IFERROR(__xludf.DUMMYFUNCTION("""COMPUTED_VALUE"""),45855.6796149768)</f>
        <v>45855.679614976798</v>
      </c>
      <c r="B1306" s="1" t="str">
        <f ca="1">IFERROR(__xludf.DUMMYFUNCTION("""COMPUTED_VALUE"""),"進貨")</f>
        <v>進貨</v>
      </c>
      <c r="C1306" s="1" t="str">
        <f ca="1">IFERROR(__xludf.DUMMYFUNCTION("""COMPUTED_VALUE"""),"A00700000862")</f>
        <v>A00700000862</v>
      </c>
      <c r="D1306" s="1" t="str">
        <f ca="1">IFERROR(__xludf.DUMMYFUNCTION("""COMPUTED_VALUE"""),"All/SB")</f>
        <v>All/SB</v>
      </c>
      <c r="E1306" s="1" t="str">
        <f ca="1">IFERROR(__xludf.DUMMYFUNCTION("""COMPUTED_VALUE"""),"p2/庫存")</f>
        <v>p2/庫存</v>
      </c>
      <c r="F1306" s="1">
        <f ca="1">IFERROR(__xludf.DUMMYFUNCTION("""COMPUTED_VALUE"""),9)</f>
        <v>9</v>
      </c>
      <c r="G1306" s="1"/>
      <c r="H1306" s="1" t="str">
        <f ca="1">IFERROR(__xludf.DUMMYFUNCTION("""COMPUTED_VALUE"""),"P2")</f>
        <v>P2</v>
      </c>
      <c r="I1306" s="1" t="str">
        <f ca="1">IFERROR(__xludf.DUMMYFUNCTION("""COMPUTED_VALUE"""),"Simon")</f>
        <v>Simon</v>
      </c>
    </row>
    <row r="1307" spans="1:9" ht="12.7" x14ac:dyDescent="0.4">
      <c r="A1307" s="2">
        <f ca="1">IFERROR(__xludf.DUMMYFUNCTION("""COMPUTED_VALUE"""),45856.3896328935)</f>
        <v>45856.389632893501</v>
      </c>
      <c r="B1307" s="1" t="str">
        <f ca="1">IFERROR(__xludf.DUMMYFUNCTION("""COMPUTED_VALUE"""),"庫存調整")</f>
        <v>庫存調整</v>
      </c>
      <c r="C1307" s="1" t="str">
        <f ca="1">IFERROR(__xludf.DUMMYFUNCTION("""COMPUTED_VALUE"""),"A00700000862")</f>
        <v>A00700000862</v>
      </c>
      <c r="D1307" s="1" t="str">
        <f ca="1">IFERROR(__xludf.DUMMYFUNCTION("""COMPUTED_VALUE"""),"All/SB")</f>
        <v>All/SB</v>
      </c>
      <c r="E1307" s="1" t="str">
        <f ca="1">IFERROR(__xludf.DUMMYFUNCTION("""COMPUTED_VALUE"""),"p1/庫存")</f>
        <v>p1/庫存</v>
      </c>
      <c r="F1307" s="1">
        <f ca="1">IFERROR(__xludf.DUMMYFUNCTION("""COMPUTED_VALUE"""),-3)</f>
        <v>-3</v>
      </c>
      <c r="G1307" s="1"/>
      <c r="H1307" s="1" t="str">
        <f ca="1">IFERROR(__xludf.DUMMYFUNCTION("""COMPUTED_VALUE"""),"P1")</f>
        <v>P1</v>
      </c>
      <c r="I1307" s="1" t="str">
        <f ca="1">IFERROR(__xludf.DUMMYFUNCTION("""COMPUTED_VALUE"""),"Simon")</f>
        <v>Simon</v>
      </c>
    </row>
    <row r="1308" spans="1:9" ht="12.7" x14ac:dyDescent="0.4">
      <c r="A1308" s="2">
        <f ca="1">IFERROR(__xludf.DUMMYFUNCTION("""COMPUTED_VALUE"""),45856.3902618634)</f>
        <v>45856.390261863402</v>
      </c>
      <c r="B1308" s="1" t="str">
        <f ca="1">IFERROR(__xludf.DUMMYFUNCTION("""COMPUTED_VALUE"""),"庫存調整")</f>
        <v>庫存調整</v>
      </c>
      <c r="C1308" s="1" t="str">
        <f ca="1">IFERROR(__xludf.DUMMYFUNCTION("""COMPUTED_VALUE"""),"A00700000862")</f>
        <v>A00700000862</v>
      </c>
      <c r="D1308" s="1" t="str">
        <f ca="1">IFERROR(__xludf.DUMMYFUNCTION("""COMPUTED_VALUE"""),"All/SB")</f>
        <v>All/SB</v>
      </c>
      <c r="E1308" s="1" t="str">
        <f ca="1">IFERROR(__xludf.DUMMYFUNCTION("""COMPUTED_VALUE"""),"p2/庫存")</f>
        <v>p2/庫存</v>
      </c>
      <c r="F1308" s="1">
        <f ca="1">IFERROR(__xludf.DUMMYFUNCTION("""COMPUTED_VALUE"""),3)</f>
        <v>3</v>
      </c>
      <c r="G1308" s="1"/>
      <c r="H1308" s="1" t="str">
        <f ca="1">IFERROR(__xludf.DUMMYFUNCTION("""COMPUTED_VALUE"""),"P2")</f>
        <v>P2</v>
      </c>
      <c r="I1308" s="1" t="str">
        <f ca="1">IFERROR(__xludf.DUMMYFUNCTION("""COMPUTED_VALUE"""),"Simon")</f>
        <v>Simon</v>
      </c>
    </row>
    <row r="1309" spans="1:9" ht="12.7" x14ac:dyDescent="0.4">
      <c r="A1309" s="2">
        <f ca="1">IFERROR(__xludf.DUMMYFUNCTION("""COMPUTED_VALUE"""),45856.3930907986)</f>
        <v>45856.3930907986</v>
      </c>
      <c r="B1309" s="1" t="str">
        <f ca="1">IFERROR(__xludf.DUMMYFUNCTION("""COMPUTED_VALUE"""),"送修")</f>
        <v>送修</v>
      </c>
      <c r="C1309" s="1" t="str">
        <f ca="1">IFERROR(__xludf.DUMMYFUNCTION("""COMPUTED_VALUE"""),"ME0070000140")</f>
        <v>ME0070000140</v>
      </c>
      <c r="D1309" s="1" t="str">
        <f ca="1">IFERROR(__xludf.DUMMYFUNCTION("""COMPUTED_VALUE"""),"All/BA")</f>
        <v>All/BA</v>
      </c>
      <c r="E1309" s="1" t="str">
        <f ca="1">IFERROR(__xludf.DUMMYFUNCTION("""COMPUTED_VALUE"""),"p2/庫存")</f>
        <v>p2/庫存</v>
      </c>
      <c r="F1309" s="1">
        <f ca="1">IFERROR(__xludf.DUMMYFUNCTION("""COMPUTED_VALUE"""),1)</f>
        <v>1</v>
      </c>
      <c r="G1309" s="1" t="str">
        <f ca="1">IFERROR(__xludf.DUMMYFUNCTION("""COMPUTED_VALUE"""),"100A-2522C0058-2204")</f>
        <v>100A-2522C0058-2204</v>
      </c>
      <c r="H1309" s="1" t="str">
        <f ca="1">IFERROR(__xludf.DUMMYFUNCTION("""COMPUTED_VALUE"""),"P1_008")</f>
        <v>P1_008</v>
      </c>
      <c r="I1309" s="1" t="str">
        <f ca="1">IFERROR(__xludf.DUMMYFUNCTION("""COMPUTED_VALUE"""),"Simon")</f>
        <v>Simon</v>
      </c>
    </row>
    <row r="1310" spans="1:9" ht="12.7" x14ac:dyDescent="0.4">
      <c r="A1310" s="2">
        <f ca="1">IFERROR(__xludf.DUMMYFUNCTION("""COMPUTED_VALUE"""),45856.3945910185)</f>
        <v>45856.394591018499</v>
      </c>
      <c r="B1310" s="1" t="str">
        <f ca="1">IFERROR(__xludf.DUMMYFUNCTION("""COMPUTED_VALUE"""),"料件上線時間")</f>
        <v>料件上線時間</v>
      </c>
      <c r="C1310" s="1" t="str">
        <f ca="1">IFERROR(__xludf.DUMMYFUNCTION("""COMPUTED_VALUE"""),"ME0070000140")</f>
        <v>ME0070000140</v>
      </c>
      <c r="D1310" s="1" t="str">
        <f ca="1">IFERROR(__xludf.DUMMYFUNCTION("""COMPUTED_VALUE"""),"All/BA")</f>
        <v>All/BA</v>
      </c>
      <c r="E1310" s="1" t="str">
        <f ca="1">IFERROR(__xludf.DUMMYFUNCTION("""COMPUTED_VALUE"""),"p1/庫存")</f>
        <v>p1/庫存</v>
      </c>
      <c r="F1310" s="1">
        <f ca="1">IFERROR(__xludf.DUMMYFUNCTION("""COMPUTED_VALUE"""),1)</f>
        <v>1</v>
      </c>
      <c r="G1310" s="1" t="str">
        <f ca="1">IFERROR(__xludf.DUMMYFUNCTION("""COMPUTED_VALUE"""),"100A-2523D0021-2307")</f>
        <v>100A-2523D0021-2307</v>
      </c>
      <c r="H1310" s="1" t="str">
        <f ca="1">IFERROR(__xludf.DUMMYFUNCTION("""COMPUTED_VALUE"""),"P1_008")</f>
        <v>P1_008</v>
      </c>
      <c r="I1310" s="1" t="str">
        <f ca="1">IFERROR(__xludf.DUMMYFUNCTION("""COMPUTED_VALUE"""),"Simon")</f>
        <v>Simon</v>
      </c>
    </row>
    <row r="1311" spans="1:9" ht="12.7" x14ac:dyDescent="0.4">
      <c r="A1311" s="2">
        <f ca="1">IFERROR(__xludf.DUMMYFUNCTION("""COMPUTED_VALUE"""),45856.4247081944)</f>
        <v>45856.424708194398</v>
      </c>
      <c r="B1311" s="1" t="str">
        <f ca="1">IFERROR(__xludf.DUMMYFUNCTION("""COMPUTED_VALUE"""),"庫存調整")</f>
        <v>庫存調整</v>
      </c>
      <c r="C1311" s="1" t="str">
        <f ca="1">IFERROR(__xludf.DUMMYFUNCTION("""COMPUTED_VALUE"""),"ME0270000789")</f>
        <v>ME0270000789</v>
      </c>
      <c r="D1311" s="1" t="str">
        <f ca="1">IFERROR(__xludf.DUMMYFUNCTION("""COMPUTED_VALUE"""),"All/共用")</f>
        <v>All/共用</v>
      </c>
      <c r="E1311" s="1" t="str">
        <f ca="1">IFERROR(__xludf.DUMMYFUNCTION("""COMPUTED_VALUE"""),"p1/庫存")</f>
        <v>p1/庫存</v>
      </c>
      <c r="F1311" s="1">
        <f ca="1">IFERROR(__xludf.DUMMYFUNCTION("""COMPUTED_VALUE"""),1)</f>
        <v>1</v>
      </c>
      <c r="G1311" s="1"/>
      <c r="H1311" s="1" t="str">
        <f ca="1">IFERROR(__xludf.DUMMYFUNCTION("""COMPUTED_VALUE"""),"P1")</f>
        <v>P1</v>
      </c>
      <c r="I1311" s="1" t="str">
        <f ca="1">IFERROR(__xludf.DUMMYFUNCTION("""COMPUTED_VALUE"""),"Chiao Yu")</f>
        <v>Chiao Yu</v>
      </c>
    </row>
    <row r="1312" spans="1:9" ht="12.7" x14ac:dyDescent="0.4">
      <c r="A1312" s="2">
        <f ca="1">IFERROR(__xludf.DUMMYFUNCTION("""COMPUTED_VALUE"""),45856.5583978819)</f>
        <v>45856.558397881898</v>
      </c>
      <c r="B1312" s="1" t="str">
        <f ca="1">IFERROR(__xludf.DUMMYFUNCTION("""COMPUTED_VALUE"""),"進貨")</f>
        <v>進貨</v>
      </c>
      <c r="C1312" s="1" t="str">
        <f ca="1">IFERROR(__xludf.DUMMYFUNCTION("""COMPUTED_VALUE"""),"ME0070000140")</f>
        <v>ME0070000140</v>
      </c>
      <c r="D1312" s="1" t="str">
        <f ca="1">IFERROR(__xludf.DUMMYFUNCTION("""COMPUTED_VALUE"""),"All/BA")</f>
        <v>All/BA</v>
      </c>
      <c r="E1312" s="1" t="str">
        <f ca="1">IFERROR(__xludf.DUMMYFUNCTION("""COMPUTED_VALUE"""),"p1/庫存")</f>
        <v>p1/庫存</v>
      </c>
      <c r="F1312" s="1">
        <f ca="1">IFERROR(__xludf.DUMMYFUNCTION("""COMPUTED_VALUE"""),5)</f>
        <v>5</v>
      </c>
      <c r="G1312" s="1"/>
      <c r="H1312" s="1" t="str">
        <f ca="1">IFERROR(__xludf.DUMMYFUNCTION("""COMPUTED_VALUE"""),"P1")</f>
        <v>P1</v>
      </c>
      <c r="I1312" s="1" t="str">
        <f ca="1">IFERROR(__xludf.DUMMYFUNCTION("""COMPUTED_VALUE"""),"Chiao Yu")</f>
        <v>Chiao Yu</v>
      </c>
    </row>
    <row r="1313" spans="1:9" ht="12.7" x14ac:dyDescent="0.4">
      <c r="A1313" s="2">
        <f ca="1">IFERROR(__xludf.DUMMYFUNCTION("""COMPUTED_VALUE"""),45856.558648125)</f>
        <v>45856.558648124999</v>
      </c>
      <c r="B1313" s="1" t="str">
        <f ca="1">IFERROR(__xludf.DUMMYFUNCTION("""COMPUTED_VALUE"""),"進貨")</f>
        <v>進貨</v>
      </c>
      <c r="C1313" s="1" t="str">
        <f ca="1">IFERROR(__xludf.DUMMYFUNCTION("""COMPUTED_VALUE"""),"ME0070000140")</f>
        <v>ME0070000140</v>
      </c>
      <c r="D1313" s="1" t="str">
        <f ca="1">IFERROR(__xludf.DUMMYFUNCTION("""COMPUTED_VALUE"""),"All/BA")</f>
        <v>All/BA</v>
      </c>
      <c r="E1313" s="1" t="str">
        <f ca="1">IFERROR(__xludf.DUMMYFUNCTION("""COMPUTED_VALUE"""),"p2/庫存")</f>
        <v>p2/庫存</v>
      </c>
      <c r="F1313" s="1">
        <f ca="1">IFERROR(__xludf.DUMMYFUNCTION("""COMPUTED_VALUE"""),3)</f>
        <v>3</v>
      </c>
      <c r="G1313" s="1"/>
      <c r="H1313" s="1" t="str">
        <f ca="1">IFERROR(__xludf.DUMMYFUNCTION("""COMPUTED_VALUE"""),"P2")</f>
        <v>P2</v>
      </c>
      <c r="I1313" s="1" t="str">
        <f ca="1">IFERROR(__xludf.DUMMYFUNCTION("""COMPUTED_VALUE"""),"Chiao Yu")</f>
        <v>Chiao Yu</v>
      </c>
    </row>
    <row r="1314" spans="1:9" ht="12.7" x14ac:dyDescent="0.4">
      <c r="A1314" s="2">
        <f ca="1">IFERROR(__xludf.DUMMYFUNCTION("""COMPUTED_VALUE"""),45858.6083840046)</f>
        <v>45858.608384004598</v>
      </c>
      <c r="B1314" s="1" t="str">
        <f ca="1">IFERROR(__xludf.DUMMYFUNCTION("""COMPUTED_VALUE"""),"送修")</f>
        <v>送修</v>
      </c>
      <c r="C1314" s="1" t="str">
        <f ca="1">IFERROR(__xludf.DUMMYFUNCTION("""COMPUTED_VALUE"""),"ME0100000077")</f>
        <v>ME0100000077</v>
      </c>
      <c r="D1314" s="1" t="str">
        <f ca="1">IFERROR(__xludf.DUMMYFUNCTION("""COMPUTED_VALUE"""),"All/COLOR")</f>
        <v>All/COLOR</v>
      </c>
      <c r="E1314" s="1" t="str">
        <f ca="1">IFERROR(__xludf.DUMMYFUNCTION("""COMPUTED_VALUE"""),"p2/庫存")</f>
        <v>p2/庫存</v>
      </c>
      <c r="F1314" s="1">
        <f ca="1">IFERROR(__xludf.DUMMYFUNCTION("""COMPUTED_VALUE"""),0)</f>
        <v>0</v>
      </c>
      <c r="G1314" s="1"/>
      <c r="H1314" s="1" t="str">
        <f ca="1">IFERROR(__xludf.DUMMYFUNCTION("""COMPUTED_VALUE"""),"P2_3003")</f>
        <v>P2_3003</v>
      </c>
      <c r="I1314" s="1" t="str">
        <f ca="1">IFERROR(__xludf.DUMMYFUNCTION("""COMPUTED_VALUE"""),"Chiao Yu")</f>
        <v>Chiao Yu</v>
      </c>
    </row>
    <row r="1315" spans="1:9" ht="12.7" x14ac:dyDescent="0.4">
      <c r="A1315" s="2">
        <f ca="1">IFERROR(__xludf.DUMMYFUNCTION("""COMPUTED_VALUE"""),45859.6904953703)</f>
        <v>45859.690495370298</v>
      </c>
      <c r="B1315" s="1" t="str">
        <f ca="1">IFERROR(__xludf.DUMMYFUNCTION("""COMPUTED_VALUE"""),"領料")</f>
        <v>領料</v>
      </c>
      <c r="C1315" s="1" t="str">
        <f ca="1">IFERROR(__xludf.DUMMYFUNCTION("""COMPUTED_VALUE"""),"ME0030000076")</f>
        <v>ME0030000076</v>
      </c>
      <c r="D1315" s="1" t="str">
        <f ca="1">IFERROR(__xludf.DUMMYFUNCTION("""COMPUTED_VALUE"""),"All/共用")</f>
        <v>All/共用</v>
      </c>
      <c r="E1315" s="1" t="str">
        <f ca="1">IFERROR(__xludf.DUMMYFUNCTION("""COMPUTED_VALUE"""),"p2/庫存")</f>
        <v>p2/庫存</v>
      </c>
      <c r="F1315" s="1">
        <f ca="1">IFERROR(__xludf.DUMMYFUNCTION("""COMPUTED_VALUE"""),1)</f>
        <v>1</v>
      </c>
      <c r="G1315" s="1" t="str">
        <f ca="1">IFERROR(__xludf.DUMMYFUNCTION("""COMPUTED_VALUE"""),"22443F4012032")</f>
        <v>22443F4012032</v>
      </c>
      <c r="H1315" s="1" t="str">
        <f ca="1">IFERROR(__xludf.DUMMYFUNCTION("""COMPUTED_VALUE"""),"P2_4004")</f>
        <v>P2_4004</v>
      </c>
      <c r="I1315" s="1" t="str">
        <f ca="1">IFERROR(__xludf.DUMMYFUNCTION("""COMPUTED_VALUE"""),"Chiao Yu")</f>
        <v>Chiao Yu</v>
      </c>
    </row>
    <row r="1316" spans="1:9" ht="12.7" x14ac:dyDescent="0.4">
      <c r="A1316" s="2">
        <f ca="1">IFERROR(__xludf.DUMMYFUNCTION("""COMPUTED_VALUE"""),45859.6961775)</f>
        <v>45859.696177500002</v>
      </c>
      <c r="B1316" s="1" t="str">
        <f ca="1">IFERROR(__xludf.DUMMYFUNCTION("""COMPUTED_VALUE"""),"料件上線時間")</f>
        <v>料件上線時間</v>
      </c>
      <c r="C1316" s="1" t="str">
        <f ca="1">IFERROR(__xludf.DUMMYFUNCTION("""COMPUTED_VALUE"""),"ME0030000076")</f>
        <v>ME0030000076</v>
      </c>
      <c r="D1316" s="1" t="str">
        <f ca="1">IFERROR(__xludf.DUMMYFUNCTION("""COMPUTED_VALUE"""),"All/共用")</f>
        <v>All/共用</v>
      </c>
      <c r="E1316" s="1" t="str">
        <f ca="1">IFERROR(__xludf.DUMMYFUNCTION("""COMPUTED_VALUE"""),"p2/庫存")</f>
        <v>p2/庫存</v>
      </c>
      <c r="F1316" s="1">
        <f ca="1">IFERROR(__xludf.DUMMYFUNCTION("""COMPUTED_VALUE"""),1)</f>
        <v>1</v>
      </c>
      <c r="G1316" s="1" t="str">
        <f ca="1">IFERROR(__xludf.DUMMYFUNCTION("""COMPUTED_VALUE"""),"22443F4012032")</f>
        <v>22443F4012032</v>
      </c>
      <c r="H1316" s="1" t="str">
        <f ca="1">IFERROR(__xludf.DUMMYFUNCTION("""COMPUTED_VALUE"""),"P2_4004")</f>
        <v>P2_4004</v>
      </c>
      <c r="I1316" s="1" t="str">
        <f ca="1">IFERROR(__xludf.DUMMYFUNCTION("""COMPUTED_VALUE"""),"Chiao Yu")</f>
        <v>Chiao Yu</v>
      </c>
    </row>
    <row r="1317" spans="1:9" ht="12.7" x14ac:dyDescent="0.4">
      <c r="A1317" s="2">
        <f ca="1">IFERROR(__xludf.DUMMYFUNCTION("""COMPUTED_VALUE"""),45860.3644579861)</f>
        <v>45860.364457986099</v>
      </c>
      <c r="B1317" s="1" t="str">
        <f ca="1">IFERROR(__xludf.DUMMYFUNCTION("""COMPUTED_VALUE"""),"領料")</f>
        <v>領料</v>
      </c>
      <c r="C1317" s="1" t="str">
        <f ca="1">IFERROR(__xludf.DUMMYFUNCTION("""COMPUTED_VALUE"""),"A00700000862")</f>
        <v>A00700000862</v>
      </c>
      <c r="D1317" s="1" t="str">
        <f ca="1">IFERROR(__xludf.DUMMYFUNCTION("""COMPUTED_VALUE"""),"All/SB")</f>
        <v>All/SB</v>
      </c>
      <c r="E1317" s="1" t="str">
        <f ca="1">IFERROR(__xludf.DUMMYFUNCTION("""COMPUTED_VALUE"""),"p2/庫存")</f>
        <v>p2/庫存</v>
      </c>
      <c r="F1317" s="1">
        <f ca="1">IFERROR(__xludf.DUMMYFUNCTION("""COMPUTED_VALUE"""),2)</f>
        <v>2</v>
      </c>
      <c r="G1317" s="1"/>
      <c r="H1317" s="1" t="str">
        <f ca="1">IFERROR(__xludf.DUMMYFUNCTION("""COMPUTED_VALUE"""),"P2_7002")</f>
        <v>P2_7002</v>
      </c>
      <c r="I1317" s="1" t="str">
        <f ca="1">IFERROR(__xludf.DUMMYFUNCTION("""COMPUTED_VALUE"""),"Nick")</f>
        <v>Nick</v>
      </c>
    </row>
    <row r="1318" spans="1:9" ht="12.7" x14ac:dyDescent="0.4">
      <c r="A1318" s="2">
        <f ca="1">IFERROR(__xludf.DUMMYFUNCTION("""COMPUTED_VALUE"""),45860.6124580208)</f>
        <v>45860.612458020798</v>
      </c>
      <c r="B1318" s="1" t="str">
        <f ca="1">IFERROR(__xludf.DUMMYFUNCTION("""COMPUTED_VALUE"""),"領料")</f>
        <v>領料</v>
      </c>
      <c r="C1318" s="1" t="str">
        <f ca="1">IFERROR(__xludf.DUMMYFUNCTION("""COMPUTED_VALUE"""),"ME0270001341")</f>
        <v>ME0270001341</v>
      </c>
      <c r="D1318" s="1" t="str">
        <f ca="1">IFERROR(__xludf.DUMMYFUNCTION("""COMPUTED_VALUE"""),"All/COLOR")</f>
        <v>All/COLOR</v>
      </c>
      <c r="E1318" s="1" t="str">
        <f ca="1">IFERROR(__xludf.DUMMYFUNCTION("""COMPUTED_VALUE"""),"p2/庫存")</f>
        <v>p2/庫存</v>
      </c>
      <c r="F1318" s="1">
        <f ca="1">IFERROR(__xludf.DUMMYFUNCTION("""COMPUTED_VALUE"""),1)</f>
        <v>1</v>
      </c>
      <c r="G1318" s="1"/>
      <c r="H1318" s="1" t="str">
        <f ca="1">IFERROR(__xludf.DUMMYFUNCTION("""COMPUTED_VALUE"""),"P2_3003")</f>
        <v>P2_3003</v>
      </c>
      <c r="I1318" s="1" t="str">
        <f ca="1">IFERROR(__xludf.DUMMYFUNCTION("""COMPUTED_VALUE"""),"Chiao Yu")</f>
        <v>Chiao Yu</v>
      </c>
    </row>
    <row r="1319" spans="1:9" ht="12.7" x14ac:dyDescent="0.4">
      <c r="A1319" s="2">
        <f ca="1">IFERROR(__xludf.DUMMYFUNCTION("""COMPUTED_VALUE"""),45862.7975843055)</f>
        <v>45862.797584305503</v>
      </c>
      <c r="B1319" s="1" t="str">
        <f ca="1">IFERROR(__xludf.DUMMYFUNCTION("""COMPUTED_VALUE"""),"領料")</f>
        <v>領料</v>
      </c>
      <c r="C1319" s="1" t="str">
        <f ca="1">IFERROR(__xludf.DUMMYFUNCTION("""COMPUTED_VALUE"""),"MM0220000040")</f>
        <v>MM0220000040</v>
      </c>
      <c r="D1319" s="1" t="str">
        <f ca="1">IFERROR(__xludf.DUMMYFUNCTION("""COMPUTED_VALUE"""),"All/共用")</f>
        <v>All/共用</v>
      </c>
      <c r="E1319" s="1" t="str">
        <f ca="1">IFERROR(__xludf.DUMMYFUNCTION("""COMPUTED_VALUE"""),"p2/庫存")</f>
        <v>p2/庫存</v>
      </c>
      <c r="F1319" s="1">
        <f ca="1">IFERROR(__xludf.DUMMYFUNCTION("""COMPUTED_VALUE"""),2)</f>
        <v>2</v>
      </c>
      <c r="G1319" s="1"/>
      <c r="H1319" s="1" t="str">
        <f ca="1">IFERROR(__xludf.DUMMYFUNCTION("""COMPUTED_VALUE"""),"P2")</f>
        <v>P2</v>
      </c>
      <c r="I1319" s="1" t="str">
        <f ca="1">IFERROR(__xludf.DUMMYFUNCTION("""COMPUTED_VALUE"""),"Simon")</f>
        <v>Simon</v>
      </c>
    </row>
    <row r="1320" spans="1:9" ht="12.7" x14ac:dyDescent="0.4">
      <c r="A1320" s="2">
        <f ca="1">IFERROR(__xludf.DUMMYFUNCTION("""COMPUTED_VALUE"""),45863.362596875)</f>
        <v>45863.362596874998</v>
      </c>
      <c r="B1320" s="1" t="str">
        <f ca="1">IFERROR(__xludf.DUMMYFUNCTION("""COMPUTED_VALUE"""),"領料")</f>
        <v>領料</v>
      </c>
      <c r="C1320" s="1" t="str">
        <f ca="1">IFERROR(__xludf.DUMMYFUNCTION("""COMPUTED_VALUE"""),"MM0220000040")</f>
        <v>MM0220000040</v>
      </c>
      <c r="D1320" s="1" t="str">
        <f ca="1">IFERROR(__xludf.DUMMYFUNCTION("""COMPUTED_VALUE"""),"All/共用")</f>
        <v>All/共用</v>
      </c>
      <c r="E1320" s="1" t="str">
        <f ca="1">IFERROR(__xludf.DUMMYFUNCTION("""COMPUTED_VALUE"""),"p2/庫存")</f>
        <v>p2/庫存</v>
      </c>
      <c r="F1320" s="1">
        <f ca="1">IFERROR(__xludf.DUMMYFUNCTION("""COMPUTED_VALUE"""),5)</f>
        <v>5</v>
      </c>
      <c r="G1320" s="1"/>
      <c r="H1320" s="1" t="str">
        <f ca="1">IFERROR(__xludf.DUMMYFUNCTION("""COMPUTED_VALUE"""),"P2")</f>
        <v>P2</v>
      </c>
      <c r="I1320" s="1" t="str">
        <f ca="1">IFERROR(__xludf.DUMMYFUNCTION("""COMPUTED_VALUE"""),"Jason")</f>
        <v>Jason</v>
      </c>
    </row>
    <row r="1321" spans="1:9" ht="12.7" x14ac:dyDescent="0.4">
      <c r="A1321" s="2">
        <f ca="1">IFERROR(__xludf.DUMMYFUNCTION("""COMPUTED_VALUE"""),45866.7364839236)</f>
        <v>45866.736483923603</v>
      </c>
      <c r="B1321" s="1" t="str">
        <f ca="1">IFERROR(__xludf.DUMMYFUNCTION("""COMPUTED_VALUE"""),"進貨")</f>
        <v>進貨</v>
      </c>
      <c r="C1321" s="1" t="str">
        <f ca="1">IFERROR(__xludf.DUMMYFUNCTION("""COMPUTED_VALUE"""),"MM0090000279")</f>
        <v>MM0090000279</v>
      </c>
      <c r="D1321" s="1" t="str">
        <f ca="1">IFERROR(__xludf.DUMMYFUNCTION("""COMPUTED_VALUE"""),"All/BA")</f>
        <v>All/BA</v>
      </c>
      <c r="E1321" s="1" t="str">
        <f ca="1">IFERROR(__xludf.DUMMYFUNCTION("""COMPUTED_VALUE"""),"p2/庫存")</f>
        <v>p2/庫存</v>
      </c>
      <c r="F1321" s="1">
        <f ca="1">IFERROR(__xludf.DUMMYFUNCTION("""COMPUTED_VALUE"""),1012)</f>
        <v>1012</v>
      </c>
      <c r="G1321" s="1"/>
      <c r="H1321" s="1" t="str">
        <f ca="1">IFERROR(__xludf.DUMMYFUNCTION("""COMPUTED_VALUE"""),"P2")</f>
        <v>P2</v>
      </c>
      <c r="I1321" s="1" t="str">
        <f ca="1">IFERROR(__xludf.DUMMYFUNCTION("""COMPUTED_VALUE"""),"Simon")</f>
        <v>Simon</v>
      </c>
    </row>
    <row r="1322" spans="1:9" ht="12.7" x14ac:dyDescent="0.4">
      <c r="A1322" s="2">
        <f ca="1">IFERROR(__xludf.DUMMYFUNCTION("""COMPUTED_VALUE"""),45866.737097662)</f>
        <v>45866.737097662</v>
      </c>
      <c r="B1322" s="1" t="str">
        <f ca="1">IFERROR(__xludf.DUMMYFUNCTION("""COMPUTED_VALUE"""),"進貨")</f>
        <v>進貨</v>
      </c>
      <c r="C1322" s="1" t="str">
        <f ca="1">IFERROR(__xludf.DUMMYFUNCTION("""COMPUTED_VALUE"""),"MM0090000279")</f>
        <v>MM0090000279</v>
      </c>
      <c r="D1322" s="1" t="str">
        <f ca="1">IFERROR(__xludf.DUMMYFUNCTION("""COMPUTED_VALUE"""),"All/BA")</f>
        <v>All/BA</v>
      </c>
      <c r="E1322" s="1" t="str">
        <f ca="1">IFERROR(__xludf.DUMMYFUNCTION("""COMPUTED_VALUE"""),"p1/庫存")</f>
        <v>p1/庫存</v>
      </c>
      <c r="F1322" s="1">
        <f ca="1">IFERROR(__xludf.DUMMYFUNCTION("""COMPUTED_VALUE"""),1010)</f>
        <v>1010</v>
      </c>
      <c r="G1322" s="1"/>
      <c r="H1322" s="1" t="str">
        <f ca="1">IFERROR(__xludf.DUMMYFUNCTION("""COMPUTED_VALUE"""),"P1")</f>
        <v>P1</v>
      </c>
      <c r="I1322" s="1" t="str">
        <f ca="1">IFERROR(__xludf.DUMMYFUNCTION("""COMPUTED_VALUE"""),"Simon")</f>
        <v>Simon</v>
      </c>
    </row>
    <row r="1323" spans="1:9" ht="12.7" x14ac:dyDescent="0.4">
      <c r="A1323" s="2">
        <f ca="1">IFERROR(__xludf.DUMMYFUNCTION("""COMPUTED_VALUE"""),45867.3541296759)</f>
        <v>45867.354129675899</v>
      </c>
      <c r="B1323" s="1" t="str">
        <f ca="1">IFERROR(__xludf.DUMMYFUNCTION("""COMPUTED_VALUE"""),"領料")</f>
        <v>領料</v>
      </c>
      <c r="C1323" s="1" t="str">
        <f ca="1">IFERROR(__xludf.DUMMYFUNCTION("""COMPUTED_VALUE"""),"MM0090000279")</f>
        <v>MM0090000279</v>
      </c>
      <c r="D1323" s="1" t="str">
        <f ca="1">IFERROR(__xludf.DUMMYFUNCTION("""COMPUTED_VALUE"""),"All/BA")</f>
        <v>All/BA</v>
      </c>
      <c r="E1323" s="1" t="str">
        <f ca="1">IFERROR(__xludf.DUMMYFUNCTION("""COMPUTED_VALUE"""),"p2/庫存")</f>
        <v>p2/庫存</v>
      </c>
      <c r="F1323" s="1">
        <f ca="1">IFERROR(__xludf.DUMMYFUNCTION("""COMPUTED_VALUE"""),80)</f>
        <v>80</v>
      </c>
      <c r="G1323" s="1"/>
      <c r="H1323" s="1" t="str">
        <f ca="1">IFERROR(__xludf.DUMMYFUNCTION("""COMPUTED_VALUE"""),"P2")</f>
        <v>P2</v>
      </c>
      <c r="I1323" s="1" t="str">
        <f ca="1">IFERROR(__xludf.DUMMYFUNCTION("""COMPUTED_VALUE"""),"Simon")</f>
        <v>Simon</v>
      </c>
    </row>
    <row r="1324" spans="1:9" ht="12.7" x14ac:dyDescent="0.4">
      <c r="A1324" s="2">
        <f ca="1">IFERROR(__xludf.DUMMYFUNCTION("""COMPUTED_VALUE"""),45869.4211208449)</f>
        <v>45869.421120844898</v>
      </c>
      <c r="B1324" s="1" t="str">
        <f ca="1">IFERROR(__xludf.DUMMYFUNCTION("""COMPUTED_VALUE"""),"領料")</f>
        <v>領料</v>
      </c>
      <c r="C1324" s="1" t="str">
        <f ca="1">IFERROR(__xludf.DUMMYFUNCTION("""COMPUTED_VALUE"""),"MM0090000279")</f>
        <v>MM0090000279</v>
      </c>
      <c r="D1324" s="1" t="str">
        <f ca="1">IFERROR(__xludf.DUMMYFUNCTION("""COMPUTED_VALUE"""),"All/BA")</f>
        <v>All/BA</v>
      </c>
      <c r="E1324" s="1" t="str">
        <f ca="1">IFERROR(__xludf.DUMMYFUNCTION("""COMPUTED_VALUE"""),"p1/庫存")</f>
        <v>p1/庫存</v>
      </c>
      <c r="F1324" s="1">
        <f ca="1">IFERROR(__xludf.DUMMYFUNCTION("""COMPUTED_VALUE"""),8)</f>
        <v>8</v>
      </c>
      <c r="G1324" s="1"/>
      <c r="H1324" s="1" t="str">
        <f ca="1">IFERROR(__xludf.DUMMYFUNCTION("""COMPUTED_VALUE"""),"P1")</f>
        <v>P1</v>
      </c>
      <c r="I1324" s="1" t="str">
        <f ca="1">IFERROR(__xludf.DUMMYFUNCTION("""COMPUTED_VALUE"""),"Chiao Yu")</f>
        <v>Chiao Yu</v>
      </c>
    </row>
    <row r="1325" spans="1:9" ht="12.7" x14ac:dyDescent="0.4">
      <c r="A1325" s="2">
        <f ca="1">IFERROR(__xludf.DUMMYFUNCTION("""COMPUTED_VALUE"""),45870.6156439467)</f>
        <v>45870.615643946701</v>
      </c>
      <c r="B1325" s="1" t="str">
        <f ca="1">IFERROR(__xludf.DUMMYFUNCTION("""COMPUTED_VALUE"""),"進貨")</f>
        <v>進貨</v>
      </c>
      <c r="C1325" s="1" t="str">
        <f ca="1">IFERROR(__xludf.DUMMYFUNCTION("""COMPUTED_VALUE"""),"MM0260000266")</f>
        <v>MM0260000266</v>
      </c>
      <c r="D1325" s="1" t="str">
        <f ca="1">IFERROR(__xludf.DUMMYFUNCTION("""COMPUTED_VALUE"""),"All/BA")</f>
        <v>All/BA</v>
      </c>
      <c r="E1325" s="1" t="str">
        <f ca="1">IFERROR(__xludf.DUMMYFUNCTION("""COMPUTED_VALUE"""),"p1/庫存")</f>
        <v>p1/庫存</v>
      </c>
      <c r="F1325" s="1">
        <f ca="1">IFERROR(__xludf.DUMMYFUNCTION("""COMPUTED_VALUE"""),3)</f>
        <v>3</v>
      </c>
      <c r="G1325" s="1"/>
      <c r="H1325" s="1" t="str">
        <f ca="1">IFERROR(__xludf.DUMMYFUNCTION("""COMPUTED_VALUE"""),"P1")</f>
        <v>P1</v>
      </c>
      <c r="I1325" s="1" t="str">
        <f ca="1">IFERROR(__xludf.DUMMYFUNCTION("""COMPUTED_VALUE"""),"Chiao Yu")</f>
        <v>Chiao Yu</v>
      </c>
    </row>
    <row r="1326" spans="1:9" ht="12.7" x14ac:dyDescent="0.4">
      <c r="A1326" s="2">
        <f ca="1">IFERROR(__xludf.DUMMYFUNCTION("""COMPUTED_VALUE"""),45870.6162976851)</f>
        <v>45870.616297685097</v>
      </c>
      <c r="B1326" s="1" t="str">
        <f ca="1">IFERROR(__xludf.DUMMYFUNCTION("""COMPUTED_VALUE"""),"進貨")</f>
        <v>進貨</v>
      </c>
      <c r="C1326" s="1" t="str">
        <f ca="1">IFERROR(__xludf.DUMMYFUNCTION("""COMPUTED_VALUE"""),"MM0260000077")</f>
        <v>MM0260000077</v>
      </c>
      <c r="D1326" s="1" t="str">
        <f ca="1">IFERROR(__xludf.DUMMYFUNCTION("""COMPUTED_VALUE"""),"All/BA")</f>
        <v>All/BA</v>
      </c>
      <c r="E1326" s="1" t="str">
        <f ca="1">IFERROR(__xludf.DUMMYFUNCTION("""COMPUTED_VALUE"""),"p1/庫存")</f>
        <v>p1/庫存</v>
      </c>
      <c r="F1326" s="1">
        <f ca="1">IFERROR(__xludf.DUMMYFUNCTION("""COMPUTED_VALUE"""),60)</f>
        <v>60</v>
      </c>
      <c r="G1326" s="1"/>
      <c r="H1326" s="1" t="str">
        <f ca="1">IFERROR(__xludf.DUMMYFUNCTION("""COMPUTED_VALUE"""),"P1")</f>
        <v>P1</v>
      </c>
      <c r="I1326" s="1" t="str">
        <f ca="1">IFERROR(__xludf.DUMMYFUNCTION("""COMPUTED_VALUE"""),"Chiao Yu")</f>
        <v>Chiao Yu</v>
      </c>
    </row>
    <row r="1327" spans="1:9" ht="12.7" x14ac:dyDescent="0.4">
      <c r="A1327" s="2">
        <f ca="1">IFERROR(__xludf.DUMMYFUNCTION("""COMPUTED_VALUE"""),45873.6093442824)</f>
        <v>45873.609344282399</v>
      </c>
      <c r="B1327" s="1" t="str">
        <f ca="1">IFERROR(__xludf.DUMMYFUNCTION("""COMPUTED_VALUE"""),"庫存調整")</f>
        <v>庫存調整</v>
      </c>
      <c r="C1327" s="1" t="str">
        <f ca="1">IFERROR(__xludf.DUMMYFUNCTION("""COMPUTED_VALUE"""),"A00700000862")</f>
        <v>A00700000862</v>
      </c>
      <c r="D1327" s="1" t="str">
        <f ca="1">IFERROR(__xludf.DUMMYFUNCTION("""COMPUTED_VALUE"""),"All/SB")</f>
        <v>All/SB</v>
      </c>
      <c r="E1327" s="1" t="str">
        <f ca="1">IFERROR(__xludf.DUMMYFUNCTION("""COMPUTED_VALUE"""),"p2/庫存")</f>
        <v>p2/庫存</v>
      </c>
      <c r="F1327" s="1">
        <f ca="1">IFERROR(__xludf.DUMMYFUNCTION("""COMPUTED_VALUE"""),-4)</f>
        <v>-4</v>
      </c>
      <c r="G1327" s="1"/>
      <c r="H1327" s="1" t="str">
        <f ca="1">IFERROR(__xludf.DUMMYFUNCTION("""COMPUTED_VALUE"""),"P2")</f>
        <v>P2</v>
      </c>
      <c r="I1327" s="1" t="str">
        <f ca="1">IFERROR(__xludf.DUMMYFUNCTION("""COMPUTED_VALUE"""),"Simon")</f>
        <v>Simon</v>
      </c>
    </row>
    <row r="1328" spans="1:9" ht="12.7" x14ac:dyDescent="0.4">
      <c r="A1328" s="2">
        <f ca="1">IFERROR(__xludf.DUMMYFUNCTION("""COMPUTED_VALUE"""),45873.6099608564)</f>
        <v>45873.609960856404</v>
      </c>
      <c r="B1328" s="1" t="str">
        <f ca="1">IFERROR(__xludf.DUMMYFUNCTION("""COMPUTED_VALUE"""),"庫存調整")</f>
        <v>庫存調整</v>
      </c>
      <c r="C1328" s="1" t="str">
        <f ca="1">IFERROR(__xludf.DUMMYFUNCTION("""COMPUTED_VALUE"""),"A00700000862")</f>
        <v>A00700000862</v>
      </c>
      <c r="D1328" s="1" t="str">
        <f ca="1">IFERROR(__xludf.DUMMYFUNCTION("""COMPUTED_VALUE"""),"All/SB")</f>
        <v>All/SB</v>
      </c>
      <c r="E1328" s="1" t="str">
        <f ca="1">IFERROR(__xludf.DUMMYFUNCTION("""COMPUTED_VALUE"""),"p1/庫存")</f>
        <v>p1/庫存</v>
      </c>
      <c r="F1328" s="1">
        <f ca="1">IFERROR(__xludf.DUMMYFUNCTION("""COMPUTED_VALUE"""),4)</f>
        <v>4</v>
      </c>
      <c r="G1328" s="1"/>
      <c r="H1328" s="1" t="str">
        <f ca="1">IFERROR(__xludf.DUMMYFUNCTION("""COMPUTED_VALUE"""),"P1")</f>
        <v>P1</v>
      </c>
      <c r="I1328" s="1" t="str">
        <f ca="1">IFERROR(__xludf.DUMMYFUNCTION("""COMPUTED_VALUE"""),"Simon")</f>
        <v>Simon</v>
      </c>
    </row>
    <row r="1329" spans="1:9" ht="12.7" x14ac:dyDescent="0.4">
      <c r="A1329" s="2">
        <f ca="1">IFERROR(__xludf.DUMMYFUNCTION("""COMPUTED_VALUE"""),45873.6980040162)</f>
        <v>45873.698004016202</v>
      </c>
      <c r="B1329" s="1" t="str">
        <f ca="1">IFERROR(__xludf.DUMMYFUNCTION("""COMPUTED_VALUE"""),"返修")</f>
        <v>返修</v>
      </c>
      <c r="C1329" s="1" t="str">
        <f ca="1">IFERROR(__xludf.DUMMYFUNCTION("""COMPUTED_VALUE"""),"ME0020000582")</f>
        <v>ME0020000582</v>
      </c>
      <c r="D1329" s="1" t="str">
        <f ca="1">IFERROR(__xludf.DUMMYFUNCTION("""COMPUTED_VALUE"""),"All/共用")</f>
        <v>All/共用</v>
      </c>
      <c r="E1329" s="1" t="str">
        <f ca="1">IFERROR(__xludf.DUMMYFUNCTION("""COMPUTED_VALUE"""),"p2/庫存")</f>
        <v>p2/庫存</v>
      </c>
      <c r="F1329" s="1">
        <f ca="1">IFERROR(__xludf.DUMMYFUNCTION("""COMPUTED_VALUE"""),1)</f>
        <v>1</v>
      </c>
      <c r="G1329" s="1" t="str">
        <f ca="1">IFERROR(__xludf.DUMMYFUNCTION("""COMPUTED_VALUE"""),"S2341050046")</f>
        <v>S2341050046</v>
      </c>
      <c r="H1329" s="1" t="str">
        <f ca="1">IFERROR(__xludf.DUMMYFUNCTION("""COMPUTED_VALUE"""),"P2")</f>
        <v>P2</v>
      </c>
      <c r="I1329" s="1" t="str">
        <f ca="1">IFERROR(__xludf.DUMMYFUNCTION("""COMPUTED_VALUE"""),"Simon")</f>
        <v>Simon</v>
      </c>
    </row>
    <row r="1330" spans="1:9" ht="12.7" x14ac:dyDescent="0.4">
      <c r="A1330" s="2">
        <f ca="1">IFERROR(__xludf.DUMMYFUNCTION("""COMPUTED_VALUE"""),45874.6348215277)</f>
        <v>45874.634821527703</v>
      </c>
      <c r="B1330" s="1" t="str">
        <f ca="1">IFERROR(__xludf.DUMMYFUNCTION("""COMPUTED_VALUE"""),"領料")</f>
        <v>領料</v>
      </c>
      <c r="C1330" s="1" t="str">
        <f ca="1">IFERROR(__xludf.DUMMYFUNCTION("""COMPUTED_VALUE"""),"MM0090000047")</f>
        <v>MM0090000047</v>
      </c>
      <c r="D1330" s="1" t="str">
        <f ca="1">IFERROR(__xludf.DUMMYFUNCTION("""COMPUTED_VALUE"""),"All/BA")</f>
        <v>All/BA</v>
      </c>
      <c r="E1330" s="1" t="str">
        <f ca="1">IFERROR(__xludf.DUMMYFUNCTION("""COMPUTED_VALUE"""),"p1/庫存")</f>
        <v>p1/庫存</v>
      </c>
      <c r="F1330" s="1">
        <f ca="1">IFERROR(__xludf.DUMMYFUNCTION("""COMPUTED_VALUE"""),4)</f>
        <v>4</v>
      </c>
      <c r="G1330" s="1"/>
      <c r="H1330" s="1" t="str">
        <f ca="1">IFERROR(__xludf.DUMMYFUNCTION("""COMPUTED_VALUE"""),"P1")</f>
        <v>P1</v>
      </c>
      <c r="I1330" s="1" t="str">
        <f ca="1">IFERROR(__xludf.DUMMYFUNCTION("""COMPUTED_VALUE"""),"Chiao Yu")</f>
        <v>Chiao Yu</v>
      </c>
    </row>
    <row r="1331" spans="1:9" ht="12.7" x14ac:dyDescent="0.4">
      <c r="A1331" s="2">
        <f ca="1">IFERROR(__xludf.DUMMYFUNCTION("""COMPUTED_VALUE"""),45874.6353263773)</f>
        <v>45874.635326377298</v>
      </c>
      <c r="B1331" s="1" t="str">
        <f ca="1">IFERROR(__xludf.DUMMYFUNCTION("""COMPUTED_VALUE"""),"領料")</f>
        <v>領料</v>
      </c>
      <c r="C1331" s="1" t="str">
        <f ca="1">IFERROR(__xludf.DUMMYFUNCTION("""COMPUTED_VALUE"""),"MM0090000279")</f>
        <v>MM0090000279</v>
      </c>
      <c r="D1331" s="1" t="str">
        <f ca="1">IFERROR(__xludf.DUMMYFUNCTION("""COMPUTED_VALUE"""),"All/BA")</f>
        <v>All/BA</v>
      </c>
      <c r="E1331" s="1" t="str">
        <f ca="1">IFERROR(__xludf.DUMMYFUNCTION("""COMPUTED_VALUE"""),"p1/庫存")</f>
        <v>p1/庫存</v>
      </c>
      <c r="F1331" s="1">
        <f ca="1">IFERROR(__xludf.DUMMYFUNCTION("""COMPUTED_VALUE"""),4)</f>
        <v>4</v>
      </c>
      <c r="G1331" s="1"/>
      <c r="H1331" s="1" t="str">
        <f ca="1">IFERROR(__xludf.DUMMYFUNCTION("""COMPUTED_VALUE"""),"P1")</f>
        <v>P1</v>
      </c>
      <c r="I1331" s="1" t="str">
        <f ca="1">IFERROR(__xludf.DUMMYFUNCTION("""COMPUTED_VALUE"""),"Chiao Yu")</f>
        <v>Chiao Yu</v>
      </c>
    </row>
    <row r="1332" spans="1:9" ht="12.7" x14ac:dyDescent="0.4">
      <c r="A1332" s="2">
        <f ca="1">IFERROR(__xludf.DUMMYFUNCTION("""COMPUTED_VALUE"""),45875.5337668287)</f>
        <v>45875.533766828703</v>
      </c>
      <c r="B1332" s="1" t="str">
        <f ca="1">IFERROR(__xludf.DUMMYFUNCTION("""COMPUTED_VALUE"""),"送修")</f>
        <v>送修</v>
      </c>
      <c r="C1332" s="1" t="str">
        <f ca="1">IFERROR(__xludf.DUMMYFUNCTION("""COMPUTED_VALUE"""),"A00100000731")</f>
        <v>A00100000731</v>
      </c>
      <c r="D1332" s="1" t="str">
        <f ca="1">IFERROR(__xludf.DUMMYFUNCTION("""COMPUTED_VALUE"""),"All/BA")</f>
        <v>All/BA</v>
      </c>
      <c r="E1332" s="1" t="str">
        <f ca="1">IFERROR(__xludf.DUMMYFUNCTION("""COMPUTED_VALUE"""),"p1/庫存")</f>
        <v>p1/庫存</v>
      </c>
      <c r="F1332" s="1">
        <f ca="1">IFERROR(__xludf.DUMMYFUNCTION("""COMPUTED_VALUE"""),1)</f>
        <v>1</v>
      </c>
      <c r="G1332" s="1" t="str">
        <f ca="1">IFERROR(__xludf.DUMMYFUNCTION("""COMPUTED_VALUE"""),"03F460")</f>
        <v>03F460</v>
      </c>
      <c r="H1332" s="1" t="str">
        <f ca="1">IFERROR(__xludf.DUMMYFUNCTION("""COMPUTED_VALUE"""),"P1_011")</f>
        <v>P1_011</v>
      </c>
      <c r="I1332" s="1" t="str">
        <f ca="1">IFERROR(__xludf.DUMMYFUNCTION("""COMPUTED_VALUE"""),"Barry")</f>
        <v>Barry</v>
      </c>
    </row>
    <row r="1333" spans="1:9" ht="12.7" x14ac:dyDescent="0.4">
      <c r="A1333" s="2">
        <f ca="1">IFERROR(__xludf.DUMMYFUNCTION("""COMPUTED_VALUE"""),45875.5344627893)</f>
        <v>45875.534462789299</v>
      </c>
      <c r="B1333" s="1" t="str">
        <f ca="1">IFERROR(__xludf.DUMMYFUNCTION("""COMPUTED_VALUE"""),"料件上線時間")</f>
        <v>料件上線時間</v>
      </c>
      <c r="C1333" s="1" t="str">
        <f ca="1">IFERROR(__xludf.DUMMYFUNCTION("""COMPUTED_VALUE"""),"A00100000731")</f>
        <v>A00100000731</v>
      </c>
      <c r="D1333" s="1" t="str">
        <f ca="1">IFERROR(__xludf.DUMMYFUNCTION("""COMPUTED_VALUE"""),"All/BA")</f>
        <v>All/BA</v>
      </c>
      <c r="E1333" s="1" t="str">
        <f ca="1">IFERROR(__xludf.DUMMYFUNCTION("""COMPUTED_VALUE"""),"p1/庫存")</f>
        <v>p1/庫存</v>
      </c>
      <c r="F1333" s="1">
        <f ca="1">IFERROR(__xludf.DUMMYFUNCTION("""COMPUTED_VALUE"""),1)</f>
        <v>1</v>
      </c>
      <c r="G1333" s="1" t="str">
        <f ca="1">IFERROR(__xludf.DUMMYFUNCTION("""COMPUTED_VALUE"""),"06F026")</f>
        <v>06F026</v>
      </c>
      <c r="H1333" s="1" t="str">
        <f ca="1">IFERROR(__xludf.DUMMYFUNCTION("""COMPUTED_VALUE"""),"P1_011")</f>
        <v>P1_011</v>
      </c>
      <c r="I1333" s="1" t="str">
        <f ca="1">IFERROR(__xludf.DUMMYFUNCTION("""COMPUTED_VALUE"""),"Barry")</f>
        <v>Barry</v>
      </c>
    </row>
    <row r="1334" spans="1:9" ht="12.7" x14ac:dyDescent="0.4">
      <c r="A1334" s="2">
        <f ca="1">IFERROR(__xludf.DUMMYFUNCTION("""COMPUTED_VALUE"""),45876.2489186574)</f>
        <v>45876.248918657402</v>
      </c>
      <c r="B1334" s="1" t="str">
        <f ca="1">IFERROR(__xludf.DUMMYFUNCTION("""COMPUTED_VALUE"""),"領料")</f>
        <v>領料</v>
      </c>
      <c r="C1334" s="1" t="str">
        <f ca="1">IFERROR(__xludf.DUMMYFUNCTION("""COMPUTED_VALUE"""),"A00700000862")</f>
        <v>A00700000862</v>
      </c>
      <c r="D1334" s="1" t="str">
        <f ca="1">IFERROR(__xludf.DUMMYFUNCTION("""COMPUTED_VALUE"""),"All/SB")</f>
        <v>All/SB</v>
      </c>
      <c r="E1334" s="1" t="str">
        <f ca="1">IFERROR(__xludf.DUMMYFUNCTION("""COMPUTED_VALUE"""),"p1/庫存")</f>
        <v>p1/庫存</v>
      </c>
      <c r="F1334" s="1">
        <f ca="1">IFERROR(__xludf.DUMMYFUNCTION("""COMPUTED_VALUE"""),6)</f>
        <v>6</v>
      </c>
      <c r="G1334" s="1"/>
      <c r="H1334" s="1" t="str">
        <f ca="1">IFERROR(__xludf.DUMMYFUNCTION("""COMPUTED_VALUE"""),"P1_4006,P1_4008")</f>
        <v>P1_4006,P1_4008</v>
      </c>
      <c r="I1334" s="1" t="str">
        <f ca="1">IFERROR(__xludf.DUMMYFUNCTION("""COMPUTED_VALUE"""),"Nick")</f>
        <v>Nick</v>
      </c>
    </row>
    <row r="1335" spans="1:9" ht="12.7" x14ac:dyDescent="0.4">
      <c r="A1335" s="2">
        <f ca="1">IFERROR(__xludf.DUMMYFUNCTION("""COMPUTED_VALUE"""),45876.249503368)</f>
        <v>45876.249503368002</v>
      </c>
      <c r="B1335" s="1" t="str">
        <f ca="1">IFERROR(__xludf.DUMMYFUNCTION("""COMPUTED_VALUE"""),"領料")</f>
        <v>領料</v>
      </c>
      <c r="C1335" s="1" t="str">
        <f ca="1">IFERROR(__xludf.DUMMYFUNCTION("""COMPUTED_VALUE"""),"A00700000862")</f>
        <v>A00700000862</v>
      </c>
      <c r="D1335" s="1" t="str">
        <f ca="1">IFERROR(__xludf.DUMMYFUNCTION("""COMPUTED_VALUE"""),"All/SB")</f>
        <v>All/SB</v>
      </c>
      <c r="E1335" s="1" t="str">
        <f ca="1">IFERROR(__xludf.DUMMYFUNCTION("""COMPUTED_VALUE"""),"p2/庫存")</f>
        <v>p2/庫存</v>
      </c>
      <c r="F1335" s="1">
        <f ca="1">IFERROR(__xludf.DUMMYFUNCTION("""COMPUTED_VALUE"""),3)</f>
        <v>3</v>
      </c>
      <c r="G1335" s="1"/>
      <c r="H1335" s="1" t="str">
        <f ca="1">IFERROR(__xludf.DUMMYFUNCTION("""COMPUTED_VALUE"""),"P2_4002")</f>
        <v>P2_4002</v>
      </c>
      <c r="I1335" s="1" t="str">
        <f ca="1">IFERROR(__xludf.DUMMYFUNCTION("""COMPUTED_VALUE"""),"Nick")</f>
        <v>Nick</v>
      </c>
    </row>
    <row r="1336" spans="1:9" ht="12.7" x14ac:dyDescent="0.4">
      <c r="A1336" s="2">
        <f ca="1">IFERROR(__xludf.DUMMYFUNCTION("""COMPUTED_VALUE"""),45876.3636738425)</f>
        <v>45876.363673842498</v>
      </c>
      <c r="B1336" s="1" t="str">
        <f ca="1">IFERROR(__xludf.DUMMYFUNCTION("""COMPUTED_VALUE"""),"送修")</f>
        <v>送修</v>
      </c>
      <c r="C1336" s="1" t="str">
        <f ca="1">IFERROR(__xludf.DUMMYFUNCTION("""COMPUTED_VALUE"""),"ME0100000084")</f>
        <v>ME0100000084</v>
      </c>
      <c r="D1336" s="1" t="str">
        <f ca="1">IFERROR(__xludf.DUMMYFUNCTION("""COMPUTED_VALUE"""),"All/COLOR")</f>
        <v>All/COLOR</v>
      </c>
      <c r="E1336" s="1" t="str">
        <f ca="1">IFERROR(__xludf.DUMMYFUNCTION("""COMPUTED_VALUE"""),"p1/庫存")</f>
        <v>p1/庫存</v>
      </c>
      <c r="F1336" s="1">
        <f ca="1">IFERROR(__xludf.DUMMYFUNCTION("""COMPUTED_VALUE"""),1)</f>
        <v>1</v>
      </c>
      <c r="G1336" s="1"/>
      <c r="H1336" s="1" t="str">
        <f ca="1">IFERROR(__xludf.DUMMYFUNCTION("""COMPUTED_VALUE"""),"P1_3001")</f>
        <v>P1_3001</v>
      </c>
      <c r="I1336" s="1" t="str">
        <f ca="1">IFERROR(__xludf.DUMMYFUNCTION("""COMPUTED_VALUE"""),"Chiao Yu")</f>
        <v>Chiao Yu</v>
      </c>
    </row>
    <row r="1337" spans="1:9" ht="12.7" x14ac:dyDescent="0.4">
      <c r="A1337" s="2">
        <f ca="1">IFERROR(__xludf.DUMMYFUNCTION("""COMPUTED_VALUE"""),45877.577891655)</f>
        <v>45877.577891654997</v>
      </c>
      <c r="B1337" s="1" t="str">
        <f ca="1">IFERROR(__xludf.DUMMYFUNCTION("""COMPUTED_VALUE"""),"領料")</f>
        <v>領料</v>
      </c>
      <c r="C1337" s="1" t="str">
        <f ca="1">IFERROR(__xludf.DUMMYFUNCTION("""COMPUTED_VALUE"""),"MM0260000249")</f>
        <v>MM0260000249</v>
      </c>
      <c r="D1337" s="1" t="str">
        <f ca="1">IFERROR(__xludf.DUMMYFUNCTION("""COMPUTED_VALUE"""),"All/RL")</f>
        <v>All/RL</v>
      </c>
      <c r="E1337" s="1" t="str">
        <f ca="1">IFERROR(__xludf.DUMMYFUNCTION("""COMPUTED_VALUE"""),"p2/庫存")</f>
        <v>p2/庫存</v>
      </c>
      <c r="F1337" s="1">
        <f ca="1">IFERROR(__xludf.DUMMYFUNCTION("""COMPUTED_VALUE"""),1)</f>
        <v>1</v>
      </c>
      <c r="G1337" s="1"/>
      <c r="H1337" s="1" t="str">
        <f ca="1">IFERROR(__xludf.DUMMYFUNCTION("""COMPUTED_VALUE"""),"P2_1005")</f>
        <v>P2_1005</v>
      </c>
      <c r="I1337" s="1" t="str">
        <f ca="1">IFERROR(__xludf.DUMMYFUNCTION("""COMPUTED_VALUE"""),"Simon")</f>
        <v>Simon</v>
      </c>
    </row>
    <row r="1338" spans="1:9" ht="12.7" x14ac:dyDescent="0.4">
      <c r="A1338" s="2">
        <f ca="1">IFERROR(__xludf.DUMMYFUNCTION("""COMPUTED_VALUE"""),45880.6156398495)</f>
        <v>45880.6156398495</v>
      </c>
      <c r="B1338" s="1" t="str">
        <f ca="1">IFERROR(__xludf.DUMMYFUNCTION("""COMPUTED_VALUE"""),"返修")</f>
        <v>返修</v>
      </c>
      <c r="C1338" s="1" t="str">
        <f ca="1">IFERROR(__xludf.DUMMYFUNCTION("""COMPUTED_VALUE"""),"A00100000731")</f>
        <v>A00100000731</v>
      </c>
      <c r="D1338" s="1" t="str">
        <f ca="1">IFERROR(__xludf.DUMMYFUNCTION("""COMPUTED_VALUE"""),"All/BA")</f>
        <v>All/BA</v>
      </c>
      <c r="E1338" s="1" t="str">
        <f ca="1">IFERROR(__xludf.DUMMYFUNCTION("""COMPUTED_VALUE"""),"p1/庫存")</f>
        <v>p1/庫存</v>
      </c>
      <c r="F1338" s="1">
        <f ca="1">IFERROR(__xludf.DUMMYFUNCTION("""COMPUTED_VALUE"""),1)</f>
        <v>1</v>
      </c>
      <c r="G1338" s="1" t="str">
        <f ca="1">IFERROR(__xludf.DUMMYFUNCTION("""COMPUTED_VALUE"""),"06F340")</f>
        <v>06F340</v>
      </c>
      <c r="H1338" s="1" t="str">
        <f ca="1">IFERROR(__xludf.DUMMYFUNCTION("""COMPUTED_VALUE"""),"P1")</f>
        <v>P1</v>
      </c>
      <c r="I1338" s="1" t="str">
        <f ca="1">IFERROR(__xludf.DUMMYFUNCTION("""COMPUTED_VALUE"""),"Simon")</f>
        <v>Simon</v>
      </c>
    </row>
    <row r="1339" spans="1:9" ht="12.7" x14ac:dyDescent="0.4">
      <c r="A1339" s="2">
        <f ca="1">IFERROR(__xludf.DUMMYFUNCTION("""COMPUTED_VALUE"""),45880.8556160995)</f>
        <v>45880.855616099499</v>
      </c>
      <c r="B1339" s="1" t="str">
        <f ca="1">IFERROR(__xludf.DUMMYFUNCTION("""COMPUTED_VALUE"""),"領料")</f>
        <v>領料</v>
      </c>
      <c r="C1339" s="1" t="str">
        <f ca="1">IFERROR(__xludf.DUMMYFUNCTION("""COMPUTED_VALUE"""),"MM0090000279")</f>
        <v>MM0090000279</v>
      </c>
      <c r="D1339" s="1" t="str">
        <f ca="1">IFERROR(__xludf.DUMMYFUNCTION("""COMPUTED_VALUE"""),"All/RL")</f>
        <v>All/RL</v>
      </c>
      <c r="E1339" s="1" t="str">
        <f ca="1">IFERROR(__xludf.DUMMYFUNCTION("""COMPUTED_VALUE"""),"p1/庫存")</f>
        <v>p1/庫存</v>
      </c>
      <c r="F1339" s="1">
        <f ca="1">IFERROR(__xludf.DUMMYFUNCTION("""COMPUTED_VALUE"""),4)</f>
        <v>4</v>
      </c>
      <c r="G1339" s="1"/>
      <c r="H1339" s="1" t="str">
        <f ca="1">IFERROR(__xludf.DUMMYFUNCTION("""COMPUTED_VALUE"""),"P3")</f>
        <v>P3</v>
      </c>
      <c r="I1339" s="1" t="str">
        <f ca="1">IFERROR(__xludf.DUMMYFUNCTION("""COMPUTED_VALUE"""),"Simon")</f>
        <v>Simon</v>
      </c>
    </row>
    <row r="1340" spans="1:9" ht="12.7" x14ac:dyDescent="0.4">
      <c r="A1340" s="2">
        <f ca="1">IFERROR(__xludf.DUMMYFUNCTION("""COMPUTED_VALUE"""),45881.2581880208)</f>
        <v>45881.258188020802</v>
      </c>
      <c r="B1340" s="1" t="str">
        <f ca="1">IFERROR(__xludf.DUMMYFUNCTION("""COMPUTED_VALUE"""),"領料")</f>
        <v>領料</v>
      </c>
      <c r="C1340" s="1" t="str">
        <f ca="1">IFERROR(__xludf.DUMMYFUNCTION("""COMPUTED_VALUE"""),"MM0260000249")</f>
        <v>MM0260000249</v>
      </c>
      <c r="D1340" s="1" t="str">
        <f ca="1">IFERROR(__xludf.DUMMYFUNCTION("""COMPUTED_VALUE"""),"All/RL")</f>
        <v>All/RL</v>
      </c>
      <c r="E1340" s="1" t="str">
        <f ca="1">IFERROR(__xludf.DUMMYFUNCTION("""COMPUTED_VALUE"""),"p2/庫存")</f>
        <v>p2/庫存</v>
      </c>
      <c r="F1340" s="1">
        <f ca="1">IFERROR(__xludf.DUMMYFUNCTION("""COMPUTED_VALUE"""),2)</f>
        <v>2</v>
      </c>
      <c r="G1340" s="1"/>
      <c r="H1340" s="1" t="str">
        <f ca="1">IFERROR(__xludf.DUMMYFUNCTION("""COMPUTED_VALUE"""),"P2_1003, P2_1004")</f>
        <v>P2_1003, P2_1004</v>
      </c>
      <c r="I1340" s="1" t="str">
        <f ca="1">IFERROR(__xludf.DUMMYFUNCTION("""COMPUTED_VALUE"""),"Nick")</f>
        <v>Nick</v>
      </c>
    </row>
    <row r="1341" spans="1:9" ht="12.7" x14ac:dyDescent="0.4">
      <c r="A1341" s="2">
        <f ca="1">IFERROR(__xludf.DUMMYFUNCTION("""COMPUTED_VALUE"""),45881.259010162)</f>
        <v>45881.259010162001</v>
      </c>
      <c r="B1341" s="1" t="str">
        <f ca="1">IFERROR(__xludf.DUMMYFUNCTION("""COMPUTED_VALUE"""),"領料")</f>
        <v>領料</v>
      </c>
      <c r="C1341" s="1" t="str">
        <f ca="1">IFERROR(__xludf.DUMMYFUNCTION("""COMPUTED_VALUE"""),"MM0260000249")</f>
        <v>MM0260000249</v>
      </c>
      <c r="D1341" s="1" t="str">
        <f ca="1">IFERROR(__xludf.DUMMYFUNCTION("""COMPUTED_VALUE"""),"All/RL")</f>
        <v>All/RL</v>
      </c>
      <c r="E1341" s="1" t="str">
        <f ca="1">IFERROR(__xludf.DUMMYFUNCTION("""COMPUTED_VALUE"""),"p1/庫存")</f>
        <v>p1/庫存</v>
      </c>
      <c r="F1341" s="1">
        <f ca="1">IFERROR(__xludf.DUMMYFUNCTION("""COMPUTED_VALUE"""),2)</f>
        <v>2</v>
      </c>
      <c r="G1341" s="1"/>
      <c r="H1341" s="1" t="str">
        <f ca="1">IFERROR(__xludf.DUMMYFUNCTION("""COMPUTED_VALUE"""),"P1_1001, P1_1002")</f>
        <v>P1_1001, P1_1002</v>
      </c>
      <c r="I1341" s="1" t="str">
        <f ca="1">IFERROR(__xludf.DUMMYFUNCTION("""COMPUTED_VALUE"""),"Nick")</f>
        <v>Nick</v>
      </c>
    </row>
    <row r="1342" spans="1:9" ht="12.7" x14ac:dyDescent="0.4">
      <c r="A1342" s="2">
        <f ca="1">IFERROR(__xludf.DUMMYFUNCTION("""COMPUTED_VALUE"""),45881.6180462615)</f>
        <v>45881.618046261501</v>
      </c>
      <c r="B1342" s="1" t="str">
        <f ca="1">IFERROR(__xludf.DUMMYFUNCTION("""COMPUTED_VALUE"""),"領料")</f>
        <v>領料</v>
      </c>
      <c r="C1342" s="1" t="str">
        <f ca="1">IFERROR(__xludf.DUMMYFUNCTION("""COMPUTED_VALUE"""),"MM0260000249")</f>
        <v>MM0260000249</v>
      </c>
      <c r="D1342" s="1" t="str">
        <f ca="1">IFERROR(__xludf.DUMMYFUNCTION("""COMPUTED_VALUE"""),"All/RL")</f>
        <v>All/RL</v>
      </c>
      <c r="E1342" s="1" t="str">
        <f ca="1">IFERROR(__xludf.DUMMYFUNCTION("""COMPUTED_VALUE"""),"p2/庫存")</f>
        <v>p2/庫存</v>
      </c>
      <c r="F1342" s="1">
        <f ca="1">IFERROR(__xludf.DUMMYFUNCTION("""COMPUTED_VALUE"""),1)</f>
        <v>1</v>
      </c>
      <c r="G1342" s="1"/>
      <c r="H1342" s="1" t="str">
        <f ca="1">IFERROR(__xludf.DUMMYFUNCTION("""COMPUTED_VALUE"""),"P2_1006")</f>
        <v>P2_1006</v>
      </c>
      <c r="I1342" s="1" t="str">
        <f ca="1">IFERROR(__xludf.DUMMYFUNCTION("""COMPUTED_VALUE"""),"Chiao Yu")</f>
        <v>Chiao Yu</v>
      </c>
    </row>
    <row r="1343" spans="1:9" ht="12.7" x14ac:dyDescent="0.4">
      <c r="A1343" s="2">
        <f ca="1">IFERROR(__xludf.DUMMYFUNCTION("""COMPUTED_VALUE"""),45885.3424819791)</f>
        <v>45885.342481979103</v>
      </c>
      <c r="B1343" s="1" t="str">
        <f ca="1">IFERROR(__xludf.DUMMYFUNCTION("""COMPUTED_VALUE"""),"領料")</f>
        <v>領料</v>
      </c>
      <c r="C1343" s="1" t="str">
        <f ca="1">IFERROR(__xludf.DUMMYFUNCTION("""COMPUTED_VALUE"""),"A00700000862")</f>
        <v>A00700000862</v>
      </c>
      <c r="D1343" s="1" t="str">
        <f ca="1">IFERROR(__xludf.DUMMYFUNCTION("""COMPUTED_VALUE"""),"All/SB")</f>
        <v>All/SB</v>
      </c>
      <c r="E1343" s="1" t="str">
        <f ca="1">IFERROR(__xludf.DUMMYFUNCTION("""COMPUTED_VALUE"""),"p2/庫存")</f>
        <v>p2/庫存</v>
      </c>
      <c r="F1343" s="1">
        <f ca="1">IFERROR(__xludf.DUMMYFUNCTION("""COMPUTED_VALUE"""),3)</f>
        <v>3</v>
      </c>
      <c r="G1343" s="1"/>
      <c r="H1343" s="1" t="str">
        <f ca="1">IFERROR(__xludf.DUMMYFUNCTION("""COMPUTED_VALUE"""),"P2_4001")</f>
        <v>P2_4001</v>
      </c>
      <c r="I1343" s="1" t="str">
        <f ca="1">IFERROR(__xludf.DUMMYFUNCTION("""COMPUTED_VALUE"""),"Jason")</f>
        <v>Jason</v>
      </c>
    </row>
    <row r="1344" spans="1:9" ht="12.7" x14ac:dyDescent="0.4">
      <c r="A1344" s="2">
        <f ca="1">IFERROR(__xludf.DUMMYFUNCTION("""COMPUTED_VALUE"""),45889.7539718634)</f>
        <v>45889.7539718634</v>
      </c>
      <c r="B1344" s="1" t="str">
        <f ca="1">IFERROR(__xludf.DUMMYFUNCTION("""COMPUTED_VALUE"""),"領料")</f>
        <v>領料</v>
      </c>
      <c r="C1344" s="1" t="str">
        <f ca="1">IFERROR(__xludf.DUMMYFUNCTION("""COMPUTED_VALUE"""),"ME0120000270")</f>
        <v>ME0120000270</v>
      </c>
      <c r="D1344" s="1" t="str">
        <f ca="1">IFERROR(__xludf.DUMMYFUNCTION("""COMPUTED_VALUE"""),"All/共用")</f>
        <v>All/共用</v>
      </c>
      <c r="E1344" s="1" t="str">
        <f ca="1">IFERROR(__xludf.DUMMYFUNCTION("""COMPUTED_VALUE"""),"p2/庫存")</f>
        <v>p2/庫存</v>
      </c>
      <c r="F1344" s="1">
        <f ca="1">IFERROR(__xludf.DUMMYFUNCTION("""COMPUTED_VALUE"""),1)</f>
        <v>1</v>
      </c>
      <c r="G1344" s="1"/>
      <c r="H1344" s="1" t="str">
        <f ca="1">IFERROR(__xludf.DUMMYFUNCTION("""COMPUTED_VALUE"""),"P2_4002")</f>
        <v>P2_4002</v>
      </c>
      <c r="I1344" s="1" t="str">
        <f ca="1">IFERROR(__xludf.DUMMYFUNCTION("""COMPUTED_VALUE"""),"Simon")</f>
        <v>Simon</v>
      </c>
    </row>
    <row r="1345" spans="1:9" ht="12.7" x14ac:dyDescent="0.4">
      <c r="A1345" s="2">
        <f ca="1">IFERROR(__xludf.DUMMYFUNCTION("""COMPUTED_VALUE"""),45889.7600666435)</f>
        <v>45889.760066643503</v>
      </c>
      <c r="B1345" s="1" t="str">
        <f ca="1">IFERROR(__xludf.DUMMYFUNCTION("""COMPUTED_VALUE"""),"進貨")</f>
        <v>進貨</v>
      </c>
      <c r="C1345" s="1" t="str">
        <f ca="1">IFERROR(__xludf.DUMMYFUNCTION("""COMPUTED_VALUE"""),"MM0040003550")</f>
        <v>MM0040003550</v>
      </c>
      <c r="D1345" s="1" t="str">
        <f ca="1">IFERROR(__xludf.DUMMYFUNCTION("""COMPUTED_VALUE"""),"All/BA")</f>
        <v>All/BA</v>
      </c>
      <c r="E1345" s="1" t="str">
        <f ca="1">IFERROR(__xludf.DUMMYFUNCTION("""COMPUTED_VALUE"""),"p1/庫存")</f>
        <v>p1/庫存</v>
      </c>
      <c r="F1345" s="1">
        <f ca="1">IFERROR(__xludf.DUMMYFUNCTION("""COMPUTED_VALUE"""),1)</f>
        <v>1</v>
      </c>
      <c r="G1345" s="1"/>
      <c r="H1345" s="1" t="str">
        <f ca="1">IFERROR(__xludf.DUMMYFUNCTION("""COMPUTED_VALUE"""),"P1_13001")</f>
        <v>P1_13001</v>
      </c>
      <c r="I1345" s="1" t="str">
        <f ca="1">IFERROR(__xludf.DUMMYFUNCTION("""COMPUTED_VALUE"""),"Chiao Yu")</f>
        <v>Chiao Yu</v>
      </c>
    </row>
    <row r="1346" spans="1:9" ht="12.7" x14ac:dyDescent="0.4">
      <c r="A1346" s="2">
        <f ca="1">IFERROR(__xludf.DUMMYFUNCTION("""COMPUTED_VALUE"""),45889.7604229745)</f>
        <v>45889.760422974497</v>
      </c>
      <c r="B1346" s="1" t="str">
        <f ca="1">IFERROR(__xludf.DUMMYFUNCTION("""COMPUTED_VALUE"""),"領料")</f>
        <v>領料</v>
      </c>
      <c r="C1346" s="1" t="str">
        <f ca="1">IFERROR(__xludf.DUMMYFUNCTION("""COMPUTED_VALUE"""),"MM0040003550")</f>
        <v>MM0040003550</v>
      </c>
      <c r="D1346" s="1" t="str">
        <f ca="1">IFERROR(__xludf.DUMMYFUNCTION("""COMPUTED_VALUE"""),"All/BA")</f>
        <v>All/BA</v>
      </c>
      <c r="E1346" s="1" t="str">
        <f ca="1">IFERROR(__xludf.DUMMYFUNCTION("""COMPUTED_VALUE"""),"p1/庫存")</f>
        <v>p1/庫存</v>
      </c>
      <c r="F1346" s="1">
        <f ca="1">IFERROR(__xludf.DUMMYFUNCTION("""COMPUTED_VALUE"""),1)</f>
        <v>1</v>
      </c>
      <c r="G1346" s="1"/>
      <c r="H1346" s="1" t="str">
        <f ca="1">IFERROR(__xludf.DUMMYFUNCTION("""COMPUTED_VALUE"""),"P1_13001")</f>
        <v>P1_13001</v>
      </c>
      <c r="I1346" s="1" t="str">
        <f ca="1">IFERROR(__xludf.DUMMYFUNCTION("""COMPUTED_VALUE"""),"Barry")</f>
        <v>Barry</v>
      </c>
    </row>
    <row r="1347" spans="1:9" ht="12.7" x14ac:dyDescent="0.4">
      <c r="A1347" s="2">
        <f ca="1">IFERROR(__xludf.DUMMYFUNCTION("""COMPUTED_VALUE"""),45890.3754192708)</f>
        <v>45890.3754192708</v>
      </c>
      <c r="B1347" s="1" t="str">
        <f ca="1">IFERROR(__xludf.DUMMYFUNCTION("""COMPUTED_VALUE"""),"領料")</f>
        <v>領料</v>
      </c>
      <c r="C1347" s="1" t="str">
        <f ca="1">IFERROR(__xludf.DUMMYFUNCTION("""COMPUTED_VALUE"""),"MM0260000266")</f>
        <v>MM0260000266</v>
      </c>
      <c r="D1347" s="1" t="str">
        <f ca="1">IFERROR(__xludf.DUMMYFUNCTION("""COMPUTED_VALUE"""),"All/BA")</f>
        <v>All/BA</v>
      </c>
      <c r="E1347" s="1" t="str">
        <f ca="1">IFERROR(__xludf.DUMMYFUNCTION("""COMPUTED_VALUE"""),"p1/庫存")</f>
        <v>p1/庫存</v>
      </c>
      <c r="F1347" s="1">
        <f ca="1">IFERROR(__xludf.DUMMYFUNCTION("""COMPUTED_VALUE"""),1)</f>
        <v>1</v>
      </c>
      <c r="G1347" s="1"/>
      <c r="H1347" s="1" t="str">
        <f ca="1">IFERROR(__xludf.DUMMYFUNCTION("""COMPUTED_VALUE"""),"P1_13001")</f>
        <v>P1_13001</v>
      </c>
      <c r="I1347" s="1" t="str">
        <f ca="1">IFERROR(__xludf.DUMMYFUNCTION("""COMPUTED_VALUE"""),"Chiao Yu")</f>
        <v>Chiao Yu</v>
      </c>
    </row>
    <row r="1348" spans="1:9" ht="12.7" x14ac:dyDescent="0.4">
      <c r="A1348" s="2">
        <f ca="1">IFERROR(__xludf.DUMMYFUNCTION("""COMPUTED_VALUE"""),45890.6157805902)</f>
        <v>45890.615780590197</v>
      </c>
      <c r="B1348" s="1" t="str">
        <f ca="1">IFERROR(__xludf.DUMMYFUNCTION("""COMPUTED_VALUE"""),"進貨")</f>
        <v>進貨</v>
      </c>
      <c r="C1348" s="1" t="str">
        <f ca="1">IFERROR(__xludf.DUMMYFUNCTION("""COMPUTED_VALUE"""),"ME0270001338")</f>
        <v>ME0270001338</v>
      </c>
      <c r="D1348" s="1" t="str">
        <f ca="1">IFERROR(__xludf.DUMMYFUNCTION("""COMPUTED_VALUE"""),"All/COLOR")</f>
        <v>All/COLOR</v>
      </c>
      <c r="E1348" s="1" t="str">
        <f ca="1">IFERROR(__xludf.DUMMYFUNCTION("""COMPUTED_VALUE"""),"p1/庫存")</f>
        <v>p1/庫存</v>
      </c>
      <c r="F1348" s="1">
        <f ca="1">IFERROR(__xludf.DUMMYFUNCTION("""COMPUTED_VALUE"""),1)</f>
        <v>1</v>
      </c>
      <c r="G1348" s="1"/>
      <c r="H1348" s="1" t="str">
        <f ca="1">IFERROR(__xludf.DUMMYFUNCTION("""COMPUTED_VALUE"""),"P1")</f>
        <v>P1</v>
      </c>
      <c r="I1348" s="1" t="str">
        <f ca="1">IFERROR(__xludf.DUMMYFUNCTION("""COMPUTED_VALUE"""),"Chiao Yu")</f>
        <v>Chiao Yu</v>
      </c>
    </row>
    <row r="1349" spans="1:9" ht="12.7" x14ac:dyDescent="0.4">
      <c r="A1349" s="2">
        <f ca="1">IFERROR(__xludf.DUMMYFUNCTION("""COMPUTED_VALUE"""),45890.6160548611)</f>
        <v>45890.616054861101</v>
      </c>
      <c r="B1349" s="1" t="str">
        <f ca="1">IFERROR(__xludf.DUMMYFUNCTION("""COMPUTED_VALUE"""),"進貨")</f>
        <v>進貨</v>
      </c>
      <c r="C1349" s="1" t="str">
        <f ca="1">IFERROR(__xludf.DUMMYFUNCTION("""COMPUTED_VALUE"""),"ME0270001339")</f>
        <v>ME0270001339</v>
      </c>
      <c r="D1349" s="1" t="str">
        <f ca="1">IFERROR(__xludf.DUMMYFUNCTION("""COMPUTED_VALUE"""),"All/COLOR")</f>
        <v>All/COLOR</v>
      </c>
      <c r="E1349" s="1" t="str">
        <f ca="1">IFERROR(__xludf.DUMMYFUNCTION("""COMPUTED_VALUE"""),"p1/庫存")</f>
        <v>p1/庫存</v>
      </c>
      <c r="F1349" s="1">
        <f ca="1">IFERROR(__xludf.DUMMYFUNCTION("""COMPUTED_VALUE"""),1)</f>
        <v>1</v>
      </c>
      <c r="G1349" s="1"/>
      <c r="H1349" s="1" t="str">
        <f ca="1">IFERROR(__xludf.DUMMYFUNCTION("""COMPUTED_VALUE"""),"P1")</f>
        <v>P1</v>
      </c>
      <c r="I1349" s="1" t="str">
        <f ca="1">IFERROR(__xludf.DUMMYFUNCTION("""COMPUTED_VALUE"""),"Chiao Yu")</f>
        <v>Chiao Yu</v>
      </c>
    </row>
    <row r="1350" spans="1:9" ht="12.7" x14ac:dyDescent="0.4">
      <c r="A1350" s="2">
        <f ca="1">IFERROR(__xludf.DUMMYFUNCTION("""COMPUTED_VALUE"""),45890.616332824)</f>
        <v>45890.616332824</v>
      </c>
      <c r="B1350" s="1" t="str">
        <f ca="1">IFERROR(__xludf.DUMMYFUNCTION("""COMPUTED_VALUE"""),"進貨")</f>
        <v>進貨</v>
      </c>
      <c r="C1350" s="1" t="str">
        <f ca="1">IFERROR(__xludf.DUMMYFUNCTION("""COMPUTED_VALUE"""),"ME0270001340")</f>
        <v>ME0270001340</v>
      </c>
      <c r="D1350" s="1" t="str">
        <f ca="1">IFERROR(__xludf.DUMMYFUNCTION("""COMPUTED_VALUE"""),"All/COLOR")</f>
        <v>All/COLOR</v>
      </c>
      <c r="E1350" s="1" t="str">
        <f ca="1">IFERROR(__xludf.DUMMYFUNCTION("""COMPUTED_VALUE"""),"p1/庫存")</f>
        <v>p1/庫存</v>
      </c>
      <c r="F1350" s="1">
        <f ca="1">IFERROR(__xludf.DUMMYFUNCTION("""COMPUTED_VALUE"""),1)</f>
        <v>1</v>
      </c>
      <c r="G1350" s="1"/>
      <c r="H1350" s="1" t="str">
        <f ca="1">IFERROR(__xludf.DUMMYFUNCTION("""COMPUTED_VALUE"""),"P1")</f>
        <v>P1</v>
      </c>
      <c r="I1350" s="1" t="str">
        <f ca="1">IFERROR(__xludf.DUMMYFUNCTION("""COMPUTED_VALUE"""),"Chiao Yu")</f>
        <v>Chiao Yu</v>
      </c>
    </row>
    <row r="1351" spans="1:9" ht="12.7" x14ac:dyDescent="0.4">
      <c r="A1351" s="2">
        <f ca="1">IFERROR(__xludf.DUMMYFUNCTION("""COMPUTED_VALUE"""),45890.6165608912)</f>
        <v>45890.616560891198</v>
      </c>
      <c r="B1351" s="1" t="str">
        <f ca="1">IFERROR(__xludf.DUMMYFUNCTION("""COMPUTED_VALUE"""),"進貨")</f>
        <v>進貨</v>
      </c>
      <c r="C1351" s="1" t="str">
        <f ca="1">IFERROR(__xludf.DUMMYFUNCTION("""COMPUTED_VALUE"""),"ME0270001341")</f>
        <v>ME0270001341</v>
      </c>
      <c r="D1351" s="1" t="str">
        <f ca="1">IFERROR(__xludf.DUMMYFUNCTION("""COMPUTED_VALUE"""),"All/COLOR")</f>
        <v>All/COLOR</v>
      </c>
      <c r="E1351" s="1" t="str">
        <f ca="1">IFERROR(__xludf.DUMMYFUNCTION("""COMPUTED_VALUE"""),"p1/庫存")</f>
        <v>p1/庫存</v>
      </c>
      <c r="F1351" s="1">
        <f ca="1">IFERROR(__xludf.DUMMYFUNCTION("""COMPUTED_VALUE"""),1)</f>
        <v>1</v>
      </c>
      <c r="G1351" s="1"/>
      <c r="H1351" s="1" t="str">
        <f ca="1">IFERROR(__xludf.DUMMYFUNCTION("""COMPUTED_VALUE"""),"P1")</f>
        <v>P1</v>
      </c>
      <c r="I1351" s="1" t="str">
        <f ca="1">IFERROR(__xludf.DUMMYFUNCTION("""COMPUTED_VALUE"""),"Chiao Yu")</f>
        <v>Chiao Yu</v>
      </c>
    </row>
    <row r="1352" spans="1:9" ht="12.7" x14ac:dyDescent="0.4">
      <c r="A1352" s="2">
        <f ca="1">IFERROR(__xludf.DUMMYFUNCTION("""COMPUTED_VALUE"""),45890.6189418402)</f>
        <v>45890.618941840199</v>
      </c>
      <c r="B1352" s="1" t="str">
        <f ca="1">IFERROR(__xludf.DUMMYFUNCTION("""COMPUTED_VALUE"""),"進貨")</f>
        <v>進貨</v>
      </c>
      <c r="C1352" s="1" t="str">
        <f ca="1">IFERROR(__xludf.DUMMYFUNCTION("""COMPUTED_VALUE"""),"MM0040003550")</f>
        <v>MM0040003550</v>
      </c>
      <c r="D1352" s="1" t="str">
        <f ca="1">IFERROR(__xludf.DUMMYFUNCTION("""COMPUTED_VALUE"""),"All/BA")</f>
        <v>All/BA</v>
      </c>
      <c r="E1352" s="1" t="str">
        <f ca="1">IFERROR(__xludf.DUMMYFUNCTION("""COMPUTED_VALUE"""),"p2/庫存")</f>
        <v>p2/庫存</v>
      </c>
      <c r="F1352" s="1">
        <f ca="1">IFERROR(__xludf.DUMMYFUNCTION("""COMPUTED_VALUE"""),1)</f>
        <v>1</v>
      </c>
      <c r="G1352" s="1"/>
      <c r="H1352" s="1" t="str">
        <f ca="1">IFERROR(__xludf.DUMMYFUNCTION("""COMPUTED_VALUE"""),"P2")</f>
        <v>P2</v>
      </c>
      <c r="I1352" s="1" t="str">
        <f ca="1">IFERROR(__xludf.DUMMYFUNCTION("""COMPUTED_VALUE"""),"Chiao Yu")</f>
        <v>Chiao Yu</v>
      </c>
    </row>
    <row r="1353" spans="1:9" ht="12.7" x14ac:dyDescent="0.4">
      <c r="A1353" s="2">
        <f ca="1">IFERROR(__xludf.DUMMYFUNCTION("""COMPUTED_VALUE"""),45890.6193004513)</f>
        <v>45890.619300451297</v>
      </c>
      <c r="B1353" s="1" t="str">
        <f ca="1">IFERROR(__xludf.DUMMYFUNCTION("""COMPUTED_VALUE"""),"進貨")</f>
        <v>進貨</v>
      </c>
      <c r="C1353" s="1" t="str">
        <f ca="1">IFERROR(__xludf.DUMMYFUNCTION("""COMPUTED_VALUE"""),"MM0040003551")</f>
        <v>MM0040003551</v>
      </c>
      <c r="D1353" s="1" t="str">
        <f ca="1">IFERROR(__xludf.DUMMYFUNCTION("""COMPUTED_VALUE"""),"All/BA")</f>
        <v>All/BA</v>
      </c>
      <c r="E1353" s="1" t="str">
        <f ca="1">IFERROR(__xludf.DUMMYFUNCTION("""COMPUTED_VALUE"""),"p2/庫存")</f>
        <v>p2/庫存</v>
      </c>
      <c r="F1353" s="1">
        <f ca="1">IFERROR(__xludf.DUMMYFUNCTION("""COMPUTED_VALUE"""),1)</f>
        <v>1</v>
      </c>
      <c r="G1353" s="1"/>
      <c r="H1353" s="1" t="str">
        <f ca="1">IFERROR(__xludf.DUMMYFUNCTION("""COMPUTED_VALUE"""),"P2")</f>
        <v>P2</v>
      </c>
      <c r="I1353" s="1" t="str">
        <f ca="1">IFERROR(__xludf.DUMMYFUNCTION("""COMPUTED_VALUE"""),"Chiao Yu")</f>
        <v>Chiao Yu</v>
      </c>
    </row>
    <row r="1354" spans="1:9" ht="12.7" x14ac:dyDescent="0.4">
      <c r="A1354" s="2">
        <f ca="1">IFERROR(__xludf.DUMMYFUNCTION("""COMPUTED_VALUE"""),45890.6215130787)</f>
        <v>45890.621513078702</v>
      </c>
      <c r="B1354" s="1" t="str">
        <f ca="1">IFERROR(__xludf.DUMMYFUNCTION("""COMPUTED_VALUE"""),"進貨")</f>
        <v>進貨</v>
      </c>
      <c r="C1354" s="1" t="str">
        <f ca="1">IFERROR(__xludf.DUMMYFUNCTION("""COMPUTED_VALUE"""),"ME0030000076")</f>
        <v>ME0030000076</v>
      </c>
      <c r="D1354" s="1" t="str">
        <f ca="1">IFERROR(__xludf.DUMMYFUNCTION("""COMPUTED_VALUE"""),"All/共用")</f>
        <v>All/共用</v>
      </c>
      <c r="E1354" s="1" t="str">
        <f ca="1">IFERROR(__xludf.DUMMYFUNCTION("""COMPUTED_VALUE"""),"p1/庫存")</f>
        <v>p1/庫存</v>
      </c>
      <c r="F1354" s="1">
        <f ca="1">IFERROR(__xludf.DUMMYFUNCTION("""COMPUTED_VALUE"""),1)</f>
        <v>1</v>
      </c>
      <c r="G1354" s="1"/>
      <c r="H1354" s="1" t="str">
        <f ca="1">IFERROR(__xludf.DUMMYFUNCTION("""COMPUTED_VALUE"""),"P1")</f>
        <v>P1</v>
      </c>
      <c r="I1354" s="1" t="str">
        <f ca="1">IFERROR(__xludf.DUMMYFUNCTION("""COMPUTED_VALUE"""),"Chiao Yu")</f>
        <v>Chiao Yu</v>
      </c>
    </row>
    <row r="1355" spans="1:9" ht="12.7" x14ac:dyDescent="0.4">
      <c r="A1355" s="2">
        <f ca="1">IFERROR(__xludf.DUMMYFUNCTION("""COMPUTED_VALUE"""),45890.6218303356)</f>
        <v>45890.6218303356</v>
      </c>
      <c r="B1355" s="1" t="str">
        <f ca="1">IFERROR(__xludf.DUMMYFUNCTION("""COMPUTED_VALUE"""),"進貨")</f>
        <v>進貨</v>
      </c>
      <c r="C1355" s="1" t="str">
        <f ca="1">IFERROR(__xludf.DUMMYFUNCTION("""COMPUTED_VALUE"""),"ME0030000076")</f>
        <v>ME0030000076</v>
      </c>
      <c r="D1355" s="1" t="str">
        <f ca="1">IFERROR(__xludf.DUMMYFUNCTION("""COMPUTED_VALUE"""),"All/共用")</f>
        <v>All/共用</v>
      </c>
      <c r="E1355" s="1" t="str">
        <f ca="1">IFERROR(__xludf.DUMMYFUNCTION("""COMPUTED_VALUE"""),"p2/庫存")</f>
        <v>p2/庫存</v>
      </c>
      <c r="F1355" s="1">
        <f ca="1">IFERROR(__xludf.DUMMYFUNCTION("""COMPUTED_VALUE"""),1)</f>
        <v>1</v>
      </c>
      <c r="G1355" s="1"/>
      <c r="H1355" s="1" t="str">
        <f ca="1">IFERROR(__xludf.DUMMYFUNCTION("""COMPUTED_VALUE"""),"P2")</f>
        <v>P2</v>
      </c>
      <c r="I1355" s="1" t="str">
        <f ca="1">IFERROR(__xludf.DUMMYFUNCTION("""COMPUTED_VALUE"""),"Chiao Yu")</f>
        <v>Chiao Yu</v>
      </c>
    </row>
    <row r="1356" spans="1:9" ht="12.7" x14ac:dyDescent="0.4">
      <c r="A1356" s="2">
        <f ca="1">IFERROR(__xludf.DUMMYFUNCTION("""COMPUTED_VALUE"""),45890.6224290277)</f>
        <v>45890.622429027702</v>
      </c>
      <c r="B1356" s="1" t="str">
        <f ca="1">IFERROR(__xludf.DUMMYFUNCTION("""COMPUTED_VALUE"""),"進貨")</f>
        <v>進貨</v>
      </c>
      <c r="C1356" s="1" t="str">
        <f ca="1">IFERROR(__xludf.DUMMYFUNCTION("""COMPUTED_VALUE"""),"A00700000862")</f>
        <v>A00700000862</v>
      </c>
      <c r="D1356" s="1" t="str">
        <f ca="1">IFERROR(__xludf.DUMMYFUNCTION("""COMPUTED_VALUE"""),"All/SB")</f>
        <v>All/SB</v>
      </c>
      <c r="E1356" s="1" t="str">
        <f ca="1">IFERROR(__xludf.DUMMYFUNCTION("""COMPUTED_VALUE"""),"p1/庫存")</f>
        <v>p1/庫存</v>
      </c>
      <c r="F1356" s="1">
        <f ca="1">IFERROR(__xludf.DUMMYFUNCTION("""COMPUTED_VALUE"""),2)</f>
        <v>2</v>
      </c>
      <c r="G1356" s="1"/>
      <c r="H1356" s="1" t="str">
        <f ca="1">IFERROR(__xludf.DUMMYFUNCTION("""COMPUTED_VALUE"""),"P1")</f>
        <v>P1</v>
      </c>
      <c r="I1356" s="1" t="str">
        <f ca="1">IFERROR(__xludf.DUMMYFUNCTION("""COMPUTED_VALUE"""),"Chiao Yu")</f>
        <v>Chiao Yu</v>
      </c>
    </row>
    <row r="1357" spans="1:9" ht="12.7" x14ac:dyDescent="0.4">
      <c r="A1357" s="2">
        <f ca="1">IFERROR(__xludf.DUMMYFUNCTION("""COMPUTED_VALUE"""),45890.6227196759)</f>
        <v>45890.622719675899</v>
      </c>
      <c r="B1357" s="1" t="str">
        <f ca="1">IFERROR(__xludf.DUMMYFUNCTION("""COMPUTED_VALUE"""),"進貨")</f>
        <v>進貨</v>
      </c>
      <c r="C1357" s="1" t="str">
        <f ca="1">IFERROR(__xludf.DUMMYFUNCTION("""COMPUTED_VALUE"""),"A00700000862")</f>
        <v>A00700000862</v>
      </c>
      <c r="D1357" s="1" t="str">
        <f ca="1">IFERROR(__xludf.DUMMYFUNCTION("""COMPUTED_VALUE"""),"All/SB")</f>
        <v>All/SB</v>
      </c>
      <c r="E1357" s="1" t="str">
        <f ca="1">IFERROR(__xludf.DUMMYFUNCTION("""COMPUTED_VALUE"""),"p2/庫存")</f>
        <v>p2/庫存</v>
      </c>
      <c r="F1357" s="1">
        <f ca="1">IFERROR(__xludf.DUMMYFUNCTION("""COMPUTED_VALUE"""),12)</f>
        <v>12</v>
      </c>
      <c r="G1357" s="1"/>
      <c r="H1357" s="1" t="str">
        <f ca="1">IFERROR(__xludf.DUMMYFUNCTION("""COMPUTED_VALUE"""),"P2")</f>
        <v>P2</v>
      </c>
      <c r="I1357" s="1" t="str">
        <f ca="1">IFERROR(__xludf.DUMMYFUNCTION("""COMPUTED_VALUE"""),"Chiao Yu")</f>
        <v>Chiao Yu</v>
      </c>
    </row>
    <row r="1358" spans="1:9" ht="12.7" x14ac:dyDescent="0.4">
      <c r="A1358" s="2">
        <f ca="1">IFERROR(__xludf.DUMMYFUNCTION("""COMPUTED_VALUE"""),45897.6869469444)</f>
        <v>45897.686946944399</v>
      </c>
      <c r="B1358" s="1" t="str">
        <f ca="1">IFERROR(__xludf.DUMMYFUNCTION("""COMPUTED_VALUE"""),"領料")</f>
        <v>領料</v>
      </c>
      <c r="C1358" s="1" t="str">
        <f ca="1">IFERROR(__xludf.DUMMYFUNCTION("""COMPUTED_VALUE"""),"MM0090000047")</f>
        <v>MM0090000047</v>
      </c>
      <c r="D1358" s="1" t="str">
        <f ca="1">IFERROR(__xludf.DUMMYFUNCTION("""COMPUTED_VALUE"""),"All/BA")</f>
        <v>All/BA</v>
      </c>
      <c r="E1358" s="1" t="str">
        <f ca="1">IFERROR(__xludf.DUMMYFUNCTION("""COMPUTED_VALUE"""),"p1/庫存")</f>
        <v>p1/庫存</v>
      </c>
      <c r="F1358" s="1">
        <f ca="1">IFERROR(__xludf.DUMMYFUNCTION("""COMPUTED_VALUE"""),2)</f>
        <v>2</v>
      </c>
      <c r="G1358" s="1"/>
      <c r="H1358" s="1" t="str">
        <f ca="1">IFERROR(__xludf.DUMMYFUNCTION("""COMPUTED_VALUE"""),"P1")</f>
        <v>P1</v>
      </c>
      <c r="I1358" s="1" t="str">
        <f ca="1">IFERROR(__xludf.DUMMYFUNCTION("""COMPUTED_VALUE"""),"Chiao Yu")</f>
        <v>Chiao Yu</v>
      </c>
    </row>
    <row r="1359" spans="1:9" ht="12.7" x14ac:dyDescent="0.4">
      <c r="A1359" s="2">
        <f ca="1">IFERROR(__xludf.DUMMYFUNCTION("""COMPUTED_VALUE"""),45899.3603502893)</f>
        <v>45899.360350289302</v>
      </c>
      <c r="B1359" s="1" t="str">
        <f ca="1">IFERROR(__xludf.DUMMYFUNCTION("""COMPUTED_VALUE"""),"送修")</f>
        <v>送修</v>
      </c>
      <c r="C1359" s="1" t="str">
        <f ca="1">IFERROR(__xludf.DUMMYFUNCTION("""COMPUTED_VALUE"""),"A00700000848")</f>
        <v>A00700000848</v>
      </c>
      <c r="D1359" s="1" t="str">
        <f ca="1">IFERROR(__xludf.DUMMYFUNCTION("""COMPUTED_VALUE"""),"All/SB")</f>
        <v>All/SB</v>
      </c>
      <c r="E1359" s="1" t="str">
        <f ca="1">IFERROR(__xludf.DUMMYFUNCTION("""COMPUTED_VALUE"""),"p1/庫存")</f>
        <v>p1/庫存</v>
      </c>
      <c r="F1359" s="1">
        <f ca="1">IFERROR(__xludf.DUMMYFUNCTION("""COMPUTED_VALUE"""),1)</f>
        <v>1</v>
      </c>
      <c r="G1359" s="1"/>
      <c r="H1359" s="1" t="str">
        <f ca="1">IFERROR(__xludf.DUMMYFUNCTION("""COMPUTED_VALUE"""),"P2_4001")</f>
        <v>P2_4001</v>
      </c>
      <c r="I1359" s="1" t="str">
        <f ca="1">IFERROR(__xludf.DUMMYFUNCTION("""COMPUTED_VALUE"""),"Chiao Yu")</f>
        <v>Chiao Yu</v>
      </c>
    </row>
    <row r="1360" spans="1:9" ht="12.7" x14ac:dyDescent="0.4">
      <c r="A1360" s="2">
        <f ca="1">IFERROR(__xludf.DUMMYFUNCTION("""COMPUTED_VALUE"""),45899.3614863078)</f>
        <v>45899.361486307796</v>
      </c>
      <c r="B1360" s="1" t="str">
        <f ca="1">IFERROR(__xludf.DUMMYFUNCTION("""COMPUTED_VALUE"""),"庫存調整")</f>
        <v>庫存調整</v>
      </c>
      <c r="C1360" s="1" t="str">
        <f ca="1">IFERROR(__xludf.DUMMYFUNCTION("""COMPUTED_VALUE"""),"A00700000837")</f>
        <v>A00700000837</v>
      </c>
      <c r="D1360" s="1" t="str">
        <f ca="1">IFERROR(__xludf.DUMMYFUNCTION("""COMPUTED_VALUE"""),"All/COLOR")</f>
        <v>All/COLOR</v>
      </c>
      <c r="E1360" s="1" t="str">
        <f ca="1">IFERROR(__xludf.DUMMYFUNCTION("""COMPUTED_VALUE"""),"p1/庫存")</f>
        <v>p1/庫存</v>
      </c>
      <c r="F1360" s="1">
        <f ca="1">IFERROR(__xludf.DUMMYFUNCTION("""COMPUTED_VALUE"""),3)</f>
        <v>3</v>
      </c>
      <c r="G1360" s="1"/>
      <c r="H1360" s="1" t="str">
        <f ca="1">IFERROR(__xludf.DUMMYFUNCTION("""COMPUTED_VALUE"""),"P1")</f>
        <v>P1</v>
      </c>
      <c r="I1360" s="1" t="str">
        <f ca="1">IFERROR(__xludf.DUMMYFUNCTION("""COMPUTED_VALUE"""),"Chiao Yu")</f>
        <v>Chiao Yu</v>
      </c>
    </row>
    <row r="1361" spans="1:9" ht="12.7" x14ac:dyDescent="0.4">
      <c r="A1361" s="2">
        <f ca="1">IFERROR(__xludf.DUMMYFUNCTION("""COMPUTED_VALUE"""),45899.3624254861)</f>
        <v>45899.362425486099</v>
      </c>
      <c r="B1361" s="1" t="str">
        <f ca="1">IFERROR(__xludf.DUMMYFUNCTION("""COMPUTED_VALUE"""),"庫存調整")</f>
        <v>庫存調整</v>
      </c>
      <c r="C1361" s="1" t="str">
        <f ca="1">IFERROR(__xludf.DUMMYFUNCTION("""COMPUTED_VALUE"""),"AGT000000005")</f>
        <v>AGT000000005</v>
      </c>
      <c r="D1361" s="1" t="str">
        <f ca="1">IFERROR(__xludf.DUMMYFUNCTION("""COMPUTED_VALUE"""),"All/共用")</f>
        <v>All/共用</v>
      </c>
      <c r="E1361" s="1" t="str">
        <f ca="1">IFERROR(__xludf.DUMMYFUNCTION("""COMPUTED_VALUE"""),"p1/庫存")</f>
        <v>p1/庫存</v>
      </c>
      <c r="F1361" s="1">
        <f ca="1">IFERROR(__xludf.DUMMYFUNCTION("""COMPUTED_VALUE"""),-15)</f>
        <v>-15</v>
      </c>
      <c r="G1361" s="1"/>
      <c r="H1361" s="1" t="str">
        <f ca="1">IFERROR(__xludf.DUMMYFUNCTION("""COMPUTED_VALUE"""),"P1")</f>
        <v>P1</v>
      </c>
      <c r="I1361" s="1" t="str">
        <f ca="1">IFERROR(__xludf.DUMMYFUNCTION("""COMPUTED_VALUE"""),"Chiao Yu")</f>
        <v>Chiao Yu</v>
      </c>
    </row>
    <row r="1362" spans="1:9" ht="12.7" x14ac:dyDescent="0.4">
      <c r="A1362" s="2">
        <f ca="1">IFERROR(__xludf.DUMMYFUNCTION("""COMPUTED_VALUE"""),45899.3630632407)</f>
        <v>45899.3630632407</v>
      </c>
      <c r="B1362" s="1" t="str">
        <f ca="1">IFERROR(__xludf.DUMMYFUNCTION("""COMPUTED_VALUE"""),"庫存調整")</f>
        <v>庫存調整</v>
      </c>
      <c r="C1362" s="1" t="str">
        <f ca="1">IFERROR(__xludf.DUMMYFUNCTION("""COMPUTED_VALUE"""),"ME0010000263")</f>
        <v>ME0010000263</v>
      </c>
      <c r="D1362" s="1" t="str">
        <f ca="1">IFERROR(__xludf.DUMMYFUNCTION("""COMPUTED_VALUE"""),"All/共用")</f>
        <v>All/共用</v>
      </c>
      <c r="E1362" s="1" t="str">
        <f ca="1">IFERROR(__xludf.DUMMYFUNCTION("""COMPUTED_VALUE"""),"p1/庫存")</f>
        <v>p1/庫存</v>
      </c>
      <c r="F1362" s="1">
        <f ca="1">IFERROR(__xludf.DUMMYFUNCTION("""COMPUTED_VALUE"""),1)</f>
        <v>1</v>
      </c>
      <c r="G1362" s="1"/>
      <c r="H1362" s="1" t="str">
        <f ca="1">IFERROR(__xludf.DUMMYFUNCTION("""COMPUTED_VALUE"""),"P1")</f>
        <v>P1</v>
      </c>
      <c r="I1362" s="1" t="str">
        <f ca="1">IFERROR(__xludf.DUMMYFUNCTION("""COMPUTED_VALUE"""),"Chiao Yu")</f>
        <v>Chiao Yu</v>
      </c>
    </row>
    <row r="1363" spans="1:9" ht="12.7" x14ac:dyDescent="0.4">
      <c r="A1363" s="2">
        <f ca="1">IFERROR(__xludf.DUMMYFUNCTION("""COMPUTED_VALUE"""),45899.3637530439)</f>
        <v>45899.363753043901</v>
      </c>
      <c r="B1363" s="1" t="str">
        <f ca="1">IFERROR(__xludf.DUMMYFUNCTION("""COMPUTED_VALUE"""),"庫存調整")</f>
        <v>庫存調整</v>
      </c>
      <c r="C1363" s="1" t="str">
        <f ca="1">IFERROR(__xludf.DUMMYFUNCTION("""COMPUTED_VALUE"""),"ME0020000566")</f>
        <v>ME0020000566</v>
      </c>
      <c r="D1363" s="1" t="str">
        <f ca="1">IFERROR(__xludf.DUMMYFUNCTION("""COMPUTED_VALUE"""),"All/共用")</f>
        <v>All/共用</v>
      </c>
      <c r="E1363" s="1" t="str">
        <f ca="1">IFERROR(__xludf.DUMMYFUNCTION("""COMPUTED_VALUE"""),"p1/庫存")</f>
        <v>p1/庫存</v>
      </c>
      <c r="F1363" s="1">
        <f ca="1">IFERROR(__xludf.DUMMYFUNCTION("""COMPUTED_VALUE"""),-1)</f>
        <v>-1</v>
      </c>
      <c r="G1363" s="1"/>
      <c r="H1363" s="1" t="str">
        <f ca="1">IFERROR(__xludf.DUMMYFUNCTION("""COMPUTED_VALUE"""),"P1")</f>
        <v>P1</v>
      </c>
      <c r="I1363" s="1" t="str">
        <f ca="1">IFERROR(__xludf.DUMMYFUNCTION("""COMPUTED_VALUE"""),"Chiao Yu")</f>
        <v>Chiao Yu</v>
      </c>
    </row>
    <row r="1364" spans="1:9" ht="12.7" x14ac:dyDescent="0.4">
      <c r="A1364" s="2">
        <f ca="1">IFERROR(__xludf.DUMMYFUNCTION("""COMPUTED_VALUE"""),45899.3643220486)</f>
        <v>45899.364322048597</v>
      </c>
      <c r="B1364" s="1" t="str">
        <f ca="1">IFERROR(__xludf.DUMMYFUNCTION("""COMPUTED_VALUE"""),"庫存調整")</f>
        <v>庫存調整</v>
      </c>
      <c r="C1364" s="1" t="str">
        <f ca="1">IFERROR(__xludf.DUMMYFUNCTION("""COMPUTED_VALUE"""),"ME0020000582")</f>
        <v>ME0020000582</v>
      </c>
      <c r="D1364" s="1" t="str">
        <f ca="1">IFERROR(__xludf.DUMMYFUNCTION("""COMPUTED_VALUE"""),"All/共用")</f>
        <v>All/共用</v>
      </c>
      <c r="E1364" s="1" t="str">
        <f ca="1">IFERROR(__xludf.DUMMYFUNCTION("""COMPUTED_VALUE"""),"p1/庫存")</f>
        <v>p1/庫存</v>
      </c>
      <c r="F1364" s="1">
        <f ca="1">IFERROR(__xludf.DUMMYFUNCTION("""COMPUTED_VALUE"""),0)</f>
        <v>0</v>
      </c>
      <c r="G1364" s="1"/>
      <c r="H1364" s="1" t="str">
        <f ca="1">IFERROR(__xludf.DUMMYFUNCTION("""COMPUTED_VALUE"""),"P1")</f>
        <v>P1</v>
      </c>
      <c r="I1364" s="1" t="str">
        <f ca="1">IFERROR(__xludf.DUMMYFUNCTION("""COMPUTED_VALUE"""),"Chiao Yu")</f>
        <v>Chiao Yu</v>
      </c>
    </row>
    <row r="1365" spans="1:9" ht="12.7" x14ac:dyDescent="0.4">
      <c r="A1365" s="2">
        <f ca="1">IFERROR(__xludf.DUMMYFUNCTION("""COMPUTED_VALUE"""),45899.3646723148)</f>
        <v>45899.364672314798</v>
      </c>
      <c r="B1365" s="1" t="str">
        <f ca="1">IFERROR(__xludf.DUMMYFUNCTION("""COMPUTED_VALUE"""),"庫存調整")</f>
        <v>庫存調整</v>
      </c>
      <c r="C1365" s="1" t="str">
        <f ca="1">IFERROR(__xludf.DUMMYFUNCTION("""COMPUTED_VALUE"""),"ME0020000592")</f>
        <v>ME0020000592</v>
      </c>
      <c r="D1365" s="1" t="str">
        <f ca="1">IFERROR(__xludf.DUMMYFUNCTION("""COMPUTED_VALUE"""),"All/共用")</f>
        <v>All/共用</v>
      </c>
      <c r="E1365" s="1" t="str">
        <f ca="1">IFERROR(__xludf.DUMMYFUNCTION("""COMPUTED_VALUE"""),"p1/庫存")</f>
        <v>p1/庫存</v>
      </c>
      <c r="F1365" s="1">
        <f ca="1">IFERROR(__xludf.DUMMYFUNCTION("""COMPUTED_VALUE"""),1)</f>
        <v>1</v>
      </c>
      <c r="G1365" s="1"/>
      <c r="H1365" s="1" t="str">
        <f ca="1">IFERROR(__xludf.DUMMYFUNCTION("""COMPUTED_VALUE"""),"P1")</f>
        <v>P1</v>
      </c>
      <c r="I1365" s="1" t="str">
        <f ca="1">IFERROR(__xludf.DUMMYFUNCTION("""COMPUTED_VALUE"""),"Chiao Yu")</f>
        <v>Chiao Yu</v>
      </c>
    </row>
    <row r="1366" spans="1:9" ht="12.7" x14ac:dyDescent="0.4">
      <c r="A1366" s="2">
        <f ca="1">IFERROR(__xludf.DUMMYFUNCTION("""COMPUTED_VALUE"""),45899.3662425463)</f>
        <v>45899.366242546297</v>
      </c>
      <c r="B1366" s="1" t="str">
        <f ca="1">IFERROR(__xludf.DUMMYFUNCTION("""COMPUTED_VALUE"""),"庫存調整")</f>
        <v>庫存調整</v>
      </c>
      <c r="C1366" s="1" t="str">
        <f ca="1">IFERROR(__xludf.DUMMYFUNCTION("""COMPUTED_VALUE"""),"ME0020000637")</f>
        <v>ME0020000637</v>
      </c>
      <c r="D1366" s="1" t="str">
        <f ca="1">IFERROR(__xludf.DUMMYFUNCTION("""COMPUTED_VALUE"""),"All/共用")</f>
        <v>All/共用</v>
      </c>
      <c r="E1366" s="1" t="str">
        <f ca="1">IFERROR(__xludf.DUMMYFUNCTION("""COMPUTED_VALUE"""),"p1/庫存")</f>
        <v>p1/庫存</v>
      </c>
      <c r="F1366" s="1">
        <f ca="1">IFERROR(__xludf.DUMMYFUNCTION("""COMPUTED_VALUE"""),3)</f>
        <v>3</v>
      </c>
      <c r="G1366" s="1"/>
      <c r="H1366" s="1" t="str">
        <f ca="1">IFERROR(__xludf.DUMMYFUNCTION("""COMPUTED_VALUE"""),"P1")</f>
        <v>P1</v>
      </c>
      <c r="I1366" s="1" t="str">
        <f ca="1">IFERROR(__xludf.DUMMYFUNCTION("""COMPUTED_VALUE"""),"Chiao Yu")</f>
        <v>Chiao Yu</v>
      </c>
    </row>
    <row r="1367" spans="1:9" ht="12.7" x14ac:dyDescent="0.4">
      <c r="A1367" s="2">
        <f ca="1">IFERROR(__xludf.DUMMYFUNCTION("""COMPUTED_VALUE"""),45899.3673294097)</f>
        <v>45899.367329409703</v>
      </c>
      <c r="B1367" s="1" t="str">
        <f ca="1">IFERROR(__xludf.DUMMYFUNCTION("""COMPUTED_VALUE"""),"領料")</f>
        <v>領料</v>
      </c>
      <c r="C1367" s="1" t="str">
        <f ca="1">IFERROR(__xludf.DUMMYFUNCTION("""COMPUTED_VALUE"""),"ME0030000058")</f>
        <v>ME0030000058</v>
      </c>
      <c r="D1367" s="1" t="str">
        <f ca="1">IFERROR(__xludf.DUMMYFUNCTION("""COMPUTED_VALUE"""),"All/共用")</f>
        <v>All/共用</v>
      </c>
      <c r="E1367" s="1" t="str">
        <f ca="1">IFERROR(__xludf.DUMMYFUNCTION("""COMPUTED_VALUE"""),"p1/庫存")</f>
        <v>p1/庫存</v>
      </c>
      <c r="F1367" s="1">
        <f ca="1">IFERROR(__xludf.DUMMYFUNCTION("""COMPUTED_VALUE"""),1)</f>
        <v>1</v>
      </c>
      <c r="G1367" s="1"/>
      <c r="H1367" s="1" t="str">
        <f ca="1">IFERROR(__xludf.DUMMYFUNCTION("""COMPUTED_VALUE"""),"P1")</f>
        <v>P1</v>
      </c>
      <c r="I1367" s="1" t="str">
        <f ca="1">IFERROR(__xludf.DUMMYFUNCTION("""COMPUTED_VALUE"""),"Chiao Yu")</f>
        <v>Chiao Yu</v>
      </c>
    </row>
    <row r="1368" spans="1:9" ht="12.7" x14ac:dyDescent="0.4">
      <c r="A1368" s="2">
        <f ca="1">IFERROR(__xludf.DUMMYFUNCTION("""COMPUTED_VALUE"""),45899.3679741782)</f>
        <v>45899.367974178203</v>
      </c>
      <c r="B1368" s="1" t="str">
        <f ca="1">IFERROR(__xludf.DUMMYFUNCTION("""COMPUTED_VALUE"""),"領料")</f>
        <v>領料</v>
      </c>
      <c r="C1368" s="1" t="str">
        <f ca="1">IFERROR(__xludf.DUMMYFUNCTION("""COMPUTED_VALUE"""),"ME0030000075")</f>
        <v>ME0030000075</v>
      </c>
      <c r="D1368" s="1" t="str">
        <f ca="1">IFERROR(__xludf.DUMMYFUNCTION("""COMPUTED_VALUE"""),"All/共用")</f>
        <v>All/共用</v>
      </c>
      <c r="E1368" s="1" t="str">
        <f ca="1">IFERROR(__xludf.DUMMYFUNCTION("""COMPUTED_VALUE"""),"p1/庫存")</f>
        <v>p1/庫存</v>
      </c>
      <c r="F1368" s="1">
        <f ca="1">IFERROR(__xludf.DUMMYFUNCTION("""COMPUTED_VALUE"""),1)</f>
        <v>1</v>
      </c>
      <c r="G1368" s="1"/>
      <c r="H1368" s="1" t="str">
        <f ca="1">IFERROR(__xludf.DUMMYFUNCTION("""COMPUTED_VALUE"""),"P1")</f>
        <v>P1</v>
      </c>
      <c r="I1368" s="1" t="str">
        <f ca="1">IFERROR(__xludf.DUMMYFUNCTION("""COMPUTED_VALUE"""),"Chiao Yu")</f>
        <v>Chiao Yu</v>
      </c>
    </row>
    <row r="1369" spans="1:9" ht="12.7" x14ac:dyDescent="0.4">
      <c r="A1369" s="2">
        <f ca="1">IFERROR(__xludf.DUMMYFUNCTION("""COMPUTED_VALUE"""),45899.3687578472)</f>
        <v>45899.368757847202</v>
      </c>
      <c r="B1369" s="1" t="str">
        <f ca="1">IFERROR(__xludf.DUMMYFUNCTION("""COMPUTED_VALUE"""),"庫存調整")</f>
        <v>庫存調整</v>
      </c>
      <c r="C1369" s="1" t="str">
        <f ca="1">IFERROR(__xludf.DUMMYFUNCTION("""COMPUTED_VALUE"""),"ME0060000277")</f>
        <v>ME0060000277</v>
      </c>
      <c r="D1369" s="1" t="str">
        <f ca="1">IFERROR(__xludf.DUMMYFUNCTION("""COMPUTED_VALUE"""),"All/共用")</f>
        <v>All/共用</v>
      </c>
      <c r="E1369" s="1" t="str">
        <f ca="1">IFERROR(__xludf.DUMMYFUNCTION("""COMPUTED_VALUE"""),"p1/庫存")</f>
        <v>p1/庫存</v>
      </c>
      <c r="F1369" s="1">
        <f ca="1">IFERROR(__xludf.DUMMYFUNCTION("""COMPUTED_VALUE"""),-1)</f>
        <v>-1</v>
      </c>
      <c r="G1369" s="1"/>
      <c r="H1369" s="1" t="str">
        <f ca="1">IFERROR(__xludf.DUMMYFUNCTION("""COMPUTED_VALUE"""),"P1")</f>
        <v>P1</v>
      </c>
      <c r="I1369" s="1" t="str">
        <f ca="1">IFERROR(__xludf.DUMMYFUNCTION("""COMPUTED_VALUE"""),"Chiao Yu")</f>
        <v>Chiao Yu</v>
      </c>
    </row>
    <row r="1370" spans="1:9" ht="12.7" x14ac:dyDescent="0.4">
      <c r="A1370" s="2">
        <f ca="1">IFERROR(__xludf.DUMMYFUNCTION("""COMPUTED_VALUE"""),45899.3697202314)</f>
        <v>45899.3697202314</v>
      </c>
      <c r="B1370" s="1" t="str">
        <f ca="1">IFERROR(__xludf.DUMMYFUNCTION("""COMPUTED_VALUE"""),"庫存調整")</f>
        <v>庫存調整</v>
      </c>
      <c r="C1370" s="1" t="str">
        <f ca="1">IFERROR(__xludf.DUMMYFUNCTION("""COMPUTED_VALUE"""),"ME0100000084")</f>
        <v>ME0100000084</v>
      </c>
      <c r="D1370" s="1" t="str">
        <f ca="1">IFERROR(__xludf.DUMMYFUNCTION("""COMPUTED_VALUE"""),"All/COLOR")</f>
        <v>All/COLOR</v>
      </c>
      <c r="E1370" s="1" t="str">
        <f ca="1">IFERROR(__xludf.DUMMYFUNCTION("""COMPUTED_VALUE"""),"p1/庫存")</f>
        <v>p1/庫存</v>
      </c>
      <c r="F1370" s="1">
        <f ca="1">IFERROR(__xludf.DUMMYFUNCTION("""COMPUTED_VALUE"""),1)</f>
        <v>1</v>
      </c>
      <c r="G1370" s="1"/>
      <c r="H1370" s="1" t="str">
        <f ca="1">IFERROR(__xludf.DUMMYFUNCTION("""COMPUTED_VALUE"""),"P1")</f>
        <v>P1</v>
      </c>
      <c r="I1370" s="1" t="str">
        <f ca="1">IFERROR(__xludf.DUMMYFUNCTION("""COMPUTED_VALUE"""),"Chiao Yu")</f>
        <v>Chiao Yu</v>
      </c>
    </row>
    <row r="1371" spans="1:9" ht="12.7" x14ac:dyDescent="0.4">
      <c r="A1371" s="2">
        <f ca="1">IFERROR(__xludf.DUMMYFUNCTION("""COMPUTED_VALUE"""),45899.3707733912)</f>
        <v>45899.370773391202</v>
      </c>
      <c r="B1371" s="1" t="str">
        <f ca="1">IFERROR(__xludf.DUMMYFUNCTION("""COMPUTED_VALUE"""),"庫存調整")</f>
        <v>庫存調整</v>
      </c>
      <c r="C1371" s="1" t="str">
        <f ca="1">IFERROR(__xludf.DUMMYFUNCTION("""COMPUTED_VALUE"""),"ME0270001045")</f>
        <v>ME0270001045</v>
      </c>
      <c r="D1371" s="1" t="str">
        <f ca="1">IFERROR(__xludf.DUMMYFUNCTION("""COMPUTED_VALUE"""),"All/共用")</f>
        <v>All/共用</v>
      </c>
      <c r="E1371" s="1" t="str">
        <f ca="1">IFERROR(__xludf.DUMMYFUNCTION("""COMPUTED_VALUE"""),"p1/庫存")</f>
        <v>p1/庫存</v>
      </c>
      <c r="F1371" s="1">
        <f ca="1">IFERROR(__xludf.DUMMYFUNCTION("""COMPUTED_VALUE"""),1)</f>
        <v>1</v>
      </c>
      <c r="G1371" s="1"/>
      <c r="H1371" s="1" t="str">
        <f ca="1">IFERROR(__xludf.DUMMYFUNCTION("""COMPUTED_VALUE"""),"P1")</f>
        <v>P1</v>
      </c>
      <c r="I1371" s="1" t="str">
        <f ca="1">IFERROR(__xludf.DUMMYFUNCTION("""COMPUTED_VALUE"""),"Chiao Yu")</f>
        <v>Chiao Yu</v>
      </c>
    </row>
    <row r="1372" spans="1:9" ht="12.7" x14ac:dyDescent="0.4">
      <c r="A1372" s="2">
        <f ca="1">IFERROR(__xludf.DUMMYFUNCTION("""COMPUTED_VALUE"""),45899.3714441203)</f>
        <v>45899.371444120297</v>
      </c>
      <c r="B1372" s="1" t="str">
        <f ca="1">IFERROR(__xludf.DUMMYFUNCTION("""COMPUTED_VALUE"""),"進貨")</f>
        <v>進貨</v>
      </c>
      <c r="C1372" s="1" t="str">
        <f ca="1">IFERROR(__xludf.DUMMYFUNCTION("""COMPUTED_VALUE"""),"ME0270001339")</f>
        <v>ME0270001339</v>
      </c>
      <c r="D1372" s="1" t="str">
        <f ca="1">IFERROR(__xludf.DUMMYFUNCTION("""COMPUTED_VALUE"""),"All/COLOR")</f>
        <v>All/COLOR</v>
      </c>
      <c r="E1372" s="1" t="str">
        <f ca="1">IFERROR(__xludf.DUMMYFUNCTION("""COMPUTED_VALUE"""),"p1/庫存")</f>
        <v>p1/庫存</v>
      </c>
      <c r="F1372" s="1">
        <f ca="1">IFERROR(__xludf.DUMMYFUNCTION("""COMPUTED_VALUE"""),0)</f>
        <v>0</v>
      </c>
      <c r="G1372" s="1"/>
      <c r="H1372" s="1" t="str">
        <f ca="1">IFERROR(__xludf.DUMMYFUNCTION("""COMPUTED_VALUE"""),"P1")</f>
        <v>P1</v>
      </c>
      <c r="I1372" s="1" t="str">
        <f ca="1">IFERROR(__xludf.DUMMYFUNCTION("""COMPUTED_VALUE"""),"Chiao Yu")</f>
        <v>Chiao Yu</v>
      </c>
    </row>
    <row r="1373" spans="1:9" ht="12.7" x14ac:dyDescent="0.4">
      <c r="A1373" s="2">
        <f ca="1">IFERROR(__xludf.DUMMYFUNCTION("""COMPUTED_VALUE"""),45899.3755469212)</f>
        <v>45899.375546921197</v>
      </c>
      <c r="B1373" s="1" t="str">
        <f ca="1">IFERROR(__xludf.DUMMYFUNCTION("""COMPUTED_VALUE"""),"庫存調整")</f>
        <v>庫存調整</v>
      </c>
      <c r="C1373" s="1" t="str">
        <f ca="1">IFERROR(__xludf.DUMMYFUNCTION("""COMPUTED_VALUE"""),"ME0270001339")</f>
        <v>ME0270001339</v>
      </c>
      <c r="D1373" s="1" t="str">
        <f ca="1">IFERROR(__xludf.DUMMYFUNCTION("""COMPUTED_VALUE"""),"All/COLOR")</f>
        <v>All/COLOR</v>
      </c>
      <c r="E1373" s="1" t="str">
        <f ca="1">IFERROR(__xludf.DUMMYFUNCTION("""COMPUTED_VALUE"""),"p1/庫存")</f>
        <v>p1/庫存</v>
      </c>
      <c r="F1373" s="1">
        <f ca="1">IFERROR(__xludf.DUMMYFUNCTION("""COMPUTED_VALUE"""),0)</f>
        <v>0</v>
      </c>
      <c r="G1373" s="1"/>
      <c r="H1373" s="1" t="str">
        <f ca="1">IFERROR(__xludf.DUMMYFUNCTION("""COMPUTED_VALUE"""),"P1")</f>
        <v>P1</v>
      </c>
      <c r="I1373" s="1" t="str">
        <f ca="1">IFERROR(__xludf.DUMMYFUNCTION("""COMPUTED_VALUE"""),"Chiao Yu")</f>
        <v>Chiao Yu</v>
      </c>
    </row>
    <row r="1374" spans="1:9" ht="12.7" x14ac:dyDescent="0.4">
      <c r="A1374" s="2">
        <f ca="1">IFERROR(__xludf.DUMMYFUNCTION("""COMPUTED_VALUE"""),45899.3800438426)</f>
        <v>45899.380043842597</v>
      </c>
      <c r="B1374" s="1" t="str">
        <f ca="1">IFERROR(__xludf.DUMMYFUNCTION("""COMPUTED_VALUE"""),"庫存調整")</f>
        <v>庫存調整</v>
      </c>
      <c r="C1374" s="1" t="str">
        <f ca="1">IFERROR(__xludf.DUMMYFUNCTION("""COMPUTED_VALUE"""),"MM0090000047")</f>
        <v>MM0090000047</v>
      </c>
      <c r="D1374" s="1" t="str">
        <f ca="1">IFERROR(__xludf.DUMMYFUNCTION("""COMPUTED_VALUE"""),"All/BA")</f>
        <v>All/BA</v>
      </c>
      <c r="E1374" s="1" t="str">
        <f ca="1">IFERROR(__xludf.DUMMYFUNCTION("""COMPUTED_VALUE"""),"p1/庫存")</f>
        <v>p1/庫存</v>
      </c>
      <c r="F1374" s="1">
        <f ca="1">IFERROR(__xludf.DUMMYFUNCTION("""COMPUTED_VALUE"""),-128)</f>
        <v>-128</v>
      </c>
      <c r="G1374" s="1"/>
      <c r="H1374" s="1" t="str">
        <f ca="1">IFERROR(__xludf.DUMMYFUNCTION("""COMPUTED_VALUE"""),"P1")</f>
        <v>P1</v>
      </c>
      <c r="I1374" s="1" t="str">
        <f ca="1">IFERROR(__xludf.DUMMYFUNCTION("""COMPUTED_VALUE"""),"Chiao Yu")</f>
        <v>Chiao Yu</v>
      </c>
    </row>
    <row r="1375" spans="1:9" ht="12.7" x14ac:dyDescent="0.4">
      <c r="A1375" s="2">
        <f ca="1">IFERROR(__xludf.DUMMYFUNCTION("""COMPUTED_VALUE"""),45899.3804707407)</f>
        <v>45899.380470740703</v>
      </c>
      <c r="B1375" s="1" t="str">
        <f ca="1">IFERROR(__xludf.DUMMYFUNCTION("""COMPUTED_VALUE"""),"庫存調整")</f>
        <v>庫存調整</v>
      </c>
      <c r="C1375" s="1" t="str">
        <f ca="1">IFERROR(__xludf.DUMMYFUNCTION("""COMPUTED_VALUE"""),"A00700000837")</f>
        <v>A00700000837</v>
      </c>
      <c r="D1375" s="1" t="str">
        <f ca="1">IFERROR(__xludf.DUMMYFUNCTION("""COMPUTED_VALUE"""),"All/COLOR")</f>
        <v>All/COLOR</v>
      </c>
      <c r="E1375" s="1" t="str">
        <f ca="1">IFERROR(__xludf.DUMMYFUNCTION("""COMPUTED_VALUE"""),"p2/庫存")</f>
        <v>p2/庫存</v>
      </c>
      <c r="F1375" s="1">
        <f ca="1">IFERROR(__xludf.DUMMYFUNCTION("""COMPUTED_VALUE"""),-3)</f>
        <v>-3</v>
      </c>
      <c r="G1375" s="1"/>
      <c r="H1375" s="1" t="str">
        <f ca="1">IFERROR(__xludf.DUMMYFUNCTION("""COMPUTED_VALUE"""),"P2")</f>
        <v>P2</v>
      </c>
      <c r="I1375" s="1" t="str">
        <f ca="1">IFERROR(__xludf.DUMMYFUNCTION("""COMPUTED_VALUE"""),"Simon")</f>
        <v>Simon</v>
      </c>
    </row>
    <row r="1376" spans="1:9" ht="12.7" x14ac:dyDescent="0.4">
      <c r="A1376" s="2">
        <f ca="1">IFERROR(__xludf.DUMMYFUNCTION("""COMPUTED_VALUE"""),45899.3811450925)</f>
        <v>45899.381145092499</v>
      </c>
      <c r="B1376" s="1" t="str">
        <f ca="1">IFERROR(__xludf.DUMMYFUNCTION("""COMPUTED_VALUE"""),"庫存調整")</f>
        <v>庫存調整</v>
      </c>
      <c r="C1376" s="1" t="str">
        <f ca="1">IFERROR(__xludf.DUMMYFUNCTION("""COMPUTED_VALUE"""),"MM0220000039")</f>
        <v>MM0220000039</v>
      </c>
      <c r="D1376" s="1" t="str">
        <f ca="1">IFERROR(__xludf.DUMMYFUNCTION("""COMPUTED_VALUE"""),"All/共用")</f>
        <v>All/共用</v>
      </c>
      <c r="E1376" s="1" t="str">
        <f ca="1">IFERROR(__xludf.DUMMYFUNCTION("""COMPUTED_VALUE"""),"p1/庫存")</f>
        <v>p1/庫存</v>
      </c>
      <c r="F1376" s="1">
        <f ca="1">IFERROR(__xludf.DUMMYFUNCTION("""COMPUTED_VALUE"""),-1)</f>
        <v>-1</v>
      </c>
      <c r="G1376" s="1"/>
      <c r="H1376" s="1" t="str">
        <f ca="1">IFERROR(__xludf.DUMMYFUNCTION("""COMPUTED_VALUE"""),"P1")</f>
        <v>P1</v>
      </c>
      <c r="I1376" s="1" t="str">
        <f ca="1">IFERROR(__xludf.DUMMYFUNCTION("""COMPUTED_VALUE"""),"Chiao Yu")</f>
        <v>Chiao Yu</v>
      </c>
    </row>
    <row r="1377" spans="1:9" ht="12.7" x14ac:dyDescent="0.4">
      <c r="A1377" s="2">
        <f ca="1">IFERROR(__xludf.DUMMYFUNCTION("""COMPUTED_VALUE"""),45899.3814520023)</f>
        <v>45899.381452002301</v>
      </c>
      <c r="B1377" s="1" t="str">
        <f ca="1">IFERROR(__xludf.DUMMYFUNCTION("""COMPUTED_VALUE"""),"庫存調整")</f>
        <v>庫存調整</v>
      </c>
      <c r="C1377" s="1" t="str">
        <f ca="1">IFERROR(__xludf.DUMMYFUNCTION("""COMPUTED_VALUE"""),"MM0220000040")</f>
        <v>MM0220000040</v>
      </c>
      <c r="D1377" s="1" t="str">
        <f ca="1">IFERROR(__xludf.DUMMYFUNCTION("""COMPUTED_VALUE"""),"All/共用")</f>
        <v>All/共用</v>
      </c>
      <c r="E1377" s="1" t="str">
        <f ca="1">IFERROR(__xludf.DUMMYFUNCTION("""COMPUTED_VALUE"""),"p1/庫存")</f>
        <v>p1/庫存</v>
      </c>
      <c r="F1377" s="1">
        <f ca="1">IFERROR(__xludf.DUMMYFUNCTION("""COMPUTED_VALUE"""),-3)</f>
        <v>-3</v>
      </c>
      <c r="G1377" s="1"/>
      <c r="H1377" s="1" t="str">
        <f ca="1">IFERROR(__xludf.DUMMYFUNCTION("""COMPUTED_VALUE"""),"P1")</f>
        <v>P1</v>
      </c>
      <c r="I1377" s="1" t="str">
        <f ca="1">IFERROR(__xludf.DUMMYFUNCTION("""COMPUTED_VALUE"""),"Chiao Yu")</f>
        <v>Chiao Yu</v>
      </c>
    </row>
    <row r="1378" spans="1:9" ht="12.7" x14ac:dyDescent="0.4">
      <c r="A1378" s="2">
        <f ca="1">IFERROR(__xludf.DUMMYFUNCTION("""COMPUTED_VALUE"""),45899.3817833449)</f>
        <v>45899.381783344899</v>
      </c>
      <c r="B1378" s="1" t="str">
        <f ca="1">IFERROR(__xludf.DUMMYFUNCTION("""COMPUTED_VALUE"""),"庫存調整")</f>
        <v>庫存調整</v>
      </c>
      <c r="C1378" s="1" t="str">
        <f ca="1">IFERROR(__xludf.DUMMYFUNCTION("""COMPUTED_VALUE"""),"A01100000092")</f>
        <v>A01100000092</v>
      </c>
      <c r="D1378" s="1" t="str">
        <f ca="1">IFERROR(__xludf.DUMMYFUNCTION("""COMPUTED_VALUE"""),"All/SB")</f>
        <v>All/SB</v>
      </c>
      <c r="E1378" s="1" t="str">
        <f ca="1">IFERROR(__xludf.DUMMYFUNCTION("""COMPUTED_VALUE"""),"p2/庫存")</f>
        <v>p2/庫存</v>
      </c>
      <c r="F1378" s="1">
        <f ca="1">IFERROR(__xludf.DUMMYFUNCTION("""COMPUTED_VALUE"""),1)</f>
        <v>1</v>
      </c>
      <c r="G1378" s="1"/>
      <c r="H1378" s="1" t="str">
        <f ca="1">IFERROR(__xludf.DUMMYFUNCTION("""COMPUTED_VALUE"""),"P2")</f>
        <v>P2</v>
      </c>
      <c r="I1378" s="1" t="str">
        <f ca="1">IFERROR(__xludf.DUMMYFUNCTION("""COMPUTED_VALUE"""),"Simon")</f>
        <v>Simon</v>
      </c>
    </row>
    <row r="1379" spans="1:9" ht="12.7" x14ac:dyDescent="0.4">
      <c r="A1379" s="2">
        <f ca="1">IFERROR(__xludf.DUMMYFUNCTION("""COMPUTED_VALUE"""),45899.3817843402)</f>
        <v>45899.381784340199</v>
      </c>
      <c r="B1379" s="1" t="str">
        <f ca="1">IFERROR(__xludf.DUMMYFUNCTION("""COMPUTED_VALUE"""),"庫存調整")</f>
        <v>庫存調整</v>
      </c>
      <c r="C1379" s="1" t="str">
        <f ca="1">IFERROR(__xludf.DUMMYFUNCTION("""COMPUTED_VALUE"""),"MM0220000042")</f>
        <v>MM0220000042</v>
      </c>
      <c r="D1379" s="1" t="str">
        <f ca="1">IFERROR(__xludf.DUMMYFUNCTION("""COMPUTED_VALUE"""),"All/共用")</f>
        <v>All/共用</v>
      </c>
      <c r="E1379" s="1" t="str">
        <f ca="1">IFERROR(__xludf.DUMMYFUNCTION("""COMPUTED_VALUE"""),"p1/庫存")</f>
        <v>p1/庫存</v>
      </c>
      <c r="F1379" s="1">
        <f ca="1">IFERROR(__xludf.DUMMYFUNCTION("""COMPUTED_VALUE"""),-124)</f>
        <v>-124</v>
      </c>
      <c r="G1379" s="1"/>
      <c r="H1379" s="1" t="str">
        <f ca="1">IFERROR(__xludf.DUMMYFUNCTION("""COMPUTED_VALUE"""),"P1")</f>
        <v>P1</v>
      </c>
      <c r="I1379" s="1" t="str">
        <f ca="1">IFERROR(__xludf.DUMMYFUNCTION("""COMPUTED_VALUE"""),"Chiao Yu")</f>
        <v>Chiao Yu</v>
      </c>
    </row>
    <row r="1380" spans="1:9" ht="12.7" x14ac:dyDescent="0.4">
      <c r="A1380" s="2">
        <f ca="1">IFERROR(__xludf.DUMMYFUNCTION("""COMPUTED_VALUE"""),45899.3824504398)</f>
        <v>45899.3824504398</v>
      </c>
      <c r="B1380" s="1" t="str">
        <f ca="1">IFERROR(__xludf.DUMMYFUNCTION("""COMPUTED_VALUE"""),"庫存調整")</f>
        <v>庫存調整</v>
      </c>
      <c r="C1380" s="1" t="str">
        <f ca="1">IFERROR(__xludf.DUMMYFUNCTION("""COMPUTED_VALUE"""),"MM0260000157")</f>
        <v>MM0260000157</v>
      </c>
      <c r="D1380" s="1" t="str">
        <f ca="1">IFERROR(__xludf.DUMMYFUNCTION("""COMPUTED_VALUE"""),"All/BA")</f>
        <v>All/BA</v>
      </c>
      <c r="E1380" s="1" t="str">
        <f ca="1">IFERROR(__xludf.DUMMYFUNCTION("""COMPUTED_VALUE"""),"p1/庫存")</f>
        <v>p1/庫存</v>
      </c>
      <c r="F1380" s="1">
        <f ca="1">IFERROR(__xludf.DUMMYFUNCTION("""COMPUTED_VALUE"""),-2)</f>
        <v>-2</v>
      </c>
      <c r="G1380" s="1"/>
      <c r="H1380" s="1" t="str">
        <f ca="1">IFERROR(__xludf.DUMMYFUNCTION("""COMPUTED_VALUE"""),"P1")</f>
        <v>P1</v>
      </c>
      <c r="I1380" s="1" t="str">
        <f ca="1">IFERROR(__xludf.DUMMYFUNCTION("""COMPUTED_VALUE"""),"Chiao Yu")</f>
        <v>Chiao Yu</v>
      </c>
    </row>
    <row r="1381" spans="1:9" ht="12.7" x14ac:dyDescent="0.4">
      <c r="A1381" s="2">
        <f ca="1">IFERROR(__xludf.DUMMYFUNCTION("""COMPUTED_VALUE"""),45899.3827765162)</f>
        <v>45899.382776516199</v>
      </c>
      <c r="B1381" s="1" t="str">
        <f ca="1">IFERROR(__xludf.DUMMYFUNCTION("""COMPUTED_VALUE"""),"庫存調整")</f>
        <v>庫存調整</v>
      </c>
      <c r="C1381" s="1" t="str">
        <f ca="1">IFERROR(__xludf.DUMMYFUNCTION("""COMPUTED_VALUE"""),"AGT000000004")</f>
        <v>AGT000000004</v>
      </c>
      <c r="D1381" s="1" t="str">
        <f ca="1">IFERROR(__xludf.DUMMYFUNCTION("""COMPUTED_VALUE"""),"All/共用")</f>
        <v>All/共用</v>
      </c>
      <c r="E1381" s="1" t="str">
        <f ca="1">IFERROR(__xludf.DUMMYFUNCTION("""COMPUTED_VALUE"""),"p2/庫存")</f>
        <v>p2/庫存</v>
      </c>
      <c r="F1381" s="1">
        <f ca="1">IFERROR(__xludf.DUMMYFUNCTION("""COMPUTED_VALUE"""),-1)</f>
        <v>-1</v>
      </c>
      <c r="G1381" s="1"/>
      <c r="H1381" s="1" t="str">
        <f ca="1">IFERROR(__xludf.DUMMYFUNCTION("""COMPUTED_VALUE"""),"P2")</f>
        <v>P2</v>
      </c>
      <c r="I1381" s="1" t="str">
        <f ca="1">IFERROR(__xludf.DUMMYFUNCTION("""COMPUTED_VALUE"""),"Simon")</f>
        <v>Simon</v>
      </c>
    </row>
    <row r="1382" spans="1:9" ht="12.7" x14ac:dyDescent="0.4">
      <c r="A1382" s="2">
        <f ca="1">IFERROR(__xludf.DUMMYFUNCTION("""COMPUTED_VALUE"""),45899.3833629976)</f>
        <v>45899.3833629976</v>
      </c>
      <c r="B1382" s="1" t="str">
        <f ca="1">IFERROR(__xludf.DUMMYFUNCTION("""COMPUTED_VALUE"""),"庫存調整")</f>
        <v>庫存調整</v>
      </c>
      <c r="C1382" s="1" t="str">
        <f ca="1">IFERROR(__xludf.DUMMYFUNCTION("""COMPUTED_VALUE"""),"MM0260000249")</f>
        <v>MM0260000249</v>
      </c>
      <c r="D1382" s="1" t="str">
        <f ca="1">IFERROR(__xludf.DUMMYFUNCTION("""COMPUTED_VALUE"""),"All/共用")</f>
        <v>All/共用</v>
      </c>
      <c r="E1382" s="1" t="str">
        <f ca="1">IFERROR(__xludf.DUMMYFUNCTION("""COMPUTED_VALUE"""),"p1/庫存")</f>
        <v>p1/庫存</v>
      </c>
      <c r="F1382" s="1">
        <f ca="1">IFERROR(__xludf.DUMMYFUNCTION("""COMPUTED_VALUE"""),1)</f>
        <v>1</v>
      </c>
      <c r="G1382" s="1"/>
      <c r="H1382" s="1" t="str">
        <f ca="1">IFERROR(__xludf.DUMMYFUNCTION("""COMPUTED_VALUE"""),"P1")</f>
        <v>P1</v>
      </c>
      <c r="I1382" s="1" t="str">
        <f ca="1">IFERROR(__xludf.DUMMYFUNCTION("""COMPUTED_VALUE"""),"Chiao Yu")</f>
        <v>Chiao Yu</v>
      </c>
    </row>
    <row r="1383" spans="1:9" ht="12.7" x14ac:dyDescent="0.4">
      <c r="A1383" s="2">
        <f ca="1">IFERROR(__xludf.DUMMYFUNCTION("""COMPUTED_VALUE"""),45899.3843097569)</f>
        <v>45899.384309756897</v>
      </c>
      <c r="B1383" s="1" t="str">
        <f ca="1">IFERROR(__xludf.DUMMYFUNCTION("""COMPUTED_VALUE"""),"庫存調整")</f>
        <v>庫存調整</v>
      </c>
      <c r="C1383" s="1" t="str">
        <f ca="1">IFERROR(__xludf.DUMMYFUNCTION("""COMPUTED_VALUE"""),"ME0020000560")</f>
        <v>ME0020000560</v>
      </c>
      <c r="D1383" s="1" t="str">
        <f ca="1">IFERROR(__xludf.DUMMYFUNCTION("""COMPUTED_VALUE"""),"All/共用")</f>
        <v>All/共用</v>
      </c>
      <c r="E1383" s="1" t="str">
        <f ca="1">IFERROR(__xludf.DUMMYFUNCTION("""COMPUTED_VALUE"""),"p2/庫存")</f>
        <v>p2/庫存</v>
      </c>
      <c r="F1383" s="1">
        <f ca="1">IFERROR(__xludf.DUMMYFUNCTION("""COMPUTED_VALUE"""),1)</f>
        <v>1</v>
      </c>
      <c r="G1383" s="1"/>
      <c r="H1383" s="1" t="str">
        <f ca="1">IFERROR(__xludf.DUMMYFUNCTION("""COMPUTED_VALUE"""),"P2")</f>
        <v>P2</v>
      </c>
      <c r="I1383" s="1" t="str">
        <f ca="1">IFERROR(__xludf.DUMMYFUNCTION("""COMPUTED_VALUE"""),"Simon")</f>
        <v>Simon</v>
      </c>
    </row>
    <row r="1384" spans="1:9" ht="12.7" x14ac:dyDescent="0.4">
      <c r="A1384" s="2">
        <f ca="1">IFERROR(__xludf.DUMMYFUNCTION("""COMPUTED_VALUE"""),45899.3878700925)</f>
        <v>45899.387870092498</v>
      </c>
      <c r="B1384" s="1" t="str">
        <f ca="1">IFERROR(__xludf.DUMMYFUNCTION("""COMPUTED_VALUE"""),"庫存調整")</f>
        <v>庫存調整</v>
      </c>
      <c r="C1384" s="1" t="str">
        <f ca="1">IFERROR(__xludf.DUMMYFUNCTION("""COMPUTED_VALUE"""),"ME0020000592")</f>
        <v>ME0020000592</v>
      </c>
      <c r="D1384" s="1" t="str">
        <f ca="1">IFERROR(__xludf.DUMMYFUNCTION("""COMPUTED_VALUE"""),"All/共用")</f>
        <v>All/共用</v>
      </c>
      <c r="E1384" s="1" t="str">
        <f ca="1">IFERROR(__xludf.DUMMYFUNCTION("""COMPUTED_VALUE"""),"p2/庫存")</f>
        <v>p2/庫存</v>
      </c>
      <c r="F1384" s="1">
        <f ca="1">IFERROR(__xludf.DUMMYFUNCTION("""COMPUTED_VALUE"""),-1)</f>
        <v>-1</v>
      </c>
      <c r="G1384" s="1"/>
      <c r="H1384" s="1" t="str">
        <f ca="1">IFERROR(__xludf.DUMMYFUNCTION("""COMPUTED_VALUE"""),"P2")</f>
        <v>P2</v>
      </c>
      <c r="I1384" s="1" t="str">
        <f ca="1">IFERROR(__xludf.DUMMYFUNCTION("""COMPUTED_VALUE"""),"Simon")</f>
        <v>Simon</v>
      </c>
    </row>
    <row r="1385" spans="1:9" ht="12.7" x14ac:dyDescent="0.4">
      <c r="A1385" s="2">
        <f ca="1">IFERROR(__xludf.DUMMYFUNCTION("""COMPUTED_VALUE"""),45899.3889547569)</f>
        <v>45899.388954756898</v>
      </c>
      <c r="B1385" s="1" t="str">
        <f ca="1">IFERROR(__xludf.DUMMYFUNCTION("""COMPUTED_VALUE"""),"庫存調整")</f>
        <v>庫存調整</v>
      </c>
      <c r="C1385" s="1" t="str">
        <f ca="1">IFERROR(__xludf.DUMMYFUNCTION("""COMPUTED_VALUE"""),"ME0100000084")</f>
        <v>ME0100000084</v>
      </c>
      <c r="D1385" s="1" t="str">
        <f ca="1">IFERROR(__xludf.DUMMYFUNCTION("""COMPUTED_VALUE"""),"All/COLOR")</f>
        <v>All/COLOR</v>
      </c>
      <c r="E1385" s="1" t="str">
        <f ca="1">IFERROR(__xludf.DUMMYFUNCTION("""COMPUTED_VALUE"""),"p2/庫存")</f>
        <v>p2/庫存</v>
      </c>
      <c r="F1385" s="1">
        <f ca="1">IFERROR(__xludf.DUMMYFUNCTION("""COMPUTED_VALUE"""),-1)</f>
        <v>-1</v>
      </c>
      <c r="G1385" s="1"/>
      <c r="H1385" s="1" t="str">
        <f ca="1">IFERROR(__xludf.DUMMYFUNCTION("""COMPUTED_VALUE"""),"P2")</f>
        <v>P2</v>
      </c>
      <c r="I1385" s="1" t="str">
        <f ca="1">IFERROR(__xludf.DUMMYFUNCTION("""COMPUTED_VALUE"""),"Simon")</f>
        <v>Simon</v>
      </c>
    </row>
    <row r="1386" spans="1:9" ht="12.7" x14ac:dyDescent="0.4">
      <c r="A1386" s="2">
        <f ca="1">IFERROR(__xludf.DUMMYFUNCTION("""COMPUTED_VALUE"""),45899.3898399074)</f>
        <v>45899.389839907402</v>
      </c>
      <c r="B1386" s="1" t="str">
        <f ca="1">IFERROR(__xludf.DUMMYFUNCTION("""COMPUTED_VALUE"""),"庫存調整")</f>
        <v>庫存調整</v>
      </c>
      <c r="C1386" s="1" t="str">
        <f ca="1">IFERROR(__xludf.DUMMYFUNCTION("""COMPUTED_VALUE"""),"ME0270001045")</f>
        <v>ME0270001045</v>
      </c>
      <c r="D1386" s="1" t="str">
        <f ca="1">IFERROR(__xludf.DUMMYFUNCTION("""COMPUTED_VALUE"""),"All/共用")</f>
        <v>All/共用</v>
      </c>
      <c r="E1386" s="1" t="str">
        <f ca="1">IFERROR(__xludf.DUMMYFUNCTION("""COMPUTED_VALUE"""),"p2/庫存")</f>
        <v>p2/庫存</v>
      </c>
      <c r="F1386" s="1">
        <f ca="1">IFERROR(__xludf.DUMMYFUNCTION("""COMPUTED_VALUE"""),-1)</f>
        <v>-1</v>
      </c>
      <c r="G1386" s="1"/>
      <c r="H1386" s="1" t="str">
        <f ca="1">IFERROR(__xludf.DUMMYFUNCTION("""COMPUTED_VALUE"""),"P2")</f>
        <v>P2</v>
      </c>
      <c r="I1386" s="1" t="str">
        <f ca="1">IFERROR(__xludf.DUMMYFUNCTION("""COMPUTED_VALUE"""),"Simon")</f>
        <v>Simon</v>
      </c>
    </row>
    <row r="1387" spans="1:9" ht="12.7" x14ac:dyDescent="0.4">
      <c r="A1387" s="2">
        <f ca="1">IFERROR(__xludf.DUMMYFUNCTION("""COMPUTED_VALUE"""),45899.3906743287)</f>
        <v>45899.390674328701</v>
      </c>
      <c r="B1387" s="1" t="str">
        <f ca="1">IFERROR(__xludf.DUMMYFUNCTION("""COMPUTED_VALUE"""),"庫存調整")</f>
        <v>庫存調整</v>
      </c>
      <c r="C1387" s="1" t="str">
        <f ca="1">IFERROR(__xludf.DUMMYFUNCTION("""COMPUTED_VALUE"""),"MM0010000125")</f>
        <v>MM0010000125</v>
      </c>
      <c r="D1387" s="1" t="str">
        <f ca="1">IFERROR(__xludf.DUMMYFUNCTION("""COMPUTED_VALUE"""),"All/RL")</f>
        <v>All/RL</v>
      </c>
      <c r="E1387" s="1" t="str">
        <f ca="1">IFERROR(__xludf.DUMMYFUNCTION("""COMPUTED_VALUE"""),"p2/庫存")</f>
        <v>p2/庫存</v>
      </c>
      <c r="F1387" s="1">
        <f ca="1">IFERROR(__xludf.DUMMYFUNCTION("""COMPUTED_VALUE"""),-1)</f>
        <v>-1</v>
      </c>
      <c r="G1387" s="1"/>
      <c r="H1387" s="1" t="str">
        <f ca="1">IFERROR(__xludf.DUMMYFUNCTION("""COMPUTED_VALUE"""),"P2")</f>
        <v>P2</v>
      </c>
      <c r="I1387" s="1" t="str">
        <f ca="1">IFERROR(__xludf.DUMMYFUNCTION("""COMPUTED_VALUE"""),"Simon")</f>
        <v>Simon</v>
      </c>
    </row>
    <row r="1388" spans="1:9" ht="12.7" x14ac:dyDescent="0.4">
      <c r="A1388" s="2">
        <f ca="1">IFERROR(__xludf.DUMMYFUNCTION("""COMPUTED_VALUE"""),45899.3917907986)</f>
        <v>45899.391790798603</v>
      </c>
      <c r="B1388" s="1" t="str">
        <f ca="1">IFERROR(__xludf.DUMMYFUNCTION("""COMPUTED_VALUE"""),"庫存調整")</f>
        <v>庫存調整</v>
      </c>
      <c r="C1388" s="1" t="str">
        <f ca="1">IFERROR(__xludf.DUMMYFUNCTION("""COMPUTED_VALUE"""),"MM0220000042")</f>
        <v>MM0220000042</v>
      </c>
      <c r="D1388" s="1" t="str">
        <f ca="1">IFERROR(__xludf.DUMMYFUNCTION("""COMPUTED_VALUE"""),"All/共用")</f>
        <v>All/共用</v>
      </c>
      <c r="E1388" s="1" t="str">
        <f ca="1">IFERROR(__xludf.DUMMYFUNCTION("""COMPUTED_VALUE"""),"p2/庫存")</f>
        <v>p2/庫存</v>
      </c>
      <c r="F1388" s="1">
        <f ca="1">IFERROR(__xludf.DUMMYFUNCTION("""COMPUTED_VALUE"""),124)</f>
        <v>124</v>
      </c>
      <c r="G1388" s="1"/>
      <c r="H1388" s="1" t="str">
        <f ca="1">IFERROR(__xludf.DUMMYFUNCTION("""COMPUTED_VALUE"""),"P2")</f>
        <v>P2</v>
      </c>
      <c r="I1388" s="1" t="str">
        <f ca="1">IFERROR(__xludf.DUMMYFUNCTION("""COMPUTED_VALUE"""),"Simon")</f>
        <v>Simon</v>
      </c>
    </row>
    <row r="1389" spans="1:9" ht="12.7" x14ac:dyDescent="0.4">
      <c r="A1389" s="2">
        <f ca="1">IFERROR(__xludf.DUMMYFUNCTION("""COMPUTED_VALUE"""),45899.392820868)</f>
        <v>45899.392820868001</v>
      </c>
      <c r="B1389" s="1" t="str">
        <f ca="1">IFERROR(__xludf.DUMMYFUNCTION("""COMPUTED_VALUE"""),"庫存調整")</f>
        <v>庫存調整</v>
      </c>
      <c r="C1389" s="1" t="str">
        <f ca="1">IFERROR(__xludf.DUMMYFUNCTION("""COMPUTED_VALUE"""),"MM0260000249")</f>
        <v>MM0260000249</v>
      </c>
      <c r="D1389" s="1" t="str">
        <f ca="1">IFERROR(__xludf.DUMMYFUNCTION("""COMPUTED_VALUE"""),"All/RL")</f>
        <v>All/RL</v>
      </c>
      <c r="E1389" s="1" t="str">
        <f ca="1">IFERROR(__xludf.DUMMYFUNCTION("""COMPUTED_VALUE"""),"p2/庫存")</f>
        <v>p2/庫存</v>
      </c>
      <c r="F1389" s="1">
        <f ca="1">IFERROR(__xludf.DUMMYFUNCTION("""COMPUTED_VALUE"""),-1)</f>
        <v>-1</v>
      </c>
      <c r="G1389" s="1"/>
      <c r="H1389" s="1" t="str">
        <f ca="1">IFERROR(__xludf.DUMMYFUNCTION("""COMPUTED_VALUE"""),"P2")</f>
        <v>P2</v>
      </c>
      <c r="I1389" s="1" t="str">
        <f ca="1">IFERROR(__xludf.DUMMYFUNCTION("""COMPUTED_VALUE"""),"Simon")</f>
        <v>Simon</v>
      </c>
    </row>
    <row r="1390" spans="1:9" ht="12.7" x14ac:dyDescent="0.4">
      <c r="A1390" s="2">
        <f ca="1">IFERROR(__xludf.DUMMYFUNCTION("""COMPUTED_VALUE"""),45901.2864856828)</f>
        <v>45901.286485682802</v>
      </c>
      <c r="B1390" s="1" t="str">
        <f ca="1">IFERROR(__xludf.DUMMYFUNCTION("""COMPUTED_VALUE"""),"送修")</f>
        <v>送修</v>
      </c>
      <c r="C1390" s="1" t="str">
        <f ca="1">IFERROR(__xludf.DUMMYFUNCTION("""COMPUTED_VALUE"""),"A00100000731")</f>
        <v>A00100000731</v>
      </c>
      <c r="D1390" s="1" t="str">
        <f ca="1">IFERROR(__xludf.DUMMYFUNCTION("""COMPUTED_VALUE"""),"All/BA")</f>
        <v>All/BA</v>
      </c>
      <c r="E1390" s="1" t="str">
        <f ca="1">IFERROR(__xludf.DUMMYFUNCTION("""COMPUTED_VALUE"""),"p1/庫存")</f>
        <v>p1/庫存</v>
      </c>
      <c r="F1390" s="1">
        <f ca="1">IFERROR(__xludf.DUMMYFUNCTION("""COMPUTED_VALUE"""),1)</f>
        <v>1</v>
      </c>
      <c r="G1390" s="1" t="str">
        <f ca="1">IFERROR(__xludf.DUMMYFUNCTION("""COMPUTED_VALUE"""),"04F387")</f>
        <v>04F387</v>
      </c>
      <c r="H1390" s="1" t="str">
        <f ca="1">IFERROR(__xludf.DUMMYFUNCTION("""COMPUTED_VALUE"""),"P3_029")</f>
        <v>P3_029</v>
      </c>
      <c r="I1390" s="1" t="str">
        <f ca="1">IFERROR(__xludf.DUMMYFUNCTION("""COMPUTED_VALUE"""),"Nick")</f>
        <v>Nick</v>
      </c>
    </row>
    <row r="1391" spans="1:9" ht="12.7" x14ac:dyDescent="0.4">
      <c r="A1391" s="2">
        <f ca="1">IFERROR(__xludf.DUMMYFUNCTION("""COMPUTED_VALUE"""),45901.2877275)</f>
        <v>45901.287727499999</v>
      </c>
      <c r="B1391" s="1" t="str">
        <f ca="1">IFERROR(__xludf.DUMMYFUNCTION("""COMPUTED_VALUE"""),"料件上線時間")</f>
        <v>料件上線時間</v>
      </c>
      <c r="C1391" s="1" t="str">
        <f ca="1">IFERROR(__xludf.DUMMYFUNCTION("""COMPUTED_VALUE"""),"A00100000731")</f>
        <v>A00100000731</v>
      </c>
      <c r="D1391" s="1" t="str">
        <f ca="1">IFERROR(__xludf.DUMMYFUNCTION("""COMPUTED_VALUE"""),"All/BA")</f>
        <v>All/BA</v>
      </c>
      <c r="E1391" s="1" t="str">
        <f ca="1">IFERROR(__xludf.DUMMYFUNCTION("""COMPUTED_VALUE"""),"p1/庫存")</f>
        <v>p1/庫存</v>
      </c>
      <c r="F1391" s="1">
        <f ca="1">IFERROR(__xludf.DUMMYFUNCTION("""COMPUTED_VALUE"""),1)</f>
        <v>1</v>
      </c>
      <c r="G1391" s="1" t="str">
        <f ca="1">IFERROR(__xludf.DUMMYFUNCTION("""COMPUTED_VALUE"""),"06F340")</f>
        <v>06F340</v>
      </c>
      <c r="H1391" s="1" t="str">
        <f ca="1">IFERROR(__xludf.DUMMYFUNCTION("""COMPUTED_VALUE"""),"P3_029")</f>
        <v>P3_029</v>
      </c>
      <c r="I1391" s="1" t="str">
        <f ca="1">IFERROR(__xludf.DUMMYFUNCTION("""COMPUTED_VALUE"""),"Nick")</f>
        <v>Nick</v>
      </c>
    </row>
    <row r="1392" spans="1:9" ht="12.7" x14ac:dyDescent="0.4">
      <c r="A1392" s="2">
        <f ca="1">IFERROR(__xludf.DUMMYFUNCTION("""COMPUTED_VALUE"""),45902.4187902083)</f>
        <v>45902.418790208299</v>
      </c>
      <c r="B1392" s="1" t="str">
        <f ca="1">IFERROR(__xludf.DUMMYFUNCTION("""COMPUTED_VALUE"""),"領料")</f>
        <v>領料</v>
      </c>
      <c r="C1392" s="1" t="str">
        <f ca="1">IFERROR(__xludf.DUMMYFUNCTION("""COMPUTED_VALUE"""),"MM0260000157")</f>
        <v>MM0260000157</v>
      </c>
      <c r="D1392" s="1" t="str">
        <f ca="1">IFERROR(__xludf.DUMMYFUNCTION("""COMPUTED_VALUE"""),"All/BA")</f>
        <v>All/BA</v>
      </c>
      <c r="E1392" s="1" t="str">
        <f ca="1">IFERROR(__xludf.DUMMYFUNCTION("""COMPUTED_VALUE"""),"p2/庫存")</f>
        <v>p2/庫存</v>
      </c>
      <c r="F1392" s="1">
        <f ca="1">IFERROR(__xludf.DUMMYFUNCTION("""COMPUTED_VALUE"""),2)</f>
        <v>2</v>
      </c>
      <c r="G1392" s="1"/>
      <c r="H1392" s="1" t="str">
        <f ca="1">IFERROR(__xludf.DUMMYFUNCTION("""COMPUTED_VALUE"""),"P2_050")</f>
        <v>P2_050</v>
      </c>
      <c r="I1392" s="1" t="str">
        <f ca="1">IFERROR(__xludf.DUMMYFUNCTION("""COMPUTED_VALUE"""),"Chiao Yu")</f>
        <v>Chiao Yu</v>
      </c>
    </row>
    <row r="1393" spans="1:9" ht="12.7" x14ac:dyDescent="0.4">
      <c r="A1393" s="2">
        <f ca="1">IFERROR(__xludf.DUMMYFUNCTION("""COMPUTED_VALUE"""),45902.6736664236)</f>
        <v>45902.673666423601</v>
      </c>
      <c r="B1393" s="1" t="str">
        <f ca="1">IFERROR(__xludf.DUMMYFUNCTION("""COMPUTED_VALUE"""),"領料")</f>
        <v>領料</v>
      </c>
      <c r="C1393" s="1" t="str">
        <f ca="1">IFERROR(__xludf.DUMMYFUNCTION("""COMPUTED_VALUE"""),"MM0260000157")</f>
        <v>MM0260000157</v>
      </c>
      <c r="D1393" s="1" t="str">
        <f ca="1">IFERROR(__xludf.DUMMYFUNCTION("""COMPUTED_VALUE"""),"All/BA")</f>
        <v>All/BA</v>
      </c>
      <c r="E1393" s="1" t="str">
        <f ca="1">IFERROR(__xludf.DUMMYFUNCTION("""COMPUTED_VALUE"""),"p2/庫存")</f>
        <v>p2/庫存</v>
      </c>
      <c r="F1393" s="1">
        <f ca="1">IFERROR(__xludf.DUMMYFUNCTION("""COMPUTED_VALUE"""),2)</f>
        <v>2</v>
      </c>
      <c r="G1393" s="1"/>
      <c r="H1393" s="1" t="str">
        <f ca="1">IFERROR(__xludf.DUMMYFUNCTION("""COMPUTED_VALUE"""),"P2_033")</f>
        <v>P2_033</v>
      </c>
      <c r="I1393" s="1" t="str">
        <f ca="1">IFERROR(__xludf.DUMMYFUNCTION("""COMPUTED_VALUE"""),"Simon")</f>
        <v>Simon</v>
      </c>
    </row>
    <row r="1394" spans="1:9" ht="12.7" x14ac:dyDescent="0.4">
      <c r="A1394" s="2">
        <f ca="1">IFERROR(__xludf.DUMMYFUNCTION("""COMPUTED_VALUE"""),45903.6472874768)</f>
        <v>45903.647287476801</v>
      </c>
      <c r="B1394" s="1" t="str">
        <f ca="1">IFERROR(__xludf.DUMMYFUNCTION("""COMPUTED_VALUE"""),"送修")</f>
        <v>送修</v>
      </c>
      <c r="C1394" s="1" t="str">
        <f ca="1">IFERROR(__xludf.DUMMYFUNCTION("""COMPUTED_VALUE"""),"ME0070000140")</f>
        <v>ME0070000140</v>
      </c>
      <c r="D1394" s="1" t="str">
        <f ca="1">IFERROR(__xludf.DUMMYFUNCTION("""COMPUTED_VALUE"""),"All/BA")</f>
        <v>All/BA</v>
      </c>
      <c r="E1394" s="1" t="str">
        <f ca="1">IFERROR(__xludf.DUMMYFUNCTION("""COMPUTED_VALUE"""),"p2/庫存")</f>
        <v>p2/庫存</v>
      </c>
      <c r="F1394" s="1">
        <f ca="1">IFERROR(__xludf.DUMMYFUNCTION("""COMPUTED_VALUE"""),1)</f>
        <v>1</v>
      </c>
      <c r="G1394" s="1" t="str">
        <f ca="1">IFERROR(__xludf.DUMMYFUNCTION("""COMPUTED_VALUE"""),"100A-2522C0098-2208")</f>
        <v>100A-2522C0098-2208</v>
      </c>
      <c r="H1394" s="1" t="str">
        <f ca="1">IFERROR(__xludf.DUMMYFUNCTION("""COMPUTED_VALUE"""),"P2_052")</f>
        <v>P2_052</v>
      </c>
      <c r="I1394" s="1" t="str">
        <f ca="1">IFERROR(__xludf.DUMMYFUNCTION("""COMPUTED_VALUE"""),"Chiao Yu")</f>
        <v>Chiao Yu</v>
      </c>
    </row>
    <row r="1395" spans="1:9" ht="12.7" x14ac:dyDescent="0.4">
      <c r="A1395" s="2">
        <f ca="1">IFERROR(__xludf.DUMMYFUNCTION("""COMPUTED_VALUE"""),45903.6483264004)</f>
        <v>45903.648326400398</v>
      </c>
      <c r="B1395" s="1" t="str">
        <f ca="1">IFERROR(__xludf.DUMMYFUNCTION("""COMPUTED_VALUE"""),"料件上線時間")</f>
        <v>料件上線時間</v>
      </c>
      <c r="C1395" s="1" t="str">
        <f ca="1">IFERROR(__xludf.DUMMYFUNCTION("""COMPUTED_VALUE"""),"ME0070000140")</f>
        <v>ME0070000140</v>
      </c>
      <c r="D1395" s="1" t="str">
        <f ca="1">IFERROR(__xludf.DUMMYFUNCTION("""COMPUTED_VALUE"""),"All/BA")</f>
        <v>All/BA</v>
      </c>
      <c r="E1395" s="1" t="str">
        <f ca="1">IFERROR(__xludf.DUMMYFUNCTION("""COMPUTED_VALUE"""),"p2/庫存")</f>
        <v>p2/庫存</v>
      </c>
      <c r="F1395" s="1">
        <f ca="1">IFERROR(__xludf.DUMMYFUNCTION("""COMPUTED_VALUE"""),1)</f>
        <v>1</v>
      </c>
      <c r="G1395" s="1" t="str">
        <f ca="1">IFERROR(__xludf.DUMMYFUNCTION("""COMPUTED_VALUE"""),"100A-2523D0022-2307")</f>
        <v>100A-2523D0022-2307</v>
      </c>
      <c r="H1395" s="1" t="str">
        <f ca="1">IFERROR(__xludf.DUMMYFUNCTION("""COMPUTED_VALUE"""),"P2_052")</f>
        <v>P2_052</v>
      </c>
      <c r="I1395" s="1" t="str">
        <f ca="1">IFERROR(__xludf.DUMMYFUNCTION("""COMPUTED_VALUE"""),"Chiao Yu")</f>
        <v>Chiao Yu</v>
      </c>
    </row>
    <row r="1396" spans="1:9" ht="12.7" x14ac:dyDescent="0.4">
      <c r="A1396" s="2">
        <f ca="1">IFERROR(__xludf.DUMMYFUNCTION("""COMPUTED_VALUE"""),45904.4457407175)</f>
        <v>45904.4457407175</v>
      </c>
      <c r="B1396" s="1" t="str">
        <f ca="1">IFERROR(__xludf.DUMMYFUNCTION("""COMPUTED_VALUE"""),"領料")</f>
        <v>領料</v>
      </c>
      <c r="C1396" s="1" t="str">
        <f ca="1">IFERROR(__xludf.DUMMYFUNCTION("""COMPUTED_VALUE"""),"MM0090000279")</f>
        <v>MM0090000279</v>
      </c>
      <c r="D1396" s="1" t="str">
        <f ca="1">IFERROR(__xludf.DUMMYFUNCTION("""COMPUTED_VALUE"""),"All/BA")</f>
        <v>All/BA</v>
      </c>
      <c r="E1396" s="1" t="str">
        <f ca="1">IFERROR(__xludf.DUMMYFUNCTION("""COMPUTED_VALUE"""),"p2/庫存")</f>
        <v>p2/庫存</v>
      </c>
      <c r="F1396" s="1">
        <f ca="1">IFERROR(__xludf.DUMMYFUNCTION("""COMPUTED_VALUE"""),368)</f>
        <v>368</v>
      </c>
      <c r="G1396" s="1"/>
      <c r="H1396" s="1" t="str">
        <f ca="1">IFERROR(__xludf.DUMMYFUNCTION("""COMPUTED_VALUE"""),"P2")</f>
        <v>P2</v>
      </c>
      <c r="I1396" s="1" t="str">
        <f ca="1">IFERROR(__xludf.DUMMYFUNCTION("""COMPUTED_VALUE"""),"Simon")</f>
        <v>Simon</v>
      </c>
    </row>
    <row r="1397" spans="1:9" ht="12.7" x14ac:dyDescent="0.4">
      <c r="A1397" s="2">
        <f ca="1">IFERROR(__xludf.DUMMYFUNCTION("""COMPUTED_VALUE"""),45904.4470713888)</f>
        <v>45904.4470713888</v>
      </c>
      <c r="B1397" s="1" t="str">
        <f ca="1">IFERROR(__xludf.DUMMYFUNCTION("""COMPUTED_VALUE"""),"領料")</f>
        <v>領料</v>
      </c>
      <c r="C1397" s="1" t="str">
        <f ca="1">IFERROR(__xludf.DUMMYFUNCTION("""COMPUTED_VALUE"""),"MM0090000279")</f>
        <v>MM0090000279</v>
      </c>
      <c r="D1397" s="1" t="str">
        <f ca="1">IFERROR(__xludf.DUMMYFUNCTION("""COMPUTED_VALUE"""),"All/BA")</f>
        <v>All/BA</v>
      </c>
      <c r="E1397" s="1" t="str">
        <f ca="1">IFERROR(__xludf.DUMMYFUNCTION("""COMPUTED_VALUE"""),"p1/庫存")</f>
        <v>p1/庫存</v>
      </c>
      <c r="F1397" s="1">
        <f ca="1">IFERROR(__xludf.DUMMYFUNCTION("""COMPUTED_VALUE"""),160)</f>
        <v>160</v>
      </c>
      <c r="G1397" s="1"/>
      <c r="H1397" s="1" t="str">
        <f ca="1">IFERROR(__xludf.DUMMYFUNCTION("""COMPUTED_VALUE"""),"P3")</f>
        <v>P3</v>
      </c>
      <c r="I1397" s="1" t="str">
        <f ca="1">IFERROR(__xludf.DUMMYFUNCTION("""COMPUTED_VALUE"""),"Simon")</f>
        <v>Simon</v>
      </c>
    </row>
    <row r="1398" spans="1:9" ht="12.7" x14ac:dyDescent="0.4">
      <c r="A1398" s="2">
        <f ca="1">IFERROR(__xludf.DUMMYFUNCTION("""COMPUTED_VALUE"""),45905.400526574)</f>
        <v>45905.400526573998</v>
      </c>
      <c r="B1398" s="1" t="str">
        <f ca="1">IFERROR(__xludf.DUMMYFUNCTION("""COMPUTED_VALUE"""),"領料")</f>
        <v>領料</v>
      </c>
      <c r="C1398" s="1" t="str">
        <f ca="1">IFERROR(__xludf.DUMMYFUNCTION("""COMPUTED_VALUE"""),"MM0220000040")</f>
        <v>MM0220000040</v>
      </c>
      <c r="D1398" s="1" t="str">
        <f ca="1">IFERROR(__xludf.DUMMYFUNCTION("""COMPUTED_VALUE"""),"All/共用")</f>
        <v>All/共用</v>
      </c>
      <c r="E1398" s="1" t="str">
        <f ca="1">IFERROR(__xludf.DUMMYFUNCTION("""COMPUTED_VALUE"""),"p2/庫存")</f>
        <v>p2/庫存</v>
      </c>
      <c r="F1398" s="1">
        <f ca="1">IFERROR(__xludf.DUMMYFUNCTION("""COMPUTED_VALUE"""),2)</f>
        <v>2</v>
      </c>
      <c r="G1398" s="1"/>
      <c r="H1398" s="1" t="str">
        <f ca="1">IFERROR(__xludf.DUMMYFUNCTION("""COMPUTED_VALUE"""),"P2")</f>
        <v>P2</v>
      </c>
      <c r="I1398" s="1" t="str">
        <f ca="1">IFERROR(__xludf.DUMMYFUNCTION("""COMPUTED_VALUE"""),"Simon")</f>
        <v>Simon</v>
      </c>
    </row>
    <row r="1399" spans="1:9" ht="12.7" x14ac:dyDescent="0.4">
      <c r="A1399" s="2">
        <f ca="1">IFERROR(__xludf.DUMMYFUNCTION("""COMPUTED_VALUE"""),45908.418076493)</f>
        <v>45908.418076492999</v>
      </c>
      <c r="B1399" s="1" t="str">
        <f ca="1">IFERROR(__xludf.DUMMYFUNCTION("""COMPUTED_VALUE"""),"送修")</f>
        <v>送修</v>
      </c>
      <c r="C1399" s="1" t="str">
        <f ca="1">IFERROR(__xludf.DUMMYFUNCTION("""COMPUTED_VALUE"""),"ME0020000637")</f>
        <v>ME0020000637</v>
      </c>
      <c r="D1399" s="1" t="str">
        <f ca="1">IFERROR(__xludf.DUMMYFUNCTION("""COMPUTED_VALUE"""),"All/共用")</f>
        <v>All/共用</v>
      </c>
      <c r="E1399" s="1" t="str">
        <f ca="1">IFERROR(__xludf.DUMMYFUNCTION("""COMPUTED_VALUE"""),"p1/庫存")</f>
        <v>p1/庫存</v>
      </c>
      <c r="F1399" s="1">
        <f ca="1">IFERROR(__xludf.DUMMYFUNCTION("""COMPUTED_VALUE"""),1)</f>
        <v>1</v>
      </c>
      <c r="G1399" s="1" t="str">
        <f ca="1">IFERROR(__xludf.DUMMYFUNCTION("""COMPUTED_VALUE"""),"42W0A06QFEHE")</f>
        <v>42W0A06QFEHE</v>
      </c>
      <c r="H1399" s="1" t="str">
        <f ca="1">IFERROR(__xludf.DUMMYFUNCTION("""COMPUTED_VALUE"""),"P1")</f>
        <v>P1</v>
      </c>
      <c r="I1399" s="1" t="str">
        <f ca="1">IFERROR(__xludf.DUMMYFUNCTION("""COMPUTED_VALUE"""),"Chiao Yu")</f>
        <v>Chiao Yu</v>
      </c>
    </row>
    <row r="1400" spans="1:9" ht="12.7" x14ac:dyDescent="0.4">
      <c r="A1400" s="2">
        <f ca="1">IFERROR(__xludf.DUMMYFUNCTION("""COMPUTED_VALUE"""),45908.4204531365)</f>
        <v>45908.420453136503</v>
      </c>
      <c r="B1400" s="1" t="str">
        <f ca="1">IFERROR(__xludf.DUMMYFUNCTION("""COMPUTED_VALUE"""),"料件上線時間")</f>
        <v>料件上線時間</v>
      </c>
      <c r="C1400" s="1" t="str">
        <f ca="1">IFERROR(__xludf.DUMMYFUNCTION("""COMPUTED_VALUE"""),"ME0020000637")</f>
        <v>ME0020000637</v>
      </c>
      <c r="D1400" s="1" t="str">
        <f ca="1">IFERROR(__xludf.DUMMYFUNCTION("""COMPUTED_VALUE"""),"All/共用")</f>
        <v>All/共用</v>
      </c>
      <c r="E1400" s="1" t="str">
        <f ca="1">IFERROR(__xludf.DUMMYFUNCTION("""COMPUTED_VALUE"""),"p1/庫存")</f>
        <v>p1/庫存</v>
      </c>
      <c r="F1400" s="1">
        <f ca="1">IFERROR(__xludf.DUMMYFUNCTION("""COMPUTED_VALUE"""),1)</f>
        <v>1</v>
      </c>
      <c r="G1400" s="1" t="str">
        <f ca="1">IFERROR(__xludf.DUMMYFUNCTION("""COMPUTED_VALUE"""),"42W0A05VFEHE")</f>
        <v>42W0A05VFEHE</v>
      </c>
      <c r="H1400" s="1" t="str">
        <f ca="1">IFERROR(__xludf.DUMMYFUNCTION("""COMPUTED_VALUE"""),"P1")</f>
        <v>P1</v>
      </c>
      <c r="I1400" s="1" t="str">
        <f ca="1">IFERROR(__xludf.DUMMYFUNCTION("""COMPUTED_VALUE"""),"Chiao Yu")</f>
        <v>Chiao Yu</v>
      </c>
    </row>
    <row r="1401" spans="1:9" ht="12.7" x14ac:dyDescent="0.4">
      <c r="A1401" s="2">
        <f ca="1">IFERROR(__xludf.DUMMYFUNCTION("""COMPUTED_VALUE"""),45909.8111727777)</f>
        <v>45909.8111727777</v>
      </c>
      <c r="B1401" s="1" t="str">
        <f ca="1">IFERROR(__xludf.DUMMYFUNCTION("""COMPUTED_VALUE"""),"料件上線時間")</f>
        <v>料件上線時間</v>
      </c>
      <c r="C1401" s="1" t="str">
        <f ca="1">IFERROR(__xludf.DUMMYFUNCTION("""COMPUTED_VALUE"""),"ME0020000592")</f>
        <v>ME0020000592</v>
      </c>
      <c r="D1401" s="1" t="str">
        <f ca="1">IFERROR(__xludf.DUMMYFUNCTION("""COMPUTED_VALUE"""),"All/共用")</f>
        <v>All/共用</v>
      </c>
      <c r="E1401" s="1" t="str">
        <f ca="1">IFERROR(__xludf.DUMMYFUNCTION("""COMPUTED_VALUE"""),"p1/庫存")</f>
        <v>p1/庫存</v>
      </c>
      <c r="F1401" s="1">
        <f ca="1">IFERROR(__xludf.DUMMYFUNCTION("""COMPUTED_VALUE"""),1)</f>
        <v>1</v>
      </c>
      <c r="G1401" s="1" t="str">
        <f ca="1">IFERROR(__xludf.DUMMYFUNCTION("""COMPUTED_VALUE"""),"R9PTA0K0L4Y ")</f>
        <v xml:space="preserve">R9PTA0K0L4Y </v>
      </c>
      <c r="H1401" s="1" t="str">
        <f ca="1">IFERROR(__xludf.DUMMYFUNCTION("""COMPUTED_VALUE"""),"P2_047")</f>
        <v>P2_047</v>
      </c>
      <c r="I1401" s="1" t="str">
        <f ca="1">IFERROR(__xludf.DUMMYFUNCTION("""COMPUTED_VALUE"""),"Chiao Yu")</f>
        <v>Chiao Yu</v>
      </c>
    </row>
    <row r="1402" spans="1:9" ht="12.7" x14ac:dyDescent="0.4">
      <c r="A1402" s="2">
        <f ca="1">IFERROR(__xludf.DUMMYFUNCTION("""COMPUTED_VALUE"""),45909.8140329745)</f>
        <v>45909.8140329745</v>
      </c>
      <c r="B1402" s="1" t="str">
        <f ca="1">IFERROR(__xludf.DUMMYFUNCTION("""COMPUTED_VALUE"""),"送修")</f>
        <v>送修</v>
      </c>
      <c r="C1402" s="1" t="str">
        <f ca="1">IFERROR(__xludf.DUMMYFUNCTION("""COMPUTED_VALUE"""),"ME0020000592")</f>
        <v>ME0020000592</v>
      </c>
      <c r="D1402" s="1" t="str">
        <f ca="1">IFERROR(__xludf.DUMMYFUNCTION("""COMPUTED_VALUE"""),"All/共用")</f>
        <v>All/共用</v>
      </c>
      <c r="E1402" s="1" t="str">
        <f ca="1">IFERROR(__xludf.DUMMYFUNCTION("""COMPUTED_VALUE"""),"p1/庫存")</f>
        <v>p1/庫存</v>
      </c>
      <c r="F1402" s="1">
        <f ca="1">IFERROR(__xludf.DUMMYFUNCTION("""COMPUTED_VALUE"""),1)</f>
        <v>1</v>
      </c>
      <c r="G1402" s="1" t="str">
        <f ca="1">IFERROR(__xludf.DUMMYFUNCTION("""COMPUTED_VALUE"""),"R9PTA0K0B6M")</f>
        <v>R9PTA0K0B6M</v>
      </c>
      <c r="H1402" s="1" t="str">
        <f ca="1">IFERROR(__xludf.DUMMYFUNCTION("""COMPUTED_VALUE"""),"P2_047")</f>
        <v>P2_047</v>
      </c>
      <c r="I1402" s="1" t="str">
        <f ca="1">IFERROR(__xludf.DUMMYFUNCTION("""COMPUTED_VALUE"""),"Chiao Yu")</f>
        <v>Chiao Yu</v>
      </c>
    </row>
    <row r="1403" spans="1:9" ht="12.7" x14ac:dyDescent="0.4">
      <c r="A1403" s="2">
        <f ca="1">IFERROR(__xludf.DUMMYFUNCTION("""COMPUTED_VALUE"""),45912.1146558101)</f>
        <v>45912.114655810103</v>
      </c>
      <c r="B1403" s="1" t="str">
        <f ca="1">IFERROR(__xludf.DUMMYFUNCTION("""COMPUTED_VALUE"""),"領料")</f>
        <v>領料</v>
      </c>
      <c r="C1403" s="1" t="str">
        <f ca="1">IFERROR(__xludf.DUMMYFUNCTION("""COMPUTED_VALUE"""),"A00700000837")</f>
        <v>A00700000837</v>
      </c>
      <c r="D1403" s="1" t="str">
        <f ca="1">IFERROR(__xludf.DUMMYFUNCTION("""COMPUTED_VALUE"""),"All/COLOR")</f>
        <v>All/COLOR</v>
      </c>
      <c r="E1403" s="1" t="str">
        <f ca="1">IFERROR(__xludf.DUMMYFUNCTION("""COMPUTED_VALUE"""),"p2/庫存")</f>
        <v>p2/庫存</v>
      </c>
      <c r="F1403" s="1">
        <f ca="1">IFERROR(__xludf.DUMMYFUNCTION("""COMPUTED_VALUE"""),3)</f>
        <v>3</v>
      </c>
      <c r="G1403" s="1"/>
      <c r="H1403" s="1" t="str">
        <f ca="1">IFERROR(__xludf.DUMMYFUNCTION("""COMPUTED_VALUE"""),"P2_3003")</f>
        <v>P2_3003</v>
      </c>
      <c r="I1403" s="1" t="str">
        <f ca="1">IFERROR(__xludf.DUMMYFUNCTION("""COMPUTED_VALUE"""),"Jason")</f>
        <v>Jason</v>
      </c>
    </row>
    <row r="1404" spans="1:9" ht="12.7" x14ac:dyDescent="0.4">
      <c r="A1404" s="2">
        <f ca="1">IFERROR(__xludf.DUMMYFUNCTION("""COMPUTED_VALUE"""),45912.271950625)</f>
        <v>45912.271950625</v>
      </c>
      <c r="B1404" s="1" t="str">
        <f ca="1">IFERROR(__xludf.DUMMYFUNCTION("""COMPUTED_VALUE"""),"領料")</f>
        <v>領料</v>
      </c>
      <c r="C1404" s="1" t="str">
        <f ca="1">IFERROR(__xludf.DUMMYFUNCTION("""COMPUTED_VALUE"""),"MM0260000077")</f>
        <v>MM0260000077</v>
      </c>
      <c r="D1404" s="1" t="str">
        <f ca="1">IFERROR(__xludf.DUMMYFUNCTION("""COMPUTED_VALUE"""),"All/BA")</f>
        <v>All/BA</v>
      </c>
      <c r="E1404" s="1" t="str">
        <f ca="1">IFERROR(__xludf.DUMMYFUNCTION("""COMPUTED_VALUE"""),"p1/庫存")</f>
        <v>p1/庫存</v>
      </c>
      <c r="F1404" s="1">
        <f ca="1">IFERROR(__xludf.DUMMYFUNCTION("""COMPUTED_VALUE"""),60)</f>
        <v>60</v>
      </c>
      <c r="G1404" s="1"/>
      <c r="H1404" s="1" t="str">
        <f ca="1">IFERROR(__xludf.DUMMYFUNCTION("""COMPUTED_VALUE"""),"P1_001~P1_030")</f>
        <v>P1_001~P1_030</v>
      </c>
      <c r="I1404" s="1" t="str">
        <f ca="1">IFERROR(__xludf.DUMMYFUNCTION("""COMPUTED_VALUE"""),"Jason")</f>
        <v>Jason</v>
      </c>
    </row>
    <row r="1405" spans="1:9" ht="12.7" x14ac:dyDescent="0.4">
      <c r="A1405" s="2">
        <f ca="1">IFERROR(__xludf.DUMMYFUNCTION("""COMPUTED_VALUE"""),45912.6726045833)</f>
        <v>45912.672604583298</v>
      </c>
      <c r="B1405" s="1" t="str">
        <f ca="1">IFERROR(__xludf.DUMMYFUNCTION("""COMPUTED_VALUE"""),"庫存調整")</f>
        <v>庫存調整</v>
      </c>
      <c r="C1405" s="1" t="str">
        <f ca="1">IFERROR(__xludf.DUMMYFUNCTION("""COMPUTED_VALUE"""),"A00700000837")</f>
        <v>A00700000837</v>
      </c>
      <c r="D1405" s="1" t="str">
        <f ca="1">IFERROR(__xludf.DUMMYFUNCTION("""COMPUTED_VALUE"""),"All/COLOR")</f>
        <v>All/COLOR</v>
      </c>
      <c r="E1405" s="1" t="str">
        <f ca="1">IFERROR(__xludf.DUMMYFUNCTION("""COMPUTED_VALUE"""),"p1/庫存")</f>
        <v>p1/庫存</v>
      </c>
      <c r="F1405" s="1">
        <f ca="1">IFERROR(__xludf.DUMMYFUNCTION("""COMPUTED_VALUE"""),-2)</f>
        <v>-2</v>
      </c>
      <c r="G1405" s="1"/>
      <c r="H1405" s="1" t="str">
        <f ca="1">IFERROR(__xludf.DUMMYFUNCTION("""COMPUTED_VALUE"""),"P1")</f>
        <v>P1</v>
      </c>
      <c r="I1405" s="1" t="str">
        <f ca="1">IFERROR(__xludf.DUMMYFUNCTION("""COMPUTED_VALUE"""),"Chiao Yu")</f>
        <v>Chiao Yu</v>
      </c>
    </row>
    <row r="1406" spans="1:9" ht="12.7" x14ac:dyDescent="0.4">
      <c r="A1406" s="2">
        <f ca="1">IFERROR(__xludf.DUMMYFUNCTION("""COMPUTED_VALUE"""),45912.6729867013)</f>
        <v>45912.672986701298</v>
      </c>
      <c r="B1406" s="1" t="str">
        <f ca="1">IFERROR(__xludf.DUMMYFUNCTION("""COMPUTED_VALUE"""),"庫存調整")</f>
        <v>庫存調整</v>
      </c>
      <c r="C1406" s="1" t="str">
        <f ca="1">IFERROR(__xludf.DUMMYFUNCTION("""COMPUTED_VALUE"""),"A00700000837")</f>
        <v>A00700000837</v>
      </c>
      <c r="D1406" s="1" t="str">
        <f ca="1">IFERROR(__xludf.DUMMYFUNCTION("""COMPUTED_VALUE"""),"All/COLOR")</f>
        <v>All/COLOR</v>
      </c>
      <c r="E1406" s="1" t="str">
        <f ca="1">IFERROR(__xludf.DUMMYFUNCTION("""COMPUTED_VALUE"""),"p2/庫存")</f>
        <v>p2/庫存</v>
      </c>
      <c r="F1406" s="1">
        <f ca="1">IFERROR(__xludf.DUMMYFUNCTION("""COMPUTED_VALUE"""),2)</f>
        <v>2</v>
      </c>
      <c r="G1406" s="1"/>
      <c r="H1406" s="1" t="str">
        <f ca="1">IFERROR(__xludf.DUMMYFUNCTION("""COMPUTED_VALUE"""),"P2")</f>
        <v>P2</v>
      </c>
      <c r="I1406" s="1" t="str">
        <f ca="1">IFERROR(__xludf.DUMMYFUNCTION("""COMPUTED_VALUE"""),"Chiao Yu")</f>
        <v>Chiao Yu</v>
      </c>
    </row>
    <row r="1407" spans="1:9" ht="12.7" x14ac:dyDescent="0.4">
      <c r="A1407" s="2">
        <f ca="1">IFERROR(__xludf.DUMMYFUNCTION("""COMPUTED_VALUE"""),45917.6207703009)</f>
        <v>45917.620770300899</v>
      </c>
      <c r="B1407" s="1" t="str">
        <f ca="1">IFERROR(__xludf.DUMMYFUNCTION("""COMPUTED_VALUE"""),"領料")</f>
        <v>領料</v>
      </c>
      <c r="C1407" s="1" t="str">
        <f ca="1">IFERROR(__xludf.DUMMYFUNCTION("""COMPUTED_VALUE"""),"MM0090000279")</f>
        <v>MM0090000279</v>
      </c>
      <c r="D1407" s="1" t="str">
        <f ca="1">IFERROR(__xludf.DUMMYFUNCTION("""COMPUTED_VALUE"""),"All/BA")</f>
        <v>All/BA</v>
      </c>
      <c r="E1407" s="1" t="str">
        <f ca="1">IFERROR(__xludf.DUMMYFUNCTION("""COMPUTED_VALUE"""),"p1/庫存")</f>
        <v>p1/庫存</v>
      </c>
      <c r="F1407" s="1">
        <f ca="1">IFERROR(__xludf.DUMMYFUNCTION("""COMPUTED_VALUE"""),321)</f>
        <v>321</v>
      </c>
      <c r="G1407" s="1"/>
      <c r="H1407" s="1" t="str">
        <f ca="1">IFERROR(__xludf.DUMMYFUNCTION("""COMPUTED_VALUE"""),"P1_001~020")</f>
        <v>P1_001~020</v>
      </c>
      <c r="I1407" s="1" t="str">
        <f ca="1">IFERROR(__xludf.DUMMYFUNCTION("""COMPUTED_VALUE"""),"Chiao Yu")</f>
        <v>Chiao Yu</v>
      </c>
    </row>
    <row r="1408" spans="1:9" ht="12.7" x14ac:dyDescent="0.4">
      <c r="A1408" s="2">
        <f ca="1">IFERROR(__xludf.DUMMYFUNCTION("""COMPUTED_VALUE"""),45917.6886098032)</f>
        <v>45917.688609803197</v>
      </c>
      <c r="B1408" s="1" t="str">
        <f ca="1">IFERROR(__xludf.DUMMYFUNCTION("""COMPUTED_VALUE"""),"返修")</f>
        <v>返修</v>
      </c>
      <c r="C1408" s="1" t="str">
        <f ca="1">IFERROR(__xludf.DUMMYFUNCTION("""COMPUTED_VALUE"""),"A00100000731")</f>
        <v>A00100000731</v>
      </c>
      <c r="D1408" s="1" t="str">
        <f ca="1">IFERROR(__xludf.DUMMYFUNCTION("""COMPUTED_VALUE"""),"All/BA")</f>
        <v>All/BA</v>
      </c>
      <c r="E1408" s="1" t="str">
        <f ca="1">IFERROR(__xludf.DUMMYFUNCTION("""COMPUTED_VALUE"""),"p1/庫存")</f>
        <v>p1/庫存</v>
      </c>
      <c r="F1408" s="1">
        <f ca="1">IFERROR(__xludf.DUMMYFUNCTION("""COMPUTED_VALUE"""),1)</f>
        <v>1</v>
      </c>
      <c r="G1408" s="1" t="str">
        <f ca="1">IFERROR(__xludf.DUMMYFUNCTION("""COMPUTED_VALUE"""),"04F004")</f>
        <v>04F004</v>
      </c>
      <c r="H1408" s="1" t="str">
        <f ca="1">IFERROR(__xludf.DUMMYFUNCTION("""COMPUTED_VALUE"""),"P1_011")</f>
        <v>P1_011</v>
      </c>
      <c r="I1408" s="1" t="str">
        <f ca="1">IFERROR(__xludf.DUMMYFUNCTION("""COMPUTED_VALUE"""),"Chiao Yu")</f>
        <v>Chiao Yu</v>
      </c>
    </row>
    <row r="1409" spans="1:9" ht="12.7" x14ac:dyDescent="0.4">
      <c r="A1409" s="2">
        <f ca="1">IFERROR(__xludf.DUMMYFUNCTION("""COMPUTED_VALUE"""),45918.2889280092)</f>
        <v>45918.288928009199</v>
      </c>
      <c r="B1409" s="1" t="str">
        <f ca="1">IFERROR(__xludf.DUMMYFUNCTION("""COMPUTED_VALUE"""),"領料")</f>
        <v>領料</v>
      </c>
      <c r="C1409" s="1" t="str">
        <f ca="1">IFERROR(__xludf.DUMMYFUNCTION("""COMPUTED_VALUE"""),"A00700000862")</f>
        <v>A00700000862</v>
      </c>
      <c r="D1409" s="1" t="str">
        <f ca="1">IFERROR(__xludf.DUMMYFUNCTION("""COMPUTED_VALUE"""),"All/SB")</f>
        <v>All/SB</v>
      </c>
      <c r="E1409" s="1" t="str">
        <f ca="1">IFERROR(__xludf.DUMMYFUNCTION("""COMPUTED_VALUE"""),"p2/庫存")</f>
        <v>p2/庫存</v>
      </c>
      <c r="F1409" s="1">
        <f ca="1">IFERROR(__xludf.DUMMYFUNCTION("""COMPUTED_VALUE"""),6)</f>
        <v>6</v>
      </c>
      <c r="G1409" s="1"/>
      <c r="H1409" s="1" t="str">
        <f ca="1">IFERROR(__xludf.DUMMYFUNCTION("""COMPUTED_VALUE"""),"P2_7001~7003")</f>
        <v>P2_7001~7003</v>
      </c>
      <c r="I1409" s="1" t="str">
        <f ca="1">IFERROR(__xludf.DUMMYFUNCTION("""COMPUTED_VALUE"""),"Jason")</f>
        <v>Jason</v>
      </c>
    </row>
    <row r="1410" spans="1:9" ht="12.7" x14ac:dyDescent="0.4">
      <c r="A1410" s="2">
        <f ca="1">IFERROR(__xludf.DUMMYFUNCTION("""COMPUTED_VALUE"""),45918.3768886458)</f>
        <v>45918.376888645798</v>
      </c>
      <c r="B1410" s="1" t="str">
        <f ca="1">IFERROR(__xludf.DUMMYFUNCTION("""COMPUTED_VALUE"""),"送修")</f>
        <v>送修</v>
      </c>
      <c r="C1410" s="1" t="str">
        <f ca="1">IFERROR(__xludf.DUMMYFUNCTION("""COMPUTED_VALUE"""),"ME0100000084")</f>
        <v>ME0100000084</v>
      </c>
      <c r="D1410" s="1" t="str">
        <f ca="1">IFERROR(__xludf.DUMMYFUNCTION("""COMPUTED_VALUE"""),"All/COLOR")</f>
        <v>All/COLOR</v>
      </c>
      <c r="E1410" s="1" t="str">
        <f ca="1">IFERROR(__xludf.DUMMYFUNCTION("""COMPUTED_VALUE"""),"p1/庫存")</f>
        <v>p1/庫存</v>
      </c>
      <c r="F1410" s="1">
        <f ca="1">IFERROR(__xludf.DUMMYFUNCTION("""COMPUTED_VALUE"""),1)</f>
        <v>1</v>
      </c>
      <c r="G1410" s="1"/>
      <c r="H1410" s="1" t="str">
        <f ca="1">IFERROR(__xludf.DUMMYFUNCTION("""COMPUTED_VALUE"""),"P1_3001")</f>
        <v>P1_3001</v>
      </c>
      <c r="I1410" s="1" t="str">
        <f ca="1">IFERROR(__xludf.DUMMYFUNCTION("""COMPUTED_VALUE"""),"Barry")</f>
        <v>Barry</v>
      </c>
    </row>
    <row r="1411" spans="1:9" ht="12.7" x14ac:dyDescent="0.4">
      <c r="A1411" s="2">
        <f ca="1">IFERROR(__xludf.DUMMYFUNCTION("""COMPUTED_VALUE"""),45919.6371398726)</f>
        <v>45919.637139872597</v>
      </c>
      <c r="B1411" s="1" t="str">
        <f ca="1">IFERROR(__xludf.DUMMYFUNCTION("""COMPUTED_VALUE"""),"進貨")</f>
        <v>進貨</v>
      </c>
      <c r="C1411" s="1" t="str">
        <f ca="1">IFERROR(__xludf.DUMMYFUNCTION("""COMPUTED_VALUE"""),"ME0100000084")</f>
        <v>ME0100000084</v>
      </c>
      <c r="D1411" s="1" t="str">
        <f ca="1">IFERROR(__xludf.DUMMYFUNCTION("""COMPUTED_VALUE"""),"All/COLOR")</f>
        <v>All/COLOR</v>
      </c>
      <c r="E1411" s="1" t="str">
        <f ca="1">IFERROR(__xludf.DUMMYFUNCTION("""COMPUTED_VALUE"""),"p1/庫存")</f>
        <v>p1/庫存</v>
      </c>
      <c r="F1411" s="1">
        <f ca="1">IFERROR(__xludf.DUMMYFUNCTION("""COMPUTED_VALUE"""),1)</f>
        <v>1</v>
      </c>
      <c r="G1411" s="1"/>
      <c r="H1411" s="1" t="str">
        <f ca="1">IFERROR(__xludf.DUMMYFUNCTION("""COMPUTED_VALUE"""),"P1")</f>
        <v>P1</v>
      </c>
      <c r="I1411" s="1" t="str">
        <f ca="1">IFERROR(__xludf.DUMMYFUNCTION("""COMPUTED_VALUE"""),"Chiao Yu")</f>
        <v>Chiao Yu</v>
      </c>
    </row>
    <row r="1412" spans="1:9" ht="12.7" x14ac:dyDescent="0.4">
      <c r="A1412" s="2">
        <f ca="1">IFERROR(__xludf.DUMMYFUNCTION("""COMPUTED_VALUE"""),45919.6374329398)</f>
        <v>45919.637432939802</v>
      </c>
      <c r="B1412" s="1" t="str">
        <f ca="1">IFERROR(__xludf.DUMMYFUNCTION("""COMPUTED_VALUE"""),"進貨")</f>
        <v>進貨</v>
      </c>
      <c r="C1412" s="1" t="str">
        <f ca="1">IFERROR(__xludf.DUMMYFUNCTION("""COMPUTED_VALUE"""),"ME0100000084")</f>
        <v>ME0100000084</v>
      </c>
      <c r="D1412" s="1" t="str">
        <f ca="1">IFERROR(__xludf.DUMMYFUNCTION("""COMPUTED_VALUE"""),"All/COLOR")</f>
        <v>All/COLOR</v>
      </c>
      <c r="E1412" s="1" t="str">
        <f ca="1">IFERROR(__xludf.DUMMYFUNCTION("""COMPUTED_VALUE"""),"p2/庫存")</f>
        <v>p2/庫存</v>
      </c>
      <c r="F1412" s="1">
        <f ca="1">IFERROR(__xludf.DUMMYFUNCTION("""COMPUTED_VALUE"""),1)</f>
        <v>1</v>
      </c>
      <c r="G1412" s="1"/>
      <c r="H1412" s="1" t="str">
        <f ca="1">IFERROR(__xludf.DUMMYFUNCTION("""COMPUTED_VALUE"""),"P2")</f>
        <v>P2</v>
      </c>
      <c r="I1412" s="1" t="str">
        <f ca="1">IFERROR(__xludf.DUMMYFUNCTION("""COMPUTED_VALUE"""),"Chiao Yu")</f>
        <v>Chiao Yu</v>
      </c>
    </row>
    <row r="1413" spans="1:9" ht="12.7" x14ac:dyDescent="0.4">
      <c r="A1413" s="2">
        <f ca="1">IFERROR(__xludf.DUMMYFUNCTION("""COMPUTED_VALUE"""),45921.7705374768)</f>
        <v>45921.770537476797</v>
      </c>
      <c r="B1413" s="1" t="str">
        <f ca="1">IFERROR(__xludf.DUMMYFUNCTION("""COMPUTED_VALUE"""),"領料")</f>
        <v>領料</v>
      </c>
      <c r="C1413" s="1" t="str">
        <f ca="1">IFERROR(__xludf.DUMMYFUNCTION("""COMPUTED_VALUE"""),"MM0090000279")</f>
        <v>MM0090000279</v>
      </c>
      <c r="D1413" s="1" t="str">
        <f ca="1">IFERROR(__xludf.DUMMYFUNCTION("""COMPUTED_VALUE"""),"All/BA")</f>
        <v>All/BA</v>
      </c>
      <c r="E1413" s="1" t="str">
        <f ca="1">IFERROR(__xludf.DUMMYFUNCTION("""COMPUTED_VALUE"""),"p2/庫存")</f>
        <v>p2/庫存</v>
      </c>
      <c r="F1413" s="1">
        <f ca="1">IFERROR(__xludf.DUMMYFUNCTION("""COMPUTED_VALUE"""),1)</f>
        <v>1</v>
      </c>
      <c r="G1413" s="1"/>
      <c r="H1413" s="1" t="str">
        <f ca="1">IFERROR(__xludf.DUMMYFUNCTION("""COMPUTED_VALUE"""),"P2")</f>
        <v>P2</v>
      </c>
      <c r="I1413" s="1" t="str">
        <f ca="1">IFERROR(__xludf.DUMMYFUNCTION("""COMPUTED_VALUE"""),"Simon")</f>
        <v>Simon</v>
      </c>
    </row>
    <row r="1414" spans="1:9" ht="12.7" x14ac:dyDescent="0.4">
      <c r="A1414" s="2">
        <f ca="1">IFERROR(__xludf.DUMMYFUNCTION("""COMPUTED_VALUE"""),45923.5244716319)</f>
        <v>45923.524471631899</v>
      </c>
      <c r="B1414" s="1" t="str">
        <f ca="1">IFERROR(__xludf.DUMMYFUNCTION("""COMPUTED_VALUE"""),"領料")</f>
        <v>領料</v>
      </c>
      <c r="C1414" s="1" t="str">
        <f ca="1">IFERROR(__xludf.DUMMYFUNCTION("""COMPUTED_VALUE"""),"ME0270001341")</f>
        <v>ME0270001341</v>
      </c>
      <c r="D1414" s="1" t="str">
        <f ca="1">IFERROR(__xludf.DUMMYFUNCTION("""COMPUTED_VALUE"""),"All/COLOR")</f>
        <v>All/COLOR</v>
      </c>
      <c r="E1414" s="1" t="str">
        <f ca="1">IFERROR(__xludf.DUMMYFUNCTION("""COMPUTED_VALUE"""),"p1/庫存")</f>
        <v>p1/庫存</v>
      </c>
      <c r="F1414" s="1">
        <f ca="1">IFERROR(__xludf.DUMMYFUNCTION("""COMPUTED_VALUE"""),1)</f>
        <v>1</v>
      </c>
      <c r="G1414" s="1"/>
      <c r="H1414" s="1" t="str">
        <f ca="1">IFERROR(__xludf.DUMMYFUNCTION("""COMPUTED_VALUE"""),"P1_3001")</f>
        <v>P1_3001</v>
      </c>
      <c r="I1414" s="1" t="str">
        <f ca="1">IFERROR(__xludf.DUMMYFUNCTION("""COMPUTED_VALUE"""),"Chiao Yu")</f>
        <v>Chiao Yu</v>
      </c>
    </row>
    <row r="1415" spans="1:9" ht="12.7" x14ac:dyDescent="0.4">
      <c r="A1415" s="2">
        <f ca="1">IFERROR(__xludf.DUMMYFUNCTION("""COMPUTED_VALUE"""),45925.4452079629)</f>
        <v>45925.445207962897</v>
      </c>
      <c r="B1415" s="1" t="str">
        <f ca="1">IFERROR(__xludf.DUMMYFUNCTION("""COMPUTED_VALUE"""),"返修")</f>
        <v>返修</v>
      </c>
      <c r="C1415" s="1" t="str">
        <f ca="1">IFERROR(__xludf.DUMMYFUNCTION("""COMPUTED_VALUE"""),"ME0100000084")</f>
        <v>ME0100000084</v>
      </c>
      <c r="D1415" s="1" t="str">
        <f ca="1">IFERROR(__xludf.DUMMYFUNCTION("""COMPUTED_VALUE"""),"All/COLOR")</f>
        <v>All/COLOR</v>
      </c>
      <c r="E1415" s="1" t="str">
        <f ca="1">IFERROR(__xludf.DUMMYFUNCTION("""COMPUTED_VALUE"""),"p1/庫存")</f>
        <v>p1/庫存</v>
      </c>
      <c r="F1415" s="1">
        <f ca="1">IFERROR(__xludf.DUMMYFUNCTION("""COMPUTED_VALUE"""),1)</f>
        <v>1</v>
      </c>
      <c r="G1415" s="1"/>
      <c r="H1415" s="1" t="str">
        <f ca="1">IFERROR(__xludf.DUMMYFUNCTION("""COMPUTED_VALUE"""),"P1_3001")</f>
        <v>P1_3001</v>
      </c>
      <c r="I1415" s="1" t="str">
        <f ca="1">IFERROR(__xludf.DUMMYFUNCTION("""COMPUTED_VALUE"""),"Chiao Yu")</f>
        <v>Chiao Yu</v>
      </c>
    </row>
    <row r="1416" spans="1:9" ht="12.7" x14ac:dyDescent="0.4">
      <c r="A1416" s="2">
        <f ca="1">IFERROR(__xludf.DUMMYFUNCTION("""COMPUTED_VALUE"""),45925.4457862615)</f>
        <v>45925.445786261502</v>
      </c>
      <c r="B1416" s="1" t="str">
        <f ca="1">IFERROR(__xludf.DUMMYFUNCTION("""COMPUTED_VALUE"""),"返修")</f>
        <v>返修</v>
      </c>
      <c r="C1416" s="1" t="str">
        <f ca="1">IFERROR(__xludf.DUMMYFUNCTION("""COMPUTED_VALUE"""),"ME0100000084")</f>
        <v>ME0100000084</v>
      </c>
      <c r="D1416" s="1" t="str">
        <f ca="1">IFERROR(__xludf.DUMMYFUNCTION("""COMPUTED_VALUE"""),"All/COLOR")</f>
        <v>All/COLOR</v>
      </c>
      <c r="E1416" s="1" t="str">
        <f ca="1">IFERROR(__xludf.DUMMYFUNCTION("""COMPUTED_VALUE"""),"p1/庫存")</f>
        <v>p1/庫存</v>
      </c>
      <c r="F1416" s="1">
        <f ca="1">IFERROR(__xludf.DUMMYFUNCTION("""COMPUTED_VALUE"""),1)</f>
        <v>1</v>
      </c>
      <c r="G1416" s="1"/>
      <c r="H1416" s="1" t="str">
        <f ca="1">IFERROR(__xludf.DUMMYFUNCTION("""COMPUTED_VALUE"""),"P1_3001")</f>
        <v>P1_3001</v>
      </c>
      <c r="I1416" s="1" t="str">
        <f ca="1">IFERROR(__xludf.DUMMYFUNCTION("""COMPUTED_VALUE"""),"Chiao Yu")</f>
        <v>Chiao Yu</v>
      </c>
    </row>
    <row r="1417" spans="1:9" ht="12.7" x14ac:dyDescent="0.4">
      <c r="A1417" s="2">
        <f ca="1">IFERROR(__xludf.DUMMYFUNCTION("""COMPUTED_VALUE"""),45925.4495301967)</f>
        <v>45925.449530196704</v>
      </c>
      <c r="B1417" s="1" t="str">
        <f ca="1">IFERROR(__xludf.DUMMYFUNCTION("""COMPUTED_VALUE"""),"領料")</f>
        <v>領料</v>
      </c>
      <c r="C1417" s="1" t="str">
        <f ca="1">IFERROR(__xludf.DUMMYFUNCTION("""COMPUTED_VALUE"""),"ME0120000207")</f>
        <v>ME0120000207</v>
      </c>
      <c r="D1417" s="1" t="str">
        <f ca="1">IFERROR(__xludf.DUMMYFUNCTION("""COMPUTED_VALUE"""),"All/共用")</f>
        <v>All/共用</v>
      </c>
      <c r="E1417" s="1" t="str">
        <f ca="1">IFERROR(__xludf.DUMMYFUNCTION("""COMPUTED_VALUE"""),"p1/庫存")</f>
        <v>p1/庫存</v>
      </c>
      <c r="F1417" s="1">
        <f ca="1">IFERROR(__xludf.DUMMYFUNCTION("""COMPUTED_VALUE"""),3)</f>
        <v>3</v>
      </c>
      <c r="G1417" s="1"/>
      <c r="H1417" s="1" t="str">
        <f ca="1">IFERROR(__xludf.DUMMYFUNCTION("""COMPUTED_VALUE"""),"P1")</f>
        <v>P1</v>
      </c>
      <c r="I1417" s="1" t="str">
        <f ca="1">IFERROR(__xludf.DUMMYFUNCTION("""COMPUTED_VALUE"""),"Chiao Yu")</f>
        <v>Chiao Yu</v>
      </c>
    </row>
    <row r="1418" spans="1:9" ht="12.7" x14ac:dyDescent="0.4">
      <c r="A1418" s="2">
        <f ca="1">IFERROR(__xludf.DUMMYFUNCTION("""COMPUTED_VALUE"""),45935.9434907523)</f>
        <v>45935.943490752303</v>
      </c>
      <c r="B1418" s="1" t="str">
        <f ca="1">IFERROR(__xludf.DUMMYFUNCTION("""COMPUTED_VALUE"""),"料件上線時間")</f>
        <v>料件上線時間</v>
      </c>
      <c r="C1418" s="1" t="str">
        <f ca="1">IFERROR(__xludf.DUMMYFUNCTION("""COMPUTED_VALUE"""),"ME0020000592")</f>
        <v>ME0020000592</v>
      </c>
      <c r="D1418" s="1" t="str">
        <f ca="1">IFERROR(__xludf.DUMMYFUNCTION("""COMPUTED_VALUE"""),"All/共用")</f>
        <v>All/共用</v>
      </c>
      <c r="E1418" s="1" t="str">
        <f ca="1">IFERROR(__xludf.DUMMYFUNCTION("""COMPUTED_VALUE"""),"p2/庫存")</f>
        <v>p2/庫存</v>
      </c>
      <c r="F1418" s="1">
        <f ca="1">IFERROR(__xludf.DUMMYFUNCTION("""COMPUTED_VALUE"""),1)</f>
        <v>1</v>
      </c>
      <c r="G1418" s="1" t="str">
        <f ca="1">IFERROR(__xludf.DUMMYFUNCTION("""COMPUTED_VALUE"""),"R9PT6152VQE")</f>
        <v>R9PT6152VQE</v>
      </c>
      <c r="H1418" s="1" t="str">
        <f ca="1">IFERROR(__xludf.DUMMYFUNCTION("""COMPUTED_VALUE"""),"P2_034")</f>
        <v>P2_034</v>
      </c>
      <c r="I1418" s="1" t="str">
        <f ca="1">IFERROR(__xludf.DUMMYFUNCTION("""COMPUTED_VALUE"""),"Jason")</f>
        <v>Jason</v>
      </c>
    </row>
    <row r="1419" spans="1:9" ht="12.7" x14ac:dyDescent="0.4">
      <c r="A1419" s="2">
        <f ca="1">IFERROR(__xludf.DUMMYFUNCTION("""COMPUTED_VALUE"""),45935.9452963541)</f>
        <v>45935.945296354097</v>
      </c>
      <c r="B1419" s="1" t="str">
        <f ca="1">IFERROR(__xludf.DUMMYFUNCTION("""COMPUTED_VALUE"""),"領料")</f>
        <v>領料</v>
      </c>
      <c r="C1419" s="1" t="str">
        <f ca="1">IFERROR(__xludf.DUMMYFUNCTION("""COMPUTED_VALUE"""),"ME0020000592")</f>
        <v>ME0020000592</v>
      </c>
      <c r="D1419" s="1" t="str">
        <f ca="1">IFERROR(__xludf.DUMMYFUNCTION("""COMPUTED_VALUE"""),"All/共用")</f>
        <v>All/共用</v>
      </c>
      <c r="E1419" s="1" t="str">
        <f ca="1">IFERROR(__xludf.DUMMYFUNCTION("""COMPUTED_VALUE"""),"p2/庫存")</f>
        <v>p2/庫存</v>
      </c>
      <c r="F1419" s="1">
        <f ca="1">IFERROR(__xludf.DUMMYFUNCTION("""COMPUTED_VALUE"""),1)</f>
        <v>1</v>
      </c>
      <c r="G1419" s="1" t="str">
        <f ca="1">IFERROR(__xludf.DUMMYFUNCTION("""COMPUTED_VALUE"""),"R9PT6152P4B")</f>
        <v>R9PT6152P4B</v>
      </c>
      <c r="H1419" s="1" t="str">
        <f ca="1">IFERROR(__xludf.DUMMYFUNCTION("""COMPUTED_VALUE"""),"P2_034")</f>
        <v>P2_034</v>
      </c>
      <c r="I1419" s="1" t="str">
        <f ca="1">IFERROR(__xludf.DUMMYFUNCTION("""COMPUTED_VALUE"""),"Jason")</f>
        <v>Jason</v>
      </c>
    </row>
    <row r="1420" spans="1:9" ht="12.7" x14ac:dyDescent="0.4">
      <c r="A1420" s="2">
        <f ca="1">IFERROR(__xludf.DUMMYFUNCTION("""COMPUTED_VALUE"""),45936.5429867361)</f>
        <v>45936.542986736102</v>
      </c>
      <c r="B1420" s="1" t="str">
        <f ca="1">IFERROR(__xludf.DUMMYFUNCTION("""COMPUTED_VALUE"""),"領料")</f>
        <v>領料</v>
      </c>
      <c r="C1420" s="1" t="str">
        <f ca="1">IFERROR(__xludf.DUMMYFUNCTION("""COMPUTED_VALUE"""),"AGT000000010")</f>
        <v>AGT000000010</v>
      </c>
      <c r="D1420" s="1" t="str">
        <f ca="1">IFERROR(__xludf.DUMMYFUNCTION("""COMPUTED_VALUE"""),"All/共用")</f>
        <v>All/共用</v>
      </c>
      <c r="E1420" s="1" t="str">
        <f ca="1">IFERROR(__xludf.DUMMYFUNCTION("""COMPUTED_VALUE"""),"p2/庫存")</f>
        <v>p2/庫存</v>
      </c>
      <c r="F1420" s="1">
        <f ca="1">IFERROR(__xludf.DUMMYFUNCTION("""COMPUTED_VALUE"""),1)</f>
        <v>1</v>
      </c>
      <c r="G1420" s="1"/>
      <c r="H1420" s="1" t="str">
        <f ca="1">IFERROR(__xludf.DUMMYFUNCTION("""COMPUTED_VALUE"""),"P2_043")</f>
        <v>P2_043</v>
      </c>
      <c r="I1420" s="1" t="str">
        <f ca="1">IFERROR(__xludf.DUMMYFUNCTION("""COMPUTED_VALUE"""),"Chiao Yu")</f>
        <v>Chiao Yu</v>
      </c>
    </row>
    <row r="1421" spans="1:9" ht="12.7" x14ac:dyDescent="0.4">
      <c r="A1421" s="2">
        <f ca="1">IFERROR(__xludf.DUMMYFUNCTION("""COMPUTED_VALUE"""),45937.4647886458)</f>
        <v>45937.464788645797</v>
      </c>
      <c r="B1421" s="1" t="str">
        <f ca="1">IFERROR(__xludf.DUMMYFUNCTION("""COMPUTED_VALUE"""),"庫存調整")</f>
        <v>庫存調整</v>
      </c>
      <c r="C1421" s="1" t="str">
        <f ca="1">IFERROR(__xludf.DUMMYFUNCTION("""COMPUTED_VALUE"""),"ME0020000622")</f>
        <v>ME0020000622</v>
      </c>
      <c r="D1421" s="1" t="str">
        <f ca="1">IFERROR(__xludf.DUMMYFUNCTION("""COMPUTED_VALUE"""),"All/共用")</f>
        <v>All/共用</v>
      </c>
      <c r="E1421" s="1" t="str">
        <f ca="1">IFERROR(__xludf.DUMMYFUNCTION("""COMPUTED_VALUE"""),"p1/庫存")</f>
        <v>p1/庫存</v>
      </c>
      <c r="F1421" s="1">
        <f ca="1">IFERROR(__xludf.DUMMYFUNCTION("""COMPUTED_VALUE"""),0)</f>
        <v>0</v>
      </c>
      <c r="G1421" s="1"/>
      <c r="H1421" s="1" t="str">
        <f ca="1">IFERROR(__xludf.DUMMYFUNCTION("""COMPUTED_VALUE"""),"P1")</f>
        <v>P1</v>
      </c>
      <c r="I1421" s="1" t="str">
        <f ca="1">IFERROR(__xludf.DUMMYFUNCTION("""COMPUTED_VALUE"""),"Chiao Yu")</f>
        <v>Chiao Yu</v>
      </c>
    </row>
    <row r="1422" spans="1:9" ht="12.7" x14ac:dyDescent="0.4">
      <c r="A1422" s="2">
        <f ca="1">IFERROR(__xludf.DUMMYFUNCTION("""COMPUTED_VALUE"""),45937.4653962384)</f>
        <v>45937.465396238404</v>
      </c>
      <c r="B1422" s="1" t="str">
        <f ca="1">IFERROR(__xludf.DUMMYFUNCTION("""COMPUTED_VALUE"""),"庫存調整")</f>
        <v>庫存調整</v>
      </c>
      <c r="C1422" s="1" t="str">
        <f ca="1">IFERROR(__xludf.DUMMYFUNCTION("""COMPUTED_VALUE"""),"ME0020000622")</f>
        <v>ME0020000622</v>
      </c>
      <c r="D1422" s="1" t="str">
        <f ca="1">IFERROR(__xludf.DUMMYFUNCTION("""COMPUTED_VALUE"""),"All/共用")</f>
        <v>All/共用</v>
      </c>
      <c r="E1422" s="1" t="str">
        <f ca="1">IFERROR(__xludf.DUMMYFUNCTION("""COMPUTED_VALUE"""),"p2/庫存")</f>
        <v>p2/庫存</v>
      </c>
      <c r="F1422" s="1">
        <f ca="1">IFERROR(__xludf.DUMMYFUNCTION("""COMPUTED_VALUE"""),0)</f>
        <v>0</v>
      </c>
      <c r="G1422" s="1"/>
      <c r="H1422" s="1" t="str">
        <f ca="1">IFERROR(__xludf.DUMMYFUNCTION("""COMPUTED_VALUE"""),"P2")</f>
        <v>P2</v>
      </c>
      <c r="I1422" s="1" t="str">
        <f ca="1">IFERROR(__xludf.DUMMYFUNCTION("""COMPUTED_VALUE"""),"Chiao Yu")</f>
        <v>Chiao Yu</v>
      </c>
    </row>
    <row r="1423" spans="1:9" ht="12.7" x14ac:dyDescent="0.4">
      <c r="A1423" s="2">
        <f ca="1">IFERROR(__xludf.DUMMYFUNCTION("""COMPUTED_VALUE"""),45937.6733787615)</f>
        <v>45937.673378761501</v>
      </c>
      <c r="B1423" s="1" t="str">
        <f ca="1">IFERROR(__xludf.DUMMYFUNCTION("""COMPUTED_VALUE"""),"返修")</f>
        <v>返修</v>
      </c>
      <c r="C1423" s="1" t="str">
        <f ca="1">IFERROR(__xludf.DUMMYFUNCTION("""COMPUTED_VALUE"""),"ME0020000592")</f>
        <v>ME0020000592</v>
      </c>
      <c r="D1423" s="1" t="str">
        <f ca="1">IFERROR(__xludf.DUMMYFUNCTION("""COMPUTED_VALUE"""),"All/共用")</f>
        <v>All/共用</v>
      </c>
      <c r="E1423" s="1" t="str">
        <f ca="1">IFERROR(__xludf.DUMMYFUNCTION("""COMPUTED_VALUE"""),"p2/庫存")</f>
        <v>p2/庫存</v>
      </c>
      <c r="F1423" s="1">
        <f ca="1">IFERROR(__xludf.DUMMYFUNCTION("""COMPUTED_VALUE"""),1)</f>
        <v>1</v>
      </c>
      <c r="G1423" s="1" t="str">
        <f ca="1">IFERROR(__xludf.DUMMYFUNCTION("""COMPUTED_VALUE"""),"R9PTA0K0B6M")</f>
        <v>R9PTA0K0B6M</v>
      </c>
      <c r="H1423" s="1" t="str">
        <f ca="1">IFERROR(__xludf.DUMMYFUNCTION("""COMPUTED_VALUE"""),"P2_047")</f>
        <v>P2_047</v>
      </c>
      <c r="I1423" s="1" t="str">
        <f ca="1">IFERROR(__xludf.DUMMYFUNCTION("""COMPUTED_VALUE"""),"Chiao Yu")</f>
        <v>Chiao Yu</v>
      </c>
    </row>
    <row r="1424" spans="1:9" ht="12.7" x14ac:dyDescent="0.4">
      <c r="A1424" s="2">
        <f ca="1">IFERROR(__xludf.DUMMYFUNCTION("""COMPUTED_VALUE"""),45938.7352251273)</f>
        <v>45938.735225127297</v>
      </c>
      <c r="B1424" s="1" t="str">
        <f ca="1">IFERROR(__xludf.DUMMYFUNCTION("""COMPUTED_VALUE"""),"進貨")</f>
        <v>進貨</v>
      </c>
      <c r="C1424" s="1" t="str">
        <f ca="1">IFERROR(__xludf.DUMMYFUNCTION("""COMPUTED_VALUE"""),"MM0260000259")</f>
        <v>MM0260000259</v>
      </c>
      <c r="D1424" s="1" t="str">
        <f ca="1">IFERROR(__xludf.DUMMYFUNCTION("""COMPUTED_VALUE"""),"All/SB")</f>
        <v>All/SB</v>
      </c>
      <c r="E1424" s="1" t="str">
        <f ca="1">IFERROR(__xludf.DUMMYFUNCTION("""COMPUTED_VALUE"""),"p1/庫存")</f>
        <v>p1/庫存</v>
      </c>
      <c r="F1424" s="1">
        <f ca="1">IFERROR(__xludf.DUMMYFUNCTION("""COMPUTED_VALUE"""),1)</f>
        <v>1</v>
      </c>
      <c r="G1424" s="1"/>
      <c r="H1424" s="1" t="str">
        <f ca="1">IFERROR(__xludf.DUMMYFUNCTION("""COMPUTED_VALUE"""),"P1")</f>
        <v>P1</v>
      </c>
      <c r="I1424" s="1" t="str">
        <f ca="1">IFERROR(__xludf.DUMMYFUNCTION("""COMPUTED_VALUE"""),"Chiao Yu")</f>
        <v>Chiao Yu</v>
      </c>
    </row>
    <row r="1425" spans="1:9" ht="12.7" x14ac:dyDescent="0.4">
      <c r="A1425" s="2">
        <f ca="1">IFERROR(__xludf.DUMMYFUNCTION("""COMPUTED_VALUE"""),45938.735757824)</f>
        <v>45938.735757823997</v>
      </c>
      <c r="B1425" s="1" t="str">
        <f ca="1">IFERROR(__xludf.DUMMYFUNCTION("""COMPUTED_VALUE"""),"進貨")</f>
        <v>進貨</v>
      </c>
      <c r="C1425" s="1" t="str">
        <f ca="1">IFERROR(__xludf.DUMMYFUNCTION("""COMPUTED_VALUE"""),"MM0260000259")</f>
        <v>MM0260000259</v>
      </c>
      <c r="D1425" s="1" t="str">
        <f ca="1">IFERROR(__xludf.DUMMYFUNCTION("""COMPUTED_VALUE"""),"All/SB")</f>
        <v>All/SB</v>
      </c>
      <c r="E1425" s="1" t="str">
        <f ca="1">IFERROR(__xludf.DUMMYFUNCTION("""COMPUTED_VALUE"""),"p2/庫存")</f>
        <v>p2/庫存</v>
      </c>
      <c r="F1425" s="1">
        <f ca="1">IFERROR(__xludf.DUMMYFUNCTION("""COMPUTED_VALUE"""),2)</f>
        <v>2</v>
      </c>
      <c r="G1425" s="1"/>
      <c r="H1425" s="1" t="str">
        <f ca="1">IFERROR(__xludf.DUMMYFUNCTION("""COMPUTED_VALUE"""),"P2")</f>
        <v>P2</v>
      </c>
      <c r="I1425" s="1" t="str">
        <f ca="1">IFERROR(__xludf.DUMMYFUNCTION("""COMPUTED_VALUE"""),"Chiao Yu")</f>
        <v>Chiao Yu</v>
      </c>
    </row>
    <row r="1426" spans="1:9" ht="12.7" x14ac:dyDescent="0.4">
      <c r="A1426" s="2">
        <f ca="1">IFERROR(__xludf.DUMMYFUNCTION("""COMPUTED_VALUE"""),45943.4059628819)</f>
        <v>45943.405962881901</v>
      </c>
      <c r="B1426" s="1" t="str">
        <f ca="1">IFERROR(__xludf.DUMMYFUNCTION("""COMPUTED_VALUE"""),"領料")</f>
        <v>領料</v>
      </c>
      <c r="C1426" s="1" t="str">
        <f ca="1">IFERROR(__xludf.DUMMYFUNCTION("""COMPUTED_VALUE"""),"ME0120000230")</f>
        <v>ME0120000230</v>
      </c>
      <c r="D1426" s="1" t="str">
        <f ca="1">IFERROR(__xludf.DUMMYFUNCTION("""COMPUTED_VALUE"""),"All/共用")</f>
        <v>All/共用</v>
      </c>
      <c r="E1426" s="1" t="str">
        <f ca="1">IFERROR(__xludf.DUMMYFUNCTION("""COMPUTED_VALUE"""),"p2/庫存")</f>
        <v>p2/庫存</v>
      </c>
      <c r="F1426" s="1">
        <f ca="1">IFERROR(__xludf.DUMMYFUNCTION("""COMPUTED_VALUE"""),1)</f>
        <v>1</v>
      </c>
      <c r="G1426" s="1"/>
      <c r="H1426" s="1" t="str">
        <f ca="1">IFERROR(__xludf.DUMMYFUNCTION("""COMPUTED_VALUE"""),"P2_040")</f>
        <v>P2_040</v>
      </c>
      <c r="I1426" s="1" t="str">
        <f ca="1">IFERROR(__xludf.DUMMYFUNCTION("""COMPUTED_VALUE"""),"Uri")</f>
        <v>Uri</v>
      </c>
    </row>
    <row r="1427" spans="1:9" ht="12.7" x14ac:dyDescent="0.4">
      <c r="A1427" s="2">
        <f ca="1">IFERROR(__xludf.DUMMYFUNCTION("""COMPUTED_VALUE"""),45944.6153367939)</f>
        <v>45944.615336793897</v>
      </c>
      <c r="B1427" s="1" t="str">
        <f ca="1">IFERROR(__xludf.DUMMYFUNCTION("""COMPUTED_VALUE"""),"領料")</f>
        <v>領料</v>
      </c>
      <c r="C1427" s="1" t="str">
        <f ca="1">IFERROR(__xludf.DUMMYFUNCTION("""COMPUTED_VALUE"""),"MM0260000259")</f>
        <v>MM0260000259</v>
      </c>
      <c r="D1427" s="1" t="str">
        <f ca="1">IFERROR(__xludf.DUMMYFUNCTION("""COMPUTED_VALUE"""),"All/SB")</f>
        <v>All/SB</v>
      </c>
      <c r="E1427" s="1" t="str">
        <f ca="1">IFERROR(__xludf.DUMMYFUNCTION("""COMPUTED_VALUE"""),"p1/庫存")</f>
        <v>p1/庫存</v>
      </c>
      <c r="F1427" s="1">
        <f ca="1">IFERROR(__xludf.DUMMYFUNCTION("""COMPUTED_VALUE"""),1)</f>
        <v>1</v>
      </c>
      <c r="G1427" s="1"/>
      <c r="H1427" s="1" t="str">
        <f ca="1">IFERROR(__xludf.DUMMYFUNCTION("""COMPUTED_VALUE"""),"P1_4008")</f>
        <v>P1_4008</v>
      </c>
      <c r="I1427" s="1" t="str">
        <f ca="1">IFERROR(__xludf.DUMMYFUNCTION("""COMPUTED_VALUE"""),"Chiao Yu")</f>
        <v>Chiao Yu</v>
      </c>
    </row>
    <row r="1428" spans="1:9" ht="12.7" x14ac:dyDescent="0.4">
      <c r="A1428" s="2">
        <f ca="1">IFERROR(__xludf.DUMMYFUNCTION("""COMPUTED_VALUE"""),45945.817200706)</f>
        <v>45945.817200705998</v>
      </c>
      <c r="B1428" s="1" t="str">
        <f ca="1">IFERROR(__xludf.DUMMYFUNCTION("""COMPUTED_VALUE"""),"領料")</f>
        <v>領料</v>
      </c>
      <c r="C1428" s="1" t="str">
        <f ca="1">IFERROR(__xludf.DUMMYFUNCTION("""COMPUTED_VALUE"""),"MM0260000259")</f>
        <v>MM0260000259</v>
      </c>
      <c r="D1428" s="1" t="str">
        <f ca="1">IFERROR(__xludf.DUMMYFUNCTION("""COMPUTED_VALUE"""),"All/SB")</f>
        <v>All/SB</v>
      </c>
      <c r="E1428" s="1" t="str">
        <f ca="1">IFERROR(__xludf.DUMMYFUNCTION("""COMPUTED_VALUE"""),"p2/庫存")</f>
        <v>p2/庫存</v>
      </c>
      <c r="F1428" s="1">
        <f ca="1">IFERROR(__xludf.DUMMYFUNCTION("""COMPUTED_VALUE"""),1)</f>
        <v>1</v>
      </c>
      <c r="G1428" s="1"/>
      <c r="H1428" s="1" t="str">
        <f ca="1">IFERROR(__xludf.DUMMYFUNCTION("""COMPUTED_VALUE"""),"P2_9001")</f>
        <v>P2_9001</v>
      </c>
      <c r="I1428" s="1" t="str">
        <f ca="1">IFERROR(__xludf.DUMMYFUNCTION("""COMPUTED_VALUE"""),"Chiao Yu")</f>
        <v>Chiao Yu</v>
      </c>
    </row>
    <row r="1429" spans="1:9" ht="12.7" x14ac:dyDescent="0.4">
      <c r="A1429" s="2">
        <f ca="1">IFERROR(__xludf.DUMMYFUNCTION("""COMPUTED_VALUE"""),45945.8180955092)</f>
        <v>45945.818095509203</v>
      </c>
      <c r="B1429" s="1" t="str">
        <f ca="1">IFERROR(__xludf.DUMMYFUNCTION("""COMPUTED_VALUE"""),"庫存調整")</f>
        <v>庫存調整</v>
      </c>
      <c r="C1429" s="1" t="str">
        <f ca="1">IFERROR(__xludf.DUMMYFUNCTION("""COMPUTED_VALUE"""),"ME0020000592")</f>
        <v>ME0020000592</v>
      </c>
      <c r="D1429" s="1" t="str">
        <f ca="1">IFERROR(__xludf.DUMMYFUNCTION("""COMPUTED_VALUE"""),"All/共用")</f>
        <v>All/共用</v>
      </c>
      <c r="E1429" s="1" t="str">
        <f ca="1">IFERROR(__xludf.DUMMYFUNCTION("""COMPUTED_VALUE"""),"p1/庫存")</f>
        <v>p1/庫存</v>
      </c>
      <c r="F1429" s="1">
        <f ca="1">IFERROR(__xludf.DUMMYFUNCTION("""COMPUTED_VALUE"""),1)</f>
        <v>1</v>
      </c>
      <c r="G1429" s="1"/>
      <c r="H1429" s="1" t="str">
        <f ca="1">IFERROR(__xludf.DUMMYFUNCTION("""COMPUTED_VALUE"""),"P1")</f>
        <v>P1</v>
      </c>
      <c r="I1429" s="1" t="str">
        <f ca="1">IFERROR(__xludf.DUMMYFUNCTION("""COMPUTED_VALUE"""),"Chiao Yu")</f>
        <v>Chiao Yu</v>
      </c>
    </row>
    <row r="1430" spans="1:9" ht="12.7" x14ac:dyDescent="0.4">
      <c r="A1430" s="2">
        <f ca="1">IFERROR(__xludf.DUMMYFUNCTION("""COMPUTED_VALUE"""),45945.8189812037)</f>
        <v>45945.818981203702</v>
      </c>
      <c r="B1430" s="1" t="str">
        <f ca="1">IFERROR(__xludf.DUMMYFUNCTION("""COMPUTED_VALUE"""),"庫存調整")</f>
        <v>庫存調整</v>
      </c>
      <c r="C1430" s="1" t="str">
        <f ca="1">IFERROR(__xludf.DUMMYFUNCTION("""COMPUTED_VALUE"""),"ME0020000592")</f>
        <v>ME0020000592</v>
      </c>
      <c r="D1430" s="1" t="str">
        <f ca="1">IFERROR(__xludf.DUMMYFUNCTION("""COMPUTED_VALUE"""),"All/共用")</f>
        <v>All/共用</v>
      </c>
      <c r="E1430" s="1" t="str">
        <f ca="1">IFERROR(__xludf.DUMMYFUNCTION("""COMPUTED_VALUE"""),"p2/庫存")</f>
        <v>p2/庫存</v>
      </c>
      <c r="F1430" s="1">
        <f ca="1">IFERROR(__xludf.DUMMYFUNCTION("""COMPUTED_VALUE"""),1)</f>
        <v>1</v>
      </c>
      <c r="G1430" s="1"/>
      <c r="H1430" s="1" t="str">
        <f ca="1">IFERROR(__xludf.DUMMYFUNCTION("""COMPUTED_VALUE"""),"P2")</f>
        <v>P2</v>
      </c>
      <c r="I1430" s="1" t="str">
        <f ca="1">IFERROR(__xludf.DUMMYFUNCTION("""COMPUTED_VALUE"""),"Chiao Yu")</f>
        <v>Chiao Yu</v>
      </c>
    </row>
    <row r="1431" spans="1:9" ht="12.7" x14ac:dyDescent="0.4">
      <c r="A1431" s="2">
        <f ca="1">IFERROR(__xludf.DUMMYFUNCTION("""COMPUTED_VALUE"""),45945.8196524305)</f>
        <v>45945.819652430502</v>
      </c>
      <c r="B1431" s="1" t="str">
        <f ca="1">IFERROR(__xludf.DUMMYFUNCTION("""COMPUTED_VALUE"""),"庫存調整")</f>
        <v>庫存調整</v>
      </c>
      <c r="C1431" s="1" t="str">
        <f ca="1">IFERROR(__xludf.DUMMYFUNCTION("""COMPUTED_VALUE"""),"ME0120000230")</f>
        <v>ME0120000230</v>
      </c>
      <c r="D1431" s="1" t="str">
        <f ca="1">IFERROR(__xludf.DUMMYFUNCTION("""COMPUTED_VALUE"""),"All/共用")</f>
        <v>All/共用</v>
      </c>
      <c r="E1431" s="1" t="str">
        <f ca="1">IFERROR(__xludf.DUMMYFUNCTION("""COMPUTED_VALUE"""),"p1/庫存")</f>
        <v>p1/庫存</v>
      </c>
      <c r="F1431" s="1">
        <f ca="1">IFERROR(__xludf.DUMMYFUNCTION("""COMPUTED_VALUE"""),2)</f>
        <v>2</v>
      </c>
      <c r="G1431" s="1"/>
      <c r="H1431" s="1" t="str">
        <f ca="1">IFERROR(__xludf.DUMMYFUNCTION("""COMPUTED_VALUE"""),"P1")</f>
        <v>P1</v>
      </c>
      <c r="I1431" s="1" t="str">
        <f ca="1">IFERROR(__xludf.DUMMYFUNCTION("""COMPUTED_VALUE"""),"Chiao Yu")</f>
        <v>Chiao Yu</v>
      </c>
    </row>
    <row r="1432" spans="1:9" ht="12.7" x14ac:dyDescent="0.4">
      <c r="A1432" s="2">
        <f ca="1">IFERROR(__xludf.DUMMYFUNCTION("""COMPUTED_VALUE"""),45945.8200644097)</f>
        <v>45945.820064409701</v>
      </c>
      <c r="B1432" s="1" t="str">
        <f ca="1">IFERROR(__xludf.DUMMYFUNCTION("""COMPUTED_VALUE"""),"庫存調整")</f>
        <v>庫存調整</v>
      </c>
      <c r="C1432" s="1" t="str">
        <f ca="1">IFERROR(__xludf.DUMMYFUNCTION("""COMPUTED_VALUE"""),"ME0270001257")</f>
        <v>ME0270001257</v>
      </c>
      <c r="D1432" s="1" t="str">
        <f ca="1">IFERROR(__xludf.DUMMYFUNCTION("""COMPUTED_VALUE"""),"All/共用")</f>
        <v>All/共用</v>
      </c>
      <c r="E1432" s="1" t="str">
        <f ca="1">IFERROR(__xludf.DUMMYFUNCTION("""COMPUTED_VALUE"""),"p1/庫存")</f>
        <v>p1/庫存</v>
      </c>
      <c r="F1432" s="1">
        <f ca="1">IFERROR(__xludf.DUMMYFUNCTION("""COMPUTED_VALUE"""),2)</f>
        <v>2</v>
      </c>
      <c r="G1432" s="1"/>
      <c r="H1432" s="1" t="str">
        <f ca="1">IFERROR(__xludf.DUMMYFUNCTION("""COMPUTED_VALUE"""),"P1")</f>
        <v>P1</v>
      </c>
      <c r="I1432" s="1" t="str">
        <f ca="1">IFERROR(__xludf.DUMMYFUNCTION("""COMPUTED_VALUE"""),"Chiao Yu")</f>
        <v>Chiao Yu</v>
      </c>
    </row>
    <row r="1433" spans="1:9" ht="12.7" x14ac:dyDescent="0.4">
      <c r="A1433" s="2">
        <f ca="1">IFERROR(__xludf.DUMMYFUNCTION("""COMPUTED_VALUE"""),45945.82051978)</f>
        <v>45945.820519779998</v>
      </c>
      <c r="B1433" s="1" t="str">
        <f ca="1">IFERROR(__xludf.DUMMYFUNCTION("""COMPUTED_VALUE"""),"庫存調整")</f>
        <v>庫存調整</v>
      </c>
      <c r="C1433" s="1" t="str">
        <f ca="1">IFERROR(__xludf.DUMMYFUNCTION("""COMPUTED_VALUE"""),"ME0010000383")</f>
        <v>ME0010000383</v>
      </c>
      <c r="D1433" s="1" t="str">
        <f ca="1">IFERROR(__xludf.DUMMYFUNCTION("""COMPUTED_VALUE"""),"All/共用")</f>
        <v>All/共用</v>
      </c>
      <c r="E1433" s="1" t="str">
        <f ca="1">IFERROR(__xludf.DUMMYFUNCTION("""COMPUTED_VALUE"""),"p1/庫存")</f>
        <v>p1/庫存</v>
      </c>
      <c r="F1433" s="1">
        <f ca="1">IFERROR(__xludf.DUMMYFUNCTION("""COMPUTED_VALUE"""),2)</f>
        <v>2</v>
      </c>
      <c r="G1433" s="1"/>
      <c r="H1433" s="1" t="str">
        <f ca="1">IFERROR(__xludf.DUMMYFUNCTION("""COMPUTED_VALUE"""),"P1")</f>
        <v>P1</v>
      </c>
      <c r="I1433" s="1" t="str">
        <f ca="1">IFERROR(__xludf.DUMMYFUNCTION("""COMPUTED_VALUE"""),"Chiao Yu")</f>
        <v>Chiao Yu</v>
      </c>
    </row>
    <row r="1434" spans="1:9" ht="12.7" x14ac:dyDescent="0.4">
      <c r="A1434" s="2">
        <f ca="1">IFERROR(__xludf.DUMMYFUNCTION("""COMPUTED_VALUE"""),45950.3525208564)</f>
        <v>45950.352520856402</v>
      </c>
      <c r="B1434" s="1" t="str">
        <f ca="1">IFERROR(__xludf.DUMMYFUNCTION("""COMPUTED_VALUE"""),"領料")</f>
        <v>領料</v>
      </c>
      <c r="C1434" s="1" t="str">
        <f ca="1">IFERROR(__xludf.DUMMYFUNCTION("""COMPUTED_VALUE"""),"AGT000000005")</f>
        <v>AGT000000005</v>
      </c>
      <c r="D1434" s="1" t="str">
        <f ca="1">IFERROR(__xludf.DUMMYFUNCTION("""COMPUTED_VALUE"""),"All/共用")</f>
        <v>All/共用</v>
      </c>
      <c r="E1434" s="1" t="str">
        <f ca="1">IFERROR(__xludf.DUMMYFUNCTION("""COMPUTED_VALUE"""),"p2/庫存")</f>
        <v>p2/庫存</v>
      </c>
      <c r="F1434" s="1">
        <f ca="1">IFERROR(__xludf.DUMMYFUNCTION("""COMPUTED_VALUE"""),2)</f>
        <v>2</v>
      </c>
      <c r="G1434" s="1"/>
      <c r="H1434" s="1" t="str">
        <f ca="1">IFERROR(__xludf.DUMMYFUNCTION("""COMPUTED_VALUE"""),"P2_032")</f>
        <v>P2_032</v>
      </c>
      <c r="I1434" s="1" t="str">
        <f ca="1">IFERROR(__xludf.DUMMYFUNCTION("""COMPUTED_VALUE"""),"Chiao Yu")</f>
        <v>Chiao Yu</v>
      </c>
    </row>
    <row r="1435" spans="1:9" ht="12.7" x14ac:dyDescent="0.4">
      <c r="A1435" s="2">
        <f ca="1">IFERROR(__xludf.DUMMYFUNCTION("""COMPUTED_VALUE"""),45950.353914074)</f>
        <v>45950.353914074003</v>
      </c>
      <c r="B1435" s="1" t="str">
        <f ca="1">IFERROR(__xludf.DUMMYFUNCTION("""COMPUTED_VALUE"""),"領料")</f>
        <v>領料</v>
      </c>
      <c r="C1435" s="1" t="str">
        <f ca="1">IFERROR(__xludf.DUMMYFUNCTION("""COMPUTED_VALUE"""),"MM0090000047")</f>
        <v>MM0090000047</v>
      </c>
      <c r="D1435" s="1" t="str">
        <f ca="1">IFERROR(__xludf.DUMMYFUNCTION("""COMPUTED_VALUE"""),"All/BA")</f>
        <v>All/BA</v>
      </c>
      <c r="E1435" s="1" t="str">
        <f ca="1">IFERROR(__xludf.DUMMYFUNCTION("""COMPUTED_VALUE"""),"p1/庫存")</f>
        <v>p1/庫存</v>
      </c>
      <c r="F1435" s="1">
        <f ca="1">IFERROR(__xludf.DUMMYFUNCTION("""COMPUTED_VALUE"""),16)</f>
        <v>16</v>
      </c>
      <c r="G1435" s="1"/>
      <c r="H1435" s="1" t="str">
        <f ca="1">IFERROR(__xludf.DUMMYFUNCTION("""COMPUTED_VALUE"""),"P2_11002")</f>
        <v>P2_11002</v>
      </c>
      <c r="I1435" s="1" t="str">
        <f ca="1">IFERROR(__xludf.DUMMYFUNCTION("""COMPUTED_VALUE"""),"Chiao Yu")</f>
        <v>Chiao Yu</v>
      </c>
    </row>
    <row r="1436" spans="1:9" ht="12.7" x14ac:dyDescent="0.4">
      <c r="A1436" s="2">
        <f ca="1">IFERROR(__xludf.DUMMYFUNCTION("""COMPUTED_VALUE"""),45950.3545005671)</f>
        <v>45950.354500567097</v>
      </c>
      <c r="B1436" s="1" t="str">
        <f ca="1">IFERROR(__xludf.DUMMYFUNCTION("""COMPUTED_VALUE"""),"庫存調整")</f>
        <v>庫存調整</v>
      </c>
      <c r="C1436" s="1" t="str">
        <f ca="1">IFERROR(__xludf.DUMMYFUNCTION("""COMPUTED_VALUE"""),"MM0090000047")</f>
        <v>MM0090000047</v>
      </c>
      <c r="D1436" s="1" t="str">
        <f ca="1">IFERROR(__xludf.DUMMYFUNCTION("""COMPUTED_VALUE"""),"All/BA")</f>
        <v>All/BA</v>
      </c>
      <c r="E1436" s="1" t="str">
        <f ca="1">IFERROR(__xludf.DUMMYFUNCTION("""COMPUTED_VALUE"""),"p1/庫存")</f>
        <v>p1/庫存</v>
      </c>
      <c r="F1436" s="1">
        <f ca="1">IFERROR(__xludf.DUMMYFUNCTION("""COMPUTED_VALUE"""),-2)</f>
        <v>-2</v>
      </c>
      <c r="G1436" s="1"/>
      <c r="H1436" s="1" t="str">
        <f ca="1">IFERROR(__xludf.DUMMYFUNCTION("""COMPUTED_VALUE"""),"P1")</f>
        <v>P1</v>
      </c>
      <c r="I1436" s="1" t="str">
        <f ca="1">IFERROR(__xludf.DUMMYFUNCTION("""COMPUTED_VALUE"""),"Chiao Yu")</f>
        <v>Chiao Yu</v>
      </c>
    </row>
    <row r="1437" spans="1:9" ht="12.7" x14ac:dyDescent="0.4">
      <c r="A1437" s="2">
        <f ca="1">IFERROR(__xludf.DUMMYFUNCTION("""COMPUTED_VALUE"""),45950.3547714699)</f>
        <v>45950.354771469902</v>
      </c>
      <c r="B1437" s="1" t="str">
        <f ca="1">IFERROR(__xludf.DUMMYFUNCTION("""COMPUTED_VALUE"""),"庫存調整")</f>
        <v>庫存調整</v>
      </c>
      <c r="C1437" s="1" t="str">
        <f ca="1">IFERROR(__xludf.DUMMYFUNCTION("""COMPUTED_VALUE"""),"MM0090000047")</f>
        <v>MM0090000047</v>
      </c>
      <c r="D1437" s="1" t="str">
        <f ca="1">IFERROR(__xludf.DUMMYFUNCTION("""COMPUTED_VALUE"""),"All/BA")</f>
        <v>All/BA</v>
      </c>
      <c r="E1437" s="1" t="str">
        <f ca="1">IFERROR(__xludf.DUMMYFUNCTION("""COMPUTED_VALUE"""),"p2/庫存")</f>
        <v>p2/庫存</v>
      </c>
      <c r="F1437" s="1">
        <f ca="1">IFERROR(__xludf.DUMMYFUNCTION("""COMPUTED_VALUE"""),2)</f>
        <v>2</v>
      </c>
      <c r="G1437" s="1"/>
      <c r="H1437" s="1" t="str">
        <f ca="1">IFERROR(__xludf.DUMMYFUNCTION("""COMPUTED_VALUE"""),"P2")</f>
        <v>P2</v>
      </c>
      <c r="I1437" s="1" t="str">
        <f ca="1">IFERROR(__xludf.DUMMYFUNCTION("""COMPUTED_VALUE"""),"Chiao Yu")</f>
        <v>Chiao Yu</v>
      </c>
    </row>
    <row r="1438" spans="1:9" ht="12.7" x14ac:dyDescent="0.4">
      <c r="A1438" s="2">
        <f ca="1">IFERROR(__xludf.DUMMYFUNCTION("""COMPUTED_VALUE"""),45950.6831838425)</f>
        <v>45950.683183842499</v>
      </c>
      <c r="B1438" s="1" t="str">
        <f ca="1">IFERROR(__xludf.DUMMYFUNCTION("""COMPUTED_VALUE"""),"領料")</f>
        <v>領料</v>
      </c>
      <c r="C1438" s="1" t="str">
        <f ca="1">IFERROR(__xludf.DUMMYFUNCTION("""COMPUTED_VALUE"""),"ME0020000566")</f>
        <v>ME0020000566</v>
      </c>
      <c r="D1438" s="1" t="str">
        <f ca="1">IFERROR(__xludf.DUMMYFUNCTION("""COMPUTED_VALUE"""),"All/共用")</f>
        <v>All/共用</v>
      </c>
      <c r="E1438" s="1" t="str">
        <f ca="1">IFERROR(__xludf.DUMMYFUNCTION("""COMPUTED_VALUE"""),"p2/庫存")</f>
        <v>p2/庫存</v>
      </c>
      <c r="F1438" s="1">
        <f ca="1">IFERROR(__xludf.DUMMYFUNCTION("""COMPUTED_VALUE"""),5)</f>
        <v>5</v>
      </c>
      <c r="G1438" s="1"/>
      <c r="H1438" s="1" t="str">
        <f ca="1">IFERROR(__xludf.DUMMYFUNCTION("""COMPUTED_VALUE"""),"P2")</f>
        <v>P2</v>
      </c>
      <c r="I1438" s="1" t="str">
        <f ca="1">IFERROR(__xludf.DUMMYFUNCTION("""COMPUTED_VALUE"""),"Chiao Yu")</f>
        <v>Chiao Yu</v>
      </c>
    </row>
    <row r="1439" spans="1:9" ht="12.7" x14ac:dyDescent="0.4">
      <c r="A1439" s="2">
        <f ca="1">IFERROR(__xludf.DUMMYFUNCTION("""COMPUTED_VALUE"""),45950.6837635185)</f>
        <v>45950.6837635185</v>
      </c>
      <c r="B1439" s="1" t="str">
        <f ca="1">IFERROR(__xludf.DUMMYFUNCTION("""COMPUTED_VALUE"""),"領料")</f>
        <v>領料</v>
      </c>
      <c r="C1439" s="1" t="str">
        <f ca="1">IFERROR(__xludf.DUMMYFUNCTION("""COMPUTED_VALUE"""),"MM0260000157")</f>
        <v>MM0260000157</v>
      </c>
      <c r="D1439" s="1" t="str">
        <f ca="1">IFERROR(__xludf.DUMMYFUNCTION("""COMPUTED_VALUE"""),"All/BA")</f>
        <v>All/BA</v>
      </c>
      <c r="E1439" s="1" t="str">
        <f ca="1">IFERROR(__xludf.DUMMYFUNCTION("""COMPUTED_VALUE"""),"p1/庫存")</f>
        <v>p1/庫存</v>
      </c>
      <c r="F1439" s="1">
        <f ca="1">IFERROR(__xludf.DUMMYFUNCTION("""COMPUTED_VALUE"""),10)</f>
        <v>10</v>
      </c>
      <c r="G1439" s="1"/>
      <c r="H1439" s="1" t="str">
        <f ca="1">IFERROR(__xludf.DUMMYFUNCTION("""COMPUTED_VALUE"""),"P1")</f>
        <v>P1</v>
      </c>
      <c r="I1439" s="1" t="str">
        <f ca="1">IFERROR(__xludf.DUMMYFUNCTION("""COMPUTED_VALUE"""),"Chiao Yu")</f>
        <v>Chiao Yu</v>
      </c>
    </row>
    <row r="1440" spans="1:9" ht="12.7" x14ac:dyDescent="0.4">
      <c r="A1440" s="2">
        <f ca="1">IFERROR(__xludf.DUMMYFUNCTION("""COMPUTED_VALUE"""),45950.684221493)</f>
        <v>45950.684221493</v>
      </c>
      <c r="B1440" s="1" t="str">
        <f ca="1">IFERROR(__xludf.DUMMYFUNCTION("""COMPUTED_VALUE"""),"領料")</f>
        <v>領料</v>
      </c>
      <c r="C1440" s="1" t="str">
        <f ca="1">IFERROR(__xludf.DUMMYFUNCTION("""COMPUTED_VALUE"""),"ME0060000270")</f>
        <v>ME0060000270</v>
      </c>
      <c r="D1440" s="1" t="str">
        <f ca="1">IFERROR(__xludf.DUMMYFUNCTION("""COMPUTED_VALUE"""),"All/共用")</f>
        <v>All/共用</v>
      </c>
      <c r="E1440" s="1" t="str">
        <f ca="1">IFERROR(__xludf.DUMMYFUNCTION("""COMPUTED_VALUE"""),"p2/庫存")</f>
        <v>p2/庫存</v>
      </c>
      <c r="F1440" s="1">
        <f ca="1">IFERROR(__xludf.DUMMYFUNCTION("""COMPUTED_VALUE"""),4)</f>
        <v>4</v>
      </c>
      <c r="G1440" s="1"/>
      <c r="H1440" s="1" t="str">
        <f ca="1">IFERROR(__xludf.DUMMYFUNCTION("""COMPUTED_VALUE"""),"P2")</f>
        <v>P2</v>
      </c>
      <c r="I1440" s="1" t="str">
        <f ca="1">IFERROR(__xludf.DUMMYFUNCTION("""COMPUTED_VALUE"""),"Simon")</f>
        <v>Simon</v>
      </c>
    </row>
    <row r="1441" spans="1:9" ht="12.7" x14ac:dyDescent="0.4">
      <c r="A1441" s="2">
        <f ca="1">IFERROR(__xludf.DUMMYFUNCTION("""COMPUTED_VALUE"""),45950.6852953703)</f>
        <v>45950.685295370298</v>
      </c>
      <c r="B1441" s="1" t="str">
        <f ca="1">IFERROR(__xludf.DUMMYFUNCTION("""COMPUTED_VALUE"""),"領料")</f>
        <v>領料</v>
      </c>
      <c r="C1441" s="1" t="str">
        <f ca="1">IFERROR(__xludf.DUMMYFUNCTION("""COMPUTED_VALUE"""),"ME0030000075")</f>
        <v>ME0030000075</v>
      </c>
      <c r="D1441" s="1" t="str">
        <f ca="1">IFERROR(__xludf.DUMMYFUNCTION("""COMPUTED_VALUE"""),"All/共用")</f>
        <v>All/共用</v>
      </c>
      <c r="E1441" s="1" t="str">
        <f ca="1">IFERROR(__xludf.DUMMYFUNCTION("""COMPUTED_VALUE"""),"p1/庫存")</f>
        <v>p1/庫存</v>
      </c>
      <c r="F1441" s="1">
        <f ca="1">IFERROR(__xludf.DUMMYFUNCTION("""COMPUTED_VALUE"""),1)</f>
        <v>1</v>
      </c>
      <c r="G1441" s="1"/>
      <c r="H1441" s="1" t="str">
        <f ca="1">IFERROR(__xludf.DUMMYFUNCTION("""COMPUTED_VALUE"""),"P3")</f>
        <v>P3</v>
      </c>
      <c r="I1441" s="1" t="str">
        <f ca="1">IFERROR(__xludf.DUMMYFUNCTION("""COMPUTED_VALUE"""),"Simon")</f>
        <v>Simon</v>
      </c>
    </row>
    <row r="1442" spans="1:9" ht="12.7" x14ac:dyDescent="0.4">
      <c r="A1442" s="2">
        <f ca="1">IFERROR(__xludf.DUMMYFUNCTION("""COMPUTED_VALUE"""),45951.3474177777)</f>
        <v>45951.347417777703</v>
      </c>
      <c r="B1442" s="1" t="str">
        <f ca="1">IFERROR(__xludf.DUMMYFUNCTION("""COMPUTED_VALUE"""),"領料")</f>
        <v>領料</v>
      </c>
      <c r="C1442" s="1" t="str">
        <f ca="1">IFERROR(__xludf.DUMMYFUNCTION("""COMPUTED_VALUE"""),"AGT000000005")</f>
        <v>AGT000000005</v>
      </c>
      <c r="D1442" s="1" t="str">
        <f ca="1">IFERROR(__xludf.DUMMYFUNCTION("""COMPUTED_VALUE"""),"All/共用")</f>
        <v>All/共用</v>
      </c>
      <c r="E1442" s="1" t="str">
        <f ca="1">IFERROR(__xludf.DUMMYFUNCTION("""COMPUTED_VALUE"""),"p2/庫存")</f>
        <v>p2/庫存</v>
      </c>
      <c r="F1442" s="1">
        <f ca="1">IFERROR(__xludf.DUMMYFUNCTION("""COMPUTED_VALUE"""),1)</f>
        <v>1</v>
      </c>
      <c r="G1442" s="1"/>
      <c r="H1442" s="1" t="str">
        <f ca="1">IFERROR(__xludf.DUMMYFUNCTION("""COMPUTED_VALUE"""),"P2_044")</f>
        <v>P2_044</v>
      </c>
      <c r="I1442" s="1" t="str">
        <f ca="1">IFERROR(__xludf.DUMMYFUNCTION("""COMPUTED_VALUE"""),"Jason")</f>
        <v>Jason</v>
      </c>
    </row>
    <row r="1443" spans="1:9" ht="12.7" x14ac:dyDescent="0.4">
      <c r="A1443" s="2">
        <f ca="1">IFERROR(__xludf.DUMMYFUNCTION("""COMPUTED_VALUE"""),45951.3488795601)</f>
        <v>45951.348879560101</v>
      </c>
      <c r="B1443" s="1" t="str">
        <f ca="1">IFERROR(__xludf.DUMMYFUNCTION("""COMPUTED_VALUE"""),"領料")</f>
        <v>領料</v>
      </c>
      <c r="C1443" s="1" t="str">
        <f ca="1">IFERROR(__xludf.DUMMYFUNCTION("""COMPUTED_VALUE"""),"ME0060000277")</f>
        <v>ME0060000277</v>
      </c>
      <c r="D1443" s="1" t="str">
        <f ca="1">IFERROR(__xludf.DUMMYFUNCTION("""COMPUTED_VALUE"""),"All/共用")</f>
        <v>All/共用</v>
      </c>
      <c r="E1443" s="1" t="str">
        <f ca="1">IFERROR(__xludf.DUMMYFUNCTION("""COMPUTED_VALUE"""),"p2/庫存")</f>
        <v>p2/庫存</v>
      </c>
      <c r="F1443" s="1">
        <f ca="1">IFERROR(__xludf.DUMMYFUNCTION("""COMPUTED_VALUE"""),1)</f>
        <v>1</v>
      </c>
      <c r="G1443" s="1"/>
      <c r="H1443" s="1" t="str">
        <f ca="1">IFERROR(__xludf.DUMMYFUNCTION("""COMPUTED_VALUE"""),"P2_044")</f>
        <v>P2_044</v>
      </c>
      <c r="I1443" s="1" t="str">
        <f ca="1">IFERROR(__xludf.DUMMYFUNCTION("""COMPUTED_VALUE"""),"Jason")</f>
        <v>Jason</v>
      </c>
    </row>
    <row r="1444" spans="1:9" ht="12.7" x14ac:dyDescent="0.4">
      <c r="A1444" s="2">
        <f ca="1">IFERROR(__xludf.DUMMYFUNCTION("""COMPUTED_VALUE"""),45952.2632415277)</f>
        <v>45952.263241527697</v>
      </c>
      <c r="B1444" s="1" t="str">
        <f ca="1">IFERROR(__xludf.DUMMYFUNCTION("""COMPUTED_VALUE"""),"領料")</f>
        <v>領料</v>
      </c>
      <c r="C1444" s="1" t="str">
        <f ca="1">IFERROR(__xludf.DUMMYFUNCTION("""COMPUTED_VALUE"""),"A00700000837")</f>
        <v>A00700000837</v>
      </c>
      <c r="D1444" s="1" t="str">
        <f ca="1">IFERROR(__xludf.DUMMYFUNCTION("""COMPUTED_VALUE"""),"All/COLOR")</f>
        <v>All/COLOR</v>
      </c>
      <c r="E1444" s="1" t="str">
        <f ca="1">IFERROR(__xludf.DUMMYFUNCTION("""COMPUTED_VALUE"""),"p2/庫存")</f>
        <v>p2/庫存</v>
      </c>
      <c r="F1444" s="1">
        <f ca="1">IFERROR(__xludf.DUMMYFUNCTION("""COMPUTED_VALUE"""),3)</f>
        <v>3</v>
      </c>
      <c r="G1444" s="1"/>
      <c r="H1444" s="1" t="str">
        <f ca="1">IFERROR(__xludf.DUMMYFUNCTION("""COMPUTED_VALUE"""),"P2_3002")</f>
        <v>P2_3002</v>
      </c>
      <c r="I1444" s="1" t="str">
        <f ca="1">IFERROR(__xludf.DUMMYFUNCTION("""COMPUTED_VALUE"""),"Jason")</f>
        <v>Jason</v>
      </c>
    </row>
    <row r="1445" spans="1:9" ht="12.7" x14ac:dyDescent="0.4">
      <c r="A1445" s="2">
        <f ca="1">IFERROR(__xludf.DUMMYFUNCTION("""COMPUTED_VALUE"""),45952.3752695833)</f>
        <v>45952.375269583303</v>
      </c>
      <c r="B1445" s="1" t="str">
        <f ca="1">IFERROR(__xludf.DUMMYFUNCTION("""COMPUTED_VALUE"""),"庫存調整")</f>
        <v>庫存調整</v>
      </c>
      <c r="C1445" s="1" t="str">
        <f ca="1">IFERROR(__xludf.DUMMYFUNCTION("""COMPUTED_VALUE"""),"AGT000000005")</f>
        <v>AGT000000005</v>
      </c>
      <c r="D1445" s="1" t="str">
        <f ca="1">IFERROR(__xludf.DUMMYFUNCTION("""COMPUTED_VALUE"""),"All/共用")</f>
        <v>All/共用</v>
      </c>
      <c r="E1445" s="1" t="str">
        <f ca="1">IFERROR(__xludf.DUMMYFUNCTION("""COMPUTED_VALUE"""),"p1/庫存")</f>
        <v>p1/庫存</v>
      </c>
      <c r="F1445" s="1">
        <f ca="1">IFERROR(__xludf.DUMMYFUNCTION("""COMPUTED_VALUE"""),10)</f>
        <v>10</v>
      </c>
      <c r="G1445" s="1"/>
      <c r="H1445" s="1" t="str">
        <f ca="1">IFERROR(__xludf.DUMMYFUNCTION("""COMPUTED_VALUE"""),"P1")</f>
        <v>P1</v>
      </c>
      <c r="I1445" s="1" t="str">
        <f ca="1">IFERROR(__xludf.DUMMYFUNCTION("""COMPUTED_VALUE"""),"Chiao Yu")</f>
        <v>Chiao Yu</v>
      </c>
    </row>
    <row r="1446" spans="1:9" ht="12.7" x14ac:dyDescent="0.4">
      <c r="A1446" s="2">
        <f ca="1">IFERROR(__xludf.DUMMYFUNCTION("""COMPUTED_VALUE"""),45952.4726318402)</f>
        <v>45952.472631840203</v>
      </c>
      <c r="B1446" s="1" t="str">
        <f ca="1">IFERROR(__xludf.DUMMYFUNCTION("""COMPUTED_VALUE"""),"進貨")</f>
        <v>進貨</v>
      </c>
      <c r="C1446" s="1" t="str">
        <f ca="1">IFERROR(__xludf.DUMMYFUNCTION("""COMPUTED_VALUE"""),"MM0260000259")</f>
        <v>MM0260000259</v>
      </c>
      <c r="D1446" s="1" t="str">
        <f ca="1">IFERROR(__xludf.DUMMYFUNCTION("""COMPUTED_VALUE"""),"All/SB")</f>
        <v>All/SB</v>
      </c>
      <c r="E1446" s="1" t="str">
        <f ca="1">IFERROR(__xludf.DUMMYFUNCTION("""COMPUTED_VALUE"""),"p1/庫存")</f>
        <v>p1/庫存</v>
      </c>
      <c r="F1446" s="1">
        <f ca="1">IFERROR(__xludf.DUMMYFUNCTION("""COMPUTED_VALUE"""),3)</f>
        <v>3</v>
      </c>
      <c r="G1446" s="1"/>
      <c r="H1446" s="1" t="str">
        <f ca="1">IFERROR(__xludf.DUMMYFUNCTION("""COMPUTED_VALUE"""),"P1")</f>
        <v>P1</v>
      </c>
      <c r="I1446" s="1" t="str">
        <f ca="1">IFERROR(__xludf.DUMMYFUNCTION("""COMPUTED_VALUE"""),"Chiao Yu")</f>
        <v>Chiao Yu</v>
      </c>
    </row>
    <row r="1447" spans="1:9" ht="12.7" x14ac:dyDescent="0.4">
      <c r="A1447" s="2">
        <f ca="1">IFERROR(__xludf.DUMMYFUNCTION("""COMPUTED_VALUE"""),45952.4730359606)</f>
        <v>45952.473035960596</v>
      </c>
      <c r="B1447" s="1" t="str">
        <f ca="1">IFERROR(__xludf.DUMMYFUNCTION("""COMPUTED_VALUE"""),"進貨")</f>
        <v>進貨</v>
      </c>
      <c r="C1447" s="1" t="str">
        <f ca="1">IFERROR(__xludf.DUMMYFUNCTION("""COMPUTED_VALUE"""),"MM0260000259")</f>
        <v>MM0260000259</v>
      </c>
      <c r="D1447" s="1" t="str">
        <f ca="1">IFERROR(__xludf.DUMMYFUNCTION("""COMPUTED_VALUE"""),"All/SB")</f>
        <v>All/SB</v>
      </c>
      <c r="E1447" s="1" t="str">
        <f ca="1">IFERROR(__xludf.DUMMYFUNCTION("""COMPUTED_VALUE"""),"p2/庫存")</f>
        <v>p2/庫存</v>
      </c>
      <c r="F1447" s="1">
        <f ca="1">IFERROR(__xludf.DUMMYFUNCTION("""COMPUTED_VALUE"""),8)</f>
        <v>8</v>
      </c>
      <c r="G1447" s="1"/>
      <c r="H1447" s="1" t="str">
        <f ca="1">IFERROR(__xludf.DUMMYFUNCTION("""COMPUTED_VALUE"""),"P2")</f>
        <v>P2</v>
      </c>
      <c r="I1447" s="1" t="str">
        <f ca="1">IFERROR(__xludf.DUMMYFUNCTION("""COMPUTED_VALUE"""),"Chiao Yu")</f>
        <v>Chiao Yu</v>
      </c>
    </row>
    <row r="1448" spans="1:9" ht="12.7" x14ac:dyDescent="0.4">
      <c r="A1448" s="2">
        <f ca="1">IFERROR(__xludf.DUMMYFUNCTION("""COMPUTED_VALUE"""),45952.757856875)</f>
        <v>45952.757856875003</v>
      </c>
      <c r="B1448" s="1" t="str">
        <f ca="1">IFERROR(__xludf.DUMMYFUNCTION("""COMPUTED_VALUE"""),"庫存調整")</f>
        <v>庫存調整</v>
      </c>
      <c r="C1448" s="1" t="str">
        <f ca="1">IFERROR(__xludf.DUMMYFUNCTION("""COMPUTED_VALUE"""),"A00700000837")</f>
        <v>A00700000837</v>
      </c>
      <c r="D1448" s="1" t="str">
        <f ca="1">IFERROR(__xludf.DUMMYFUNCTION("""COMPUTED_VALUE"""),"All/COLOR")</f>
        <v>All/COLOR</v>
      </c>
      <c r="E1448" s="1" t="str">
        <f ca="1">IFERROR(__xludf.DUMMYFUNCTION("""COMPUTED_VALUE"""),"p1/庫存")</f>
        <v>p1/庫存</v>
      </c>
      <c r="F1448" s="1">
        <f ca="1">IFERROR(__xludf.DUMMYFUNCTION("""COMPUTED_VALUE"""),-2)</f>
        <v>-2</v>
      </c>
      <c r="G1448" s="1"/>
      <c r="H1448" s="1" t="str">
        <f ca="1">IFERROR(__xludf.DUMMYFUNCTION("""COMPUTED_VALUE"""),"P1")</f>
        <v>P1</v>
      </c>
      <c r="I1448" s="1" t="str">
        <f ca="1">IFERROR(__xludf.DUMMYFUNCTION("""COMPUTED_VALUE"""),"Chiao Yu")</f>
        <v>Chiao Yu</v>
      </c>
    </row>
    <row r="1449" spans="1:9" ht="12.7" x14ac:dyDescent="0.4">
      <c r="A1449" s="2">
        <f ca="1">IFERROR(__xludf.DUMMYFUNCTION("""COMPUTED_VALUE"""),45952.7581614583)</f>
        <v>45952.758161458303</v>
      </c>
      <c r="B1449" s="1" t="str">
        <f ca="1">IFERROR(__xludf.DUMMYFUNCTION("""COMPUTED_VALUE"""),"庫存調整")</f>
        <v>庫存調整</v>
      </c>
      <c r="C1449" s="1" t="str">
        <f ca="1">IFERROR(__xludf.DUMMYFUNCTION("""COMPUTED_VALUE"""),"A00700000837")</f>
        <v>A00700000837</v>
      </c>
      <c r="D1449" s="1" t="str">
        <f ca="1">IFERROR(__xludf.DUMMYFUNCTION("""COMPUTED_VALUE"""),"All/COLOR")</f>
        <v>All/COLOR</v>
      </c>
      <c r="E1449" s="1" t="str">
        <f ca="1">IFERROR(__xludf.DUMMYFUNCTION("""COMPUTED_VALUE"""),"p2/庫存")</f>
        <v>p2/庫存</v>
      </c>
      <c r="F1449" s="1">
        <f ca="1">IFERROR(__xludf.DUMMYFUNCTION("""COMPUTED_VALUE"""),2)</f>
        <v>2</v>
      </c>
      <c r="G1449" s="1"/>
      <c r="H1449" s="1" t="str">
        <f ca="1">IFERROR(__xludf.DUMMYFUNCTION("""COMPUTED_VALUE"""),"P2")</f>
        <v>P2</v>
      </c>
      <c r="I1449" s="1" t="str">
        <f ca="1">IFERROR(__xludf.DUMMYFUNCTION("""COMPUTED_VALUE"""),"Chiao Yu")</f>
        <v>Chiao Yu</v>
      </c>
    </row>
    <row r="1450" spans="1:9" ht="12.7" x14ac:dyDescent="0.4">
      <c r="A1450" s="2">
        <f ca="1">IFERROR(__xludf.DUMMYFUNCTION("""COMPUTED_VALUE"""),45953.2644889467)</f>
        <v>45953.264488946697</v>
      </c>
      <c r="B1450" s="1" t="str">
        <f ca="1">IFERROR(__xludf.DUMMYFUNCTION("""COMPUTED_VALUE"""),"領料")</f>
        <v>領料</v>
      </c>
      <c r="C1450" s="1" t="str">
        <f ca="1">IFERROR(__xludf.DUMMYFUNCTION("""COMPUTED_VALUE"""),"A00700000837")</f>
        <v>A00700000837</v>
      </c>
      <c r="D1450" s="1" t="str">
        <f ca="1">IFERROR(__xludf.DUMMYFUNCTION("""COMPUTED_VALUE"""),"All/COLOR")</f>
        <v>All/COLOR</v>
      </c>
      <c r="E1450" s="1" t="str">
        <f ca="1">IFERROR(__xludf.DUMMYFUNCTION("""COMPUTED_VALUE"""),"p1/庫存")</f>
        <v>p1/庫存</v>
      </c>
      <c r="F1450" s="1">
        <f ca="1">IFERROR(__xludf.DUMMYFUNCTION("""COMPUTED_VALUE"""),3)</f>
        <v>3</v>
      </c>
      <c r="G1450" s="1"/>
      <c r="H1450" s="1" t="str">
        <f ca="1">IFERROR(__xludf.DUMMYFUNCTION("""COMPUTED_VALUE"""),"P3_3001")</f>
        <v>P3_3001</v>
      </c>
      <c r="I1450" s="1" t="str">
        <f ca="1">IFERROR(__xludf.DUMMYFUNCTION("""COMPUTED_VALUE"""),"Jason")</f>
        <v>Jason</v>
      </c>
    </row>
    <row r="1451" spans="1:9" ht="12.7" x14ac:dyDescent="0.4">
      <c r="A1451" s="2">
        <f ca="1">IFERROR(__xludf.DUMMYFUNCTION("""COMPUTED_VALUE"""),45957.4653757291)</f>
        <v>45957.465375729102</v>
      </c>
      <c r="B1451" s="1" t="str">
        <f ca="1">IFERROR(__xludf.DUMMYFUNCTION("""COMPUTED_VALUE"""),"領料")</f>
        <v>領料</v>
      </c>
      <c r="C1451" s="1" t="str">
        <f ca="1">IFERROR(__xludf.DUMMYFUNCTION("""COMPUTED_VALUE"""),"MM0260000259")</f>
        <v>MM0260000259</v>
      </c>
      <c r="D1451" s="1" t="str">
        <f ca="1">IFERROR(__xludf.DUMMYFUNCTION("""COMPUTED_VALUE"""),"All/SB")</f>
        <v>All/SB</v>
      </c>
      <c r="E1451" s="1" t="str">
        <f ca="1">IFERROR(__xludf.DUMMYFUNCTION("""COMPUTED_VALUE"""),"p2/庫存")</f>
        <v>p2/庫存</v>
      </c>
      <c r="F1451" s="1">
        <f ca="1">IFERROR(__xludf.DUMMYFUNCTION("""COMPUTED_VALUE"""),2)</f>
        <v>2</v>
      </c>
      <c r="G1451" s="1"/>
      <c r="H1451" s="1" t="str">
        <f ca="1">IFERROR(__xludf.DUMMYFUNCTION("""COMPUTED_VALUE"""),"P2_4005,P2_9002")</f>
        <v>P2_4005,P2_9002</v>
      </c>
      <c r="I1451" s="1" t="str">
        <f ca="1">IFERROR(__xludf.DUMMYFUNCTION("""COMPUTED_VALUE"""),"Chiao Yu")</f>
        <v>Chiao Yu</v>
      </c>
    </row>
    <row r="1452" spans="1:9" ht="12.7" x14ac:dyDescent="0.4">
      <c r="A1452" s="2">
        <f ca="1">IFERROR(__xludf.DUMMYFUNCTION("""COMPUTED_VALUE"""),45957.4668107986)</f>
        <v>45957.4668107986</v>
      </c>
      <c r="B1452" s="1" t="str">
        <f ca="1">IFERROR(__xludf.DUMMYFUNCTION("""COMPUTED_VALUE"""),"領料")</f>
        <v>領料</v>
      </c>
      <c r="C1452" s="1" t="str">
        <f ca="1">IFERROR(__xludf.DUMMYFUNCTION("""COMPUTED_VALUE"""),"A00700000862")</f>
        <v>A00700000862</v>
      </c>
      <c r="D1452" s="1" t="str">
        <f ca="1">IFERROR(__xludf.DUMMYFUNCTION("""COMPUTED_VALUE"""),"All/SB")</f>
        <v>All/SB</v>
      </c>
      <c r="E1452" s="1" t="str">
        <f ca="1">IFERROR(__xludf.DUMMYFUNCTION("""COMPUTED_VALUE"""),"p2/庫存")</f>
        <v>p2/庫存</v>
      </c>
      <c r="F1452" s="1">
        <f ca="1">IFERROR(__xludf.DUMMYFUNCTION("""COMPUTED_VALUE"""),3)</f>
        <v>3</v>
      </c>
      <c r="G1452" s="1"/>
      <c r="H1452" s="1" t="str">
        <f ca="1">IFERROR(__xludf.DUMMYFUNCTION("""COMPUTED_VALUE"""),"P2_4005")</f>
        <v>P2_4005</v>
      </c>
      <c r="I1452" s="1" t="str">
        <f ca="1">IFERROR(__xludf.DUMMYFUNCTION("""COMPUTED_VALUE"""),"Chiao Yu")</f>
        <v>Chiao Yu</v>
      </c>
    </row>
    <row r="1453" spans="1:9" ht="12.7" x14ac:dyDescent="0.4">
      <c r="A1453" s="2">
        <f ca="1">IFERROR(__xludf.DUMMYFUNCTION("""COMPUTED_VALUE"""),45958.4291146875)</f>
        <v>45958.429114687497</v>
      </c>
      <c r="B1453" s="1" t="str">
        <f ca="1">IFERROR(__xludf.DUMMYFUNCTION("""COMPUTED_VALUE"""),"送修")</f>
        <v>送修</v>
      </c>
      <c r="C1453" s="1" t="str">
        <f ca="1">IFERROR(__xludf.DUMMYFUNCTION("""COMPUTED_VALUE"""),"A00100000731")</f>
        <v>A00100000731</v>
      </c>
      <c r="D1453" s="1" t="str">
        <f ca="1">IFERROR(__xludf.DUMMYFUNCTION("""COMPUTED_VALUE"""),"All/BA")</f>
        <v>All/BA</v>
      </c>
      <c r="E1453" s="1" t="str">
        <f ca="1">IFERROR(__xludf.DUMMYFUNCTION("""COMPUTED_VALUE"""),"p2/庫存")</f>
        <v>p2/庫存</v>
      </c>
      <c r="F1453" s="1">
        <f ca="1">IFERROR(__xludf.DUMMYFUNCTION("""COMPUTED_VALUE"""),1)</f>
        <v>1</v>
      </c>
      <c r="G1453" s="1" t="str">
        <f ca="1">IFERROR(__xludf.DUMMYFUNCTION("""COMPUTED_VALUE"""),"03F607")</f>
        <v>03F607</v>
      </c>
      <c r="H1453" s="1" t="str">
        <f ca="1">IFERROR(__xludf.DUMMYFUNCTION("""COMPUTED_VALUE"""),"P3_030")</f>
        <v>P3_030</v>
      </c>
      <c r="I1453" s="1" t="str">
        <f ca="1">IFERROR(__xludf.DUMMYFUNCTION("""COMPUTED_VALUE"""),"Barry")</f>
        <v>Barry</v>
      </c>
    </row>
    <row r="1454" spans="1:9" ht="12.7" x14ac:dyDescent="0.4">
      <c r="A1454" s="2">
        <f ca="1">IFERROR(__xludf.DUMMYFUNCTION("""COMPUTED_VALUE"""),45960.3609314467)</f>
        <v>45960.360931446703</v>
      </c>
      <c r="B1454" s="1" t="str">
        <f ca="1">IFERROR(__xludf.DUMMYFUNCTION("""COMPUTED_VALUE"""),"領料")</f>
        <v>領料</v>
      </c>
      <c r="C1454" s="1" t="str">
        <f ca="1">IFERROR(__xludf.DUMMYFUNCTION("""COMPUTED_VALUE"""),"ME0120000230")</f>
        <v>ME0120000230</v>
      </c>
      <c r="D1454" s="1" t="str">
        <f ca="1">IFERROR(__xludf.DUMMYFUNCTION("""COMPUTED_VALUE"""),"All/共用")</f>
        <v>All/共用</v>
      </c>
      <c r="E1454" s="1" t="str">
        <f ca="1">IFERROR(__xludf.DUMMYFUNCTION("""COMPUTED_VALUE"""),"p1/庫存")</f>
        <v>p1/庫存</v>
      </c>
      <c r="F1454" s="1">
        <f ca="1">IFERROR(__xludf.DUMMYFUNCTION("""COMPUTED_VALUE"""),1)</f>
        <v>1</v>
      </c>
      <c r="G1454" s="1"/>
      <c r="H1454" s="1" t="str">
        <f ca="1">IFERROR(__xludf.DUMMYFUNCTION("""COMPUTED_VALUE"""),"P3_030")</f>
        <v>P3_030</v>
      </c>
      <c r="I1454" s="1" t="str">
        <f ca="1">IFERROR(__xludf.DUMMYFUNCTION("""COMPUTED_VALUE"""),"Barry")</f>
        <v>Barry</v>
      </c>
    </row>
    <row r="1455" spans="1:9" ht="12.7" x14ac:dyDescent="0.4">
      <c r="A1455" s="2">
        <f ca="1">IFERROR(__xludf.DUMMYFUNCTION("""COMPUTED_VALUE"""),45960.6401467013)</f>
        <v>45960.640146701298</v>
      </c>
      <c r="B1455" s="1" t="str">
        <f ca="1">IFERROR(__xludf.DUMMYFUNCTION("""COMPUTED_VALUE"""),"進貨")</f>
        <v>進貨</v>
      </c>
      <c r="C1455" s="1" t="str">
        <f ca="1">IFERROR(__xludf.DUMMYFUNCTION("""COMPUTED_VALUE"""),"MM0260000249")</f>
        <v>MM0260000249</v>
      </c>
      <c r="D1455" s="1" t="str">
        <f ca="1">IFERROR(__xludf.DUMMYFUNCTION("""COMPUTED_VALUE"""),"All/RL")</f>
        <v>All/RL</v>
      </c>
      <c r="E1455" s="1" t="str">
        <f ca="1">IFERROR(__xludf.DUMMYFUNCTION("""COMPUTED_VALUE"""),"p1/庫存")</f>
        <v>p1/庫存</v>
      </c>
      <c r="F1455" s="1">
        <f ca="1">IFERROR(__xludf.DUMMYFUNCTION("""COMPUTED_VALUE"""),1)</f>
        <v>1</v>
      </c>
      <c r="G1455" s="1"/>
      <c r="H1455" s="1" t="str">
        <f ca="1">IFERROR(__xludf.DUMMYFUNCTION("""COMPUTED_VALUE"""),"P3")</f>
        <v>P3</v>
      </c>
      <c r="I1455" s="1" t="str">
        <f ca="1">IFERROR(__xludf.DUMMYFUNCTION("""COMPUTED_VALUE"""),"Simon")</f>
        <v>Simon</v>
      </c>
    </row>
    <row r="1456" spans="1:9" ht="12.7" x14ac:dyDescent="0.4">
      <c r="A1456" s="2">
        <f ca="1">IFERROR(__xludf.DUMMYFUNCTION("""COMPUTED_VALUE"""),45960.6408478356)</f>
        <v>45960.640847835602</v>
      </c>
      <c r="B1456" s="1" t="str">
        <f ca="1">IFERROR(__xludf.DUMMYFUNCTION("""COMPUTED_VALUE"""),"進貨")</f>
        <v>進貨</v>
      </c>
      <c r="C1456" s="1" t="str">
        <f ca="1">IFERROR(__xludf.DUMMYFUNCTION("""COMPUTED_VALUE"""),"MM0260000249")</f>
        <v>MM0260000249</v>
      </c>
      <c r="D1456" s="1" t="str">
        <f ca="1">IFERROR(__xludf.DUMMYFUNCTION("""COMPUTED_VALUE"""),"All/RL")</f>
        <v>All/RL</v>
      </c>
      <c r="E1456" s="1" t="str">
        <f ca="1">IFERROR(__xludf.DUMMYFUNCTION("""COMPUTED_VALUE"""),"p2/庫存")</f>
        <v>p2/庫存</v>
      </c>
      <c r="F1456" s="1">
        <f ca="1">IFERROR(__xludf.DUMMYFUNCTION("""COMPUTED_VALUE"""),5)</f>
        <v>5</v>
      </c>
      <c r="G1456" s="1"/>
      <c r="H1456" s="1" t="str">
        <f ca="1">IFERROR(__xludf.DUMMYFUNCTION("""COMPUTED_VALUE"""),"P2")</f>
        <v>P2</v>
      </c>
      <c r="I1456" s="1" t="str">
        <f ca="1">IFERROR(__xludf.DUMMYFUNCTION("""COMPUTED_VALUE"""),"Simon")</f>
        <v>Simon</v>
      </c>
    </row>
    <row r="1457" spans="1:9" ht="12.7" x14ac:dyDescent="0.4">
      <c r="A1457" s="2">
        <f ca="1">IFERROR(__xludf.DUMMYFUNCTION("""COMPUTED_VALUE"""),45960.642516956)</f>
        <v>45960.642516956003</v>
      </c>
      <c r="B1457" s="1" t="str">
        <f ca="1">IFERROR(__xludf.DUMMYFUNCTION("""COMPUTED_VALUE"""),"進貨")</f>
        <v>進貨</v>
      </c>
      <c r="C1457" s="1" t="str">
        <f ca="1">IFERROR(__xludf.DUMMYFUNCTION("""COMPUTED_VALUE"""),"MM0010000125")</f>
        <v>MM0010000125</v>
      </c>
      <c r="D1457" s="1" t="str">
        <f ca="1">IFERROR(__xludf.DUMMYFUNCTION("""COMPUTED_VALUE"""),"All/RL")</f>
        <v>All/RL</v>
      </c>
      <c r="E1457" s="1" t="str">
        <f ca="1">IFERROR(__xludf.DUMMYFUNCTION("""COMPUTED_VALUE"""),"p2/庫存")</f>
        <v>p2/庫存</v>
      </c>
      <c r="F1457" s="1">
        <f ca="1">IFERROR(__xludf.DUMMYFUNCTION("""COMPUTED_VALUE"""),4)</f>
        <v>4</v>
      </c>
      <c r="G1457" s="1"/>
      <c r="H1457" s="1" t="str">
        <f ca="1">IFERROR(__xludf.DUMMYFUNCTION("""COMPUTED_VALUE"""),"P2")</f>
        <v>P2</v>
      </c>
      <c r="I1457" s="1" t="str">
        <f ca="1">IFERROR(__xludf.DUMMYFUNCTION("""COMPUTED_VALUE"""),"Simon")</f>
        <v>Simon</v>
      </c>
    </row>
    <row r="1458" spans="1:9" ht="12.7" x14ac:dyDescent="0.4">
      <c r="A1458" s="2">
        <f ca="1">IFERROR(__xludf.DUMMYFUNCTION("""COMPUTED_VALUE"""),45960.645815625)</f>
        <v>45960.645815625001</v>
      </c>
      <c r="B1458" s="1" t="str">
        <f ca="1">IFERROR(__xludf.DUMMYFUNCTION("""COMPUTED_VALUE"""),"進貨")</f>
        <v>進貨</v>
      </c>
      <c r="C1458" s="1" t="str">
        <f ca="1">IFERROR(__xludf.DUMMYFUNCTION("""COMPUTED_VALUE"""),"MM0260000199")</f>
        <v>MM0260000199</v>
      </c>
      <c r="D1458" s="1" t="str">
        <f ca="1">IFERROR(__xludf.DUMMYFUNCTION("""COMPUTED_VALUE"""),"All/RL")</f>
        <v>All/RL</v>
      </c>
      <c r="E1458" s="1" t="str">
        <f ca="1">IFERROR(__xludf.DUMMYFUNCTION("""COMPUTED_VALUE"""),"p1/庫存")</f>
        <v>p1/庫存</v>
      </c>
      <c r="F1458" s="1">
        <f ca="1">IFERROR(__xludf.DUMMYFUNCTION("""COMPUTED_VALUE"""),2)</f>
        <v>2</v>
      </c>
      <c r="G1458" s="1"/>
      <c r="H1458" s="1" t="str">
        <f ca="1">IFERROR(__xludf.DUMMYFUNCTION("""COMPUTED_VALUE"""),"P3")</f>
        <v>P3</v>
      </c>
      <c r="I1458" s="1" t="str">
        <f ca="1">IFERROR(__xludf.DUMMYFUNCTION("""COMPUTED_VALUE"""),"Simon")</f>
        <v>Simon</v>
      </c>
    </row>
    <row r="1459" spans="1:9" ht="12.7" x14ac:dyDescent="0.4">
      <c r="A1459" s="2">
        <f ca="1">IFERROR(__xludf.DUMMYFUNCTION("""COMPUTED_VALUE"""),45960.6464571527)</f>
        <v>45960.646457152703</v>
      </c>
      <c r="B1459" s="1" t="str">
        <f ca="1">IFERROR(__xludf.DUMMYFUNCTION("""COMPUTED_VALUE"""),"進貨")</f>
        <v>進貨</v>
      </c>
      <c r="C1459" s="1" t="str">
        <f ca="1">IFERROR(__xludf.DUMMYFUNCTION("""COMPUTED_VALUE"""),"MM0260000199")</f>
        <v>MM0260000199</v>
      </c>
      <c r="D1459" s="1" t="str">
        <f ca="1">IFERROR(__xludf.DUMMYFUNCTION("""COMPUTED_VALUE"""),"All/RL")</f>
        <v>All/RL</v>
      </c>
      <c r="E1459" s="1" t="str">
        <f ca="1">IFERROR(__xludf.DUMMYFUNCTION("""COMPUTED_VALUE"""),"p2/庫存")</f>
        <v>p2/庫存</v>
      </c>
      <c r="F1459" s="1">
        <f ca="1">IFERROR(__xludf.DUMMYFUNCTION("""COMPUTED_VALUE"""),3)</f>
        <v>3</v>
      </c>
      <c r="G1459" s="1"/>
      <c r="H1459" s="1" t="str">
        <f ca="1">IFERROR(__xludf.DUMMYFUNCTION("""COMPUTED_VALUE"""),"P2")</f>
        <v>P2</v>
      </c>
      <c r="I1459" s="1" t="str">
        <f ca="1">IFERROR(__xludf.DUMMYFUNCTION("""COMPUTED_VALUE"""),"Simon")</f>
        <v>Simon</v>
      </c>
    </row>
    <row r="1460" spans="1:9" ht="12.7" x14ac:dyDescent="0.4">
      <c r="A1460" s="2">
        <f ca="1">IFERROR(__xludf.DUMMYFUNCTION("""COMPUTED_VALUE"""),45960.6505803472)</f>
        <v>45960.650580347203</v>
      </c>
      <c r="B1460" s="1" t="str">
        <f ca="1">IFERROR(__xludf.DUMMYFUNCTION("""COMPUTED_VALUE"""),"進貨")</f>
        <v>進貨</v>
      </c>
      <c r="C1460" s="1" t="str">
        <f ca="1">IFERROR(__xludf.DUMMYFUNCTION("""COMPUTED_VALUE"""),"MM0260000200")</f>
        <v>MM0260000200</v>
      </c>
      <c r="D1460" s="1" t="str">
        <f ca="1">IFERROR(__xludf.DUMMYFUNCTION("""COMPUTED_VALUE"""),"All/RL")</f>
        <v>All/RL</v>
      </c>
      <c r="E1460" s="1" t="str">
        <f ca="1">IFERROR(__xludf.DUMMYFUNCTION("""COMPUTED_VALUE"""),"p1/庫存")</f>
        <v>p1/庫存</v>
      </c>
      <c r="F1460" s="1">
        <f ca="1">IFERROR(__xludf.DUMMYFUNCTION("""COMPUTED_VALUE"""),1)</f>
        <v>1</v>
      </c>
      <c r="G1460" s="1"/>
      <c r="H1460" s="1" t="str">
        <f ca="1">IFERROR(__xludf.DUMMYFUNCTION("""COMPUTED_VALUE"""),"P3")</f>
        <v>P3</v>
      </c>
      <c r="I1460" s="1" t="str">
        <f ca="1">IFERROR(__xludf.DUMMYFUNCTION("""COMPUTED_VALUE"""),"Simon")</f>
        <v>Simon</v>
      </c>
    </row>
    <row r="1461" spans="1:9" ht="12.7" x14ac:dyDescent="0.4">
      <c r="A1461" s="2">
        <f ca="1">IFERROR(__xludf.DUMMYFUNCTION("""COMPUTED_VALUE"""),45960.6516071643)</f>
        <v>45960.651607164298</v>
      </c>
      <c r="B1461" s="1" t="str">
        <f ca="1">IFERROR(__xludf.DUMMYFUNCTION("""COMPUTED_VALUE"""),"進貨")</f>
        <v>進貨</v>
      </c>
      <c r="C1461" s="1" t="str">
        <f ca="1">IFERROR(__xludf.DUMMYFUNCTION("""COMPUTED_VALUE"""),"MM0260000200")</f>
        <v>MM0260000200</v>
      </c>
      <c r="D1461" s="1" t="str">
        <f ca="1">IFERROR(__xludf.DUMMYFUNCTION("""COMPUTED_VALUE"""),"All/RL")</f>
        <v>All/RL</v>
      </c>
      <c r="E1461" s="1" t="str">
        <f ca="1">IFERROR(__xludf.DUMMYFUNCTION("""COMPUTED_VALUE"""),"p2/庫存")</f>
        <v>p2/庫存</v>
      </c>
      <c r="F1461" s="1">
        <f ca="1">IFERROR(__xludf.DUMMYFUNCTION("""COMPUTED_VALUE"""),3)</f>
        <v>3</v>
      </c>
      <c r="G1461" s="1"/>
      <c r="H1461" s="1" t="str">
        <f ca="1">IFERROR(__xludf.DUMMYFUNCTION("""COMPUTED_VALUE"""),"P2")</f>
        <v>P2</v>
      </c>
      <c r="I1461" s="1" t="str">
        <f ca="1">IFERROR(__xludf.DUMMYFUNCTION("""COMPUTED_VALUE"""),"Simon")</f>
        <v>Simon</v>
      </c>
    </row>
    <row r="1462" spans="1:9" ht="12.7" x14ac:dyDescent="0.4">
      <c r="A1462" s="2">
        <f ca="1">IFERROR(__xludf.DUMMYFUNCTION("""COMPUTED_VALUE"""),45960.6538039236)</f>
        <v>45960.653803923597</v>
      </c>
      <c r="B1462" s="1" t="str">
        <f ca="1">IFERROR(__xludf.DUMMYFUNCTION("""COMPUTED_VALUE"""),"進貨")</f>
        <v>進貨</v>
      </c>
      <c r="C1462" s="1" t="str">
        <f ca="1">IFERROR(__xludf.DUMMYFUNCTION("""COMPUTED_VALUE"""),"ME0120000048")</f>
        <v>ME0120000048</v>
      </c>
      <c r="D1462" s="1" t="str">
        <f ca="1">IFERROR(__xludf.DUMMYFUNCTION("""COMPUTED_VALUE"""),"All/RL")</f>
        <v>All/RL</v>
      </c>
      <c r="E1462" s="1" t="str">
        <f ca="1">IFERROR(__xludf.DUMMYFUNCTION("""COMPUTED_VALUE"""),"p1/庫存")</f>
        <v>p1/庫存</v>
      </c>
      <c r="F1462" s="1">
        <f ca="1">IFERROR(__xludf.DUMMYFUNCTION("""COMPUTED_VALUE"""),6)</f>
        <v>6</v>
      </c>
      <c r="G1462" s="1"/>
      <c r="H1462" s="1" t="str">
        <f ca="1">IFERROR(__xludf.DUMMYFUNCTION("""COMPUTED_VALUE"""),"P3")</f>
        <v>P3</v>
      </c>
      <c r="I1462" s="1" t="str">
        <f ca="1">IFERROR(__xludf.DUMMYFUNCTION("""COMPUTED_VALUE"""),"Simon")</f>
        <v>Simon</v>
      </c>
    </row>
    <row r="1463" spans="1:9" ht="12.7" x14ac:dyDescent="0.4">
      <c r="A1463" s="2">
        <f ca="1">IFERROR(__xludf.DUMMYFUNCTION("""COMPUTED_VALUE"""),45960.6542529166)</f>
        <v>45960.654252916604</v>
      </c>
      <c r="B1463" s="1" t="str">
        <f ca="1">IFERROR(__xludf.DUMMYFUNCTION("""COMPUTED_VALUE"""),"進貨")</f>
        <v>進貨</v>
      </c>
      <c r="C1463" s="1" t="str">
        <f ca="1">IFERROR(__xludf.DUMMYFUNCTION("""COMPUTED_VALUE"""),"ME0120000048")</f>
        <v>ME0120000048</v>
      </c>
      <c r="D1463" s="1" t="str">
        <f ca="1">IFERROR(__xludf.DUMMYFUNCTION("""COMPUTED_VALUE"""),"All/RL")</f>
        <v>All/RL</v>
      </c>
      <c r="E1463" s="1" t="str">
        <f ca="1">IFERROR(__xludf.DUMMYFUNCTION("""COMPUTED_VALUE"""),"p2/庫存")</f>
        <v>p2/庫存</v>
      </c>
      <c r="F1463" s="1">
        <f ca="1">IFERROR(__xludf.DUMMYFUNCTION("""COMPUTED_VALUE"""),6)</f>
        <v>6</v>
      </c>
      <c r="G1463" s="1"/>
      <c r="H1463" s="1" t="str">
        <f ca="1">IFERROR(__xludf.DUMMYFUNCTION("""COMPUTED_VALUE"""),"P2")</f>
        <v>P2</v>
      </c>
      <c r="I1463" s="1" t="str">
        <f ca="1">IFERROR(__xludf.DUMMYFUNCTION("""COMPUTED_VALUE"""),"Simon")</f>
        <v>Simon</v>
      </c>
    </row>
    <row r="1464" spans="1:9" ht="12.7" x14ac:dyDescent="0.4">
      <c r="A1464" s="2">
        <f ca="1">IFERROR(__xludf.DUMMYFUNCTION("""COMPUTED_VALUE"""),45960.6553791203)</f>
        <v>45960.655379120297</v>
      </c>
      <c r="B1464" s="1" t="str">
        <f ca="1">IFERROR(__xludf.DUMMYFUNCTION("""COMPUTED_VALUE"""),"進貨")</f>
        <v>進貨</v>
      </c>
      <c r="C1464" s="1" t="str">
        <f ca="1">IFERROR(__xludf.DUMMYFUNCTION("""COMPUTED_VALUE"""),"ME0120000230")</f>
        <v>ME0120000230</v>
      </c>
      <c r="D1464" s="1" t="str">
        <f ca="1">IFERROR(__xludf.DUMMYFUNCTION("""COMPUTED_VALUE"""),"All/共用")</f>
        <v>All/共用</v>
      </c>
      <c r="E1464" s="1" t="str">
        <f ca="1">IFERROR(__xludf.DUMMYFUNCTION("""COMPUTED_VALUE"""),"p1/庫存")</f>
        <v>p1/庫存</v>
      </c>
      <c r="F1464" s="1">
        <f ca="1">IFERROR(__xludf.DUMMYFUNCTION("""COMPUTED_VALUE"""),1)</f>
        <v>1</v>
      </c>
      <c r="G1464" s="1"/>
      <c r="H1464" s="1" t="str">
        <f ca="1">IFERROR(__xludf.DUMMYFUNCTION("""COMPUTED_VALUE"""),"P3")</f>
        <v>P3</v>
      </c>
      <c r="I1464" s="1" t="str">
        <f ca="1">IFERROR(__xludf.DUMMYFUNCTION("""COMPUTED_VALUE"""),"Simon")</f>
        <v>Simon</v>
      </c>
    </row>
    <row r="1465" spans="1:9" ht="12.7" x14ac:dyDescent="0.4">
      <c r="A1465" s="2">
        <f ca="1">IFERROR(__xludf.DUMMYFUNCTION("""COMPUTED_VALUE"""),45960.6559257291)</f>
        <v>45960.655925729101</v>
      </c>
      <c r="B1465" s="1" t="str">
        <f ca="1">IFERROR(__xludf.DUMMYFUNCTION("""COMPUTED_VALUE"""),"進貨")</f>
        <v>進貨</v>
      </c>
      <c r="C1465" s="1" t="str">
        <f ca="1">IFERROR(__xludf.DUMMYFUNCTION("""COMPUTED_VALUE"""),"ME0120000230")</f>
        <v>ME0120000230</v>
      </c>
      <c r="D1465" s="1" t="str">
        <f ca="1">IFERROR(__xludf.DUMMYFUNCTION("""COMPUTED_VALUE"""),"All/共用")</f>
        <v>All/共用</v>
      </c>
      <c r="E1465" s="1" t="str">
        <f ca="1">IFERROR(__xludf.DUMMYFUNCTION("""COMPUTED_VALUE"""),"p2/庫存")</f>
        <v>p2/庫存</v>
      </c>
      <c r="F1465" s="1">
        <f ca="1">IFERROR(__xludf.DUMMYFUNCTION("""COMPUTED_VALUE"""),1)</f>
        <v>1</v>
      </c>
      <c r="G1465" s="1"/>
      <c r="H1465" s="1" t="str">
        <f ca="1">IFERROR(__xludf.DUMMYFUNCTION("""COMPUTED_VALUE"""),"P2")</f>
        <v>P2</v>
      </c>
      <c r="I1465" s="1" t="str">
        <f ca="1">IFERROR(__xludf.DUMMYFUNCTION("""COMPUTED_VALUE"""),"Simon")</f>
        <v>Simon</v>
      </c>
    </row>
    <row r="1466" spans="1:9" ht="12.7" x14ac:dyDescent="0.4">
      <c r="A1466" s="2">
        <f ca="1">IFERROR(__xludf.DUMMYFUNCTION("""COMPUTED_VALUE"""),45960.6756069213)</f>
        <v>45960.675606921301</v>
      </c>
      <c r="B1466" s="1" t="str">
        <f ca="1">IFERROR(__xludf.DUMMYFUNCTION("""COMPUTED_VALUE"""),"進貨")</f>
        <v>進貨</v>
      </c>
      <c r="C1466" s="1" t="str">
        <f ca="1">IFERROR(__xludf.DUMMYFUNCTION("""COMPUTED_VALUE"""),"A00700000862")</f>
        <v>A00700000862</v>
      </c>
      <c r="D1466" s="1" t="str">
        <f ca="1">IFERROR(__xludf.DUMMYFUNCTION("""COMPUTED_VALUE"""),"All/SB")</f>
        <v>All/SB</v>
      </c>
      <c r="E1466" s="1" t="str">
        <f ca="1">IFERROR(__xludf.DUMMYFUNCTION("""COMPUTED_VALUE"""),"p1/庫存")</f>
        <v>p1/庫存</v>
      </c>
      <c r="F1466" s="1">
        <f ca="1">IFERROR(__xludf.DUMMYFUNCTION("""COMPUTED_VALUE"""),6)</f>
        <v>6</v>
      </c>
      <c r="G1466" s="1"/>
      <c r="H1466" s="1" t="str">
        <f ca="1">IFERROR(__xludf.DUMMYFUNCTION("""COMPUTED_VALUE"""),"P3")</f>
        <v>P3</v>
      </c>
      <c r="I1466" s="1" t="str">
        <f ca="1">IFERROR(__xludf.DUMMYFUNCTION("""COMPUTED_VALUE"""),"Simon")</f>
        <v>Simon</v>
      </c>
    </row>
    <row r="1467" spans="1:9" ht="12.7" x14ac:dyDescent="0.4">
      <c r="A1467" s="2">
        <f ca="1">IFERROR(__xludf.DUMMYFUNCTION("""COMPUTED_VALUE"""),45960.6761711689)</f>
        <v>45960.676171168903</v>
      </c>
      <c r="B1467" s="1" t="str">
        <f ca="1">IFERROR(__xludf.DUMMYFUNCTION("""COMPUTED_VALUE"""),"進貨")</f>
        <v>進貨</v>
      </c>
      <c r="C1467" s="1" t="str">
        <f ca="1">IFERROR(__xludf.DUMMYFUNCTION("""COMPUTED_VALUE"""),"A00700000862")</f>
        <v>A00700000862</v>
      </c>
      <c r="D1467" s="1" t="str">
        <f ca="1">IFERROR(__xludf.DUMMYFUNCTION("""COMPUTED_VALUE"""),"All/SB")</f>
        <v>All/SB</v>
      </c>
      <c r="E1467" s="1" t="str">
        <f ca="1">IFERROR(__xludf.DUMMYFUNCTION("""COMPUTED_VALUE"""),"p2/庫存")</f>
        <v>p2/庫存</v>
      </c>
      <c r="F1467" s="1">
        <f ca="1">IFERROR(__xludf.DUMMYFUNCTION("""COMPUTED_VALUE"""),18)</f>
        <v>18</v>
      </c>
      <c r="G1467" s="1"/>
      <c r="H1467" s="1" t="str">
        <f ca="1">IFERROR(__xludf.DUMMYFUNCTION("""COMPUTED_VALUE"""),"P2")</f>
        <v>P2</v>
      </c>
      <c r="I1467" s="1" t="str">
        <f ca="1">IFERROR(__xludf.DUMMYFUNCTION("""COMPUTED_VALUE"""),"Simon")</f>
        <v>Simon</v>
      </c>
    </row>
    <row r="1468" spans="1:9" ht="12.7" x14ac:dyDescent="0.4">
      <c r="A1468" s="2">
        <f ca="1">IFERROR(__xludf.DUMMYFUNCTION("""COMPUTED_VALUE"""),45966.2236134259)</f>
        <v>45966.2236134259</v>
      </c>
      <c r="B1468" s="1" t="str">
        <f ca="1">IFERROR(__xludf.DUMMYFUNCTION("""COMPUTED_VALUE"""),"領料")</f>
        <v>領料</v>
      </c>
      <c r="C1468" s="1" t="str">
        <f ca="1">IFERROR(__xludf.DUMMYFUNCTION("""COMPUTED_VALUE"""),"ME0120000230")</f>
        <v>ME0120000230</v>
      </c>
      <c r="D1468" s="1" t="str">
        <f ca="1">IFERROR(__xludf.DUMMYFUNCTION("""COMPUTED_VALUE"""),"All/共用")</f>
        <v>All/共用</v>
      </c>
      <c r="E1468" s="1" t="str">
        <f ca="1">IFERROR(__xludf.DUMMYFUNCTION("""COMPUTED_VALUE"""),"p2/庫存")</f>
        <v>p2/庫存</v>
      </c>
      <c r="F1468" s="1">
        <f ca="1">IFERROR(__xludf.DUMMYFUNCTION("""COMPUTED_VALUE"""),1)</f>
        <v>1</v>
      </c>
      <c r="G1468" s="1"/>
      <c r="H1468" s="1" t="str">
        <f ca="1">IFERROR(__xludf.DUMMYFUNCTION("""COMPUTED_VALUE"""),"P2_041")</f>
        <v>P2_041</v>
      </c>
      <c r="I1468" s="1" t="str">
        <f ca="1">IFERROR(__xludf.DUMMYFUNCTION("""COMPUTED_VALUE"""),"Jason")</f>
        <v>Jason</v>
      </c>
    </row>
    <row r="1469" spans="1:9" ht="12.7" x14ac:dyDescent="0.4">
      <c r="A1469" s="2">
        <f ca="1">IFERROR(__xludf.DUMMYFUNCTION("""COMPUTED_VALUE"""),45966.2243190972)</f>
        <v>45966.2243190972</v>
      </c>
      <c r="B1469" s="1" t="str">
        <f ca="1">IFERROR(__xludf.DUMMYFUNCTION("""COMPUTED_VALUE"""),"料件上線時間")</f>
        <v>料件上線時間</v>
      </c>
      <c r="C1469" s="1" t="str">
        <f ca="1">IFERROR(__xludf.DUMMYFUNCTION("""COMPUTED_VALUE"""),"ME0120000230")</f>
        <v>ME0120000230</v>
      </c>
      <c r="D1469" s="1" t="str">
        <f ca="1">IFERROR(__xludf.DUMMYFUNCTION("""COMPUTED_VALUE"""),"All/共用")</f>
        <v>All/共用</v>
      </c>
      <c r="E1469" s="1" t="str">
        <f ca="1">IFERROR(__xludf.DUMMYFUNCTION("""COMPUTED_VALUE"""),"p2/庫存")</f>
        <v>p2/庫存</v>
      </c>
      <c r="F1469" s="1">
        <f ca="1">IFERROR(__xludf.DUMMYFUNCTION("""COMPUTED_VALUE"""),1)</f>
        <v>1</v>
      </c>
      <c r="G1469" s="1"/>
      <c r="H1469" s="1" t="str">
        <f ca="1">IFERROR(__xludf.DUMMYFUNCTION("""COMPUTED_VALUE"""),"P2_041")</f>
        <v>P2_041</v>
      </c>
      <c r="I1469" s="1" t="str">
        <f ca="1">IFERROR(__xludf.DUMMYFUNCTION("""COMPUTED_VALUE"""),"Jason")</f>
        <v>Jason</v>
      </c>
    </row>
    <row r="1470" spans="1:9" ht="12.7" x14ac:dyDescent="0.4">
      <c r="A1470" s="2">
        <f ca="1">IFERROR(__xludf.DUMMYFUNCTION("""COMPUTED_VALUE"""),45966.7271854398)</f>
        <v>45966.727185439799</v>
      </c>
      <c r="B1470" s="1" t="str">
        <f ca="1">IFERROR(__xludf.DUMMYFUNCTION("""COMPUTED_VALUE"""),"庫存調整")</f>
        <v>庫存調整</v>
      </c>
      <c r="C1470" s="1" t="str">
        <f ca="1">IFERROR(__xludf.DUMMYFUNCTION("""COMPUTED_VALUE"""),"ME0020000637")</f>
        <v>ME0020000637</v>
      </c>
      <c r="D1470" s="1" t="str">
        <f ca="1">IFERROR(__xludf.DUMMYFUNCTION("""COMPUTED_VALUE"""),"All/共用")</f>
        <v>All/共用</v>
      </c>
      <c r="E1470" s="1" t="str">
        <f ca="1">IFERROR(__xludf.DUMMYFUNCTION("""COMPUTED_VALUE"""),"p1/庫存")</f>
        <v>p1/庫存</v>
      </c>
      <c r="F1470" s="1">
        <f ca="1">IFERROR(__xludf.DUMMYFUNCTION("""COMPUTED_VALUE"""),3)</f>
        <v>3</v>
      </c>
      <c r="G1470" s="1"/>
      <c r="H1470" s="1" t="str">
        <f ca="1">IFERROR(__xludf.DUMMYFUNCTION("""COMPUTED_VALUE"""),"P1")</f>
        <v>P1</v>
      </c>
      <c r="I1470" s="1" t="str">
        <f ca="1">IFERROR(__xludf.DUMMYFUNCTION("""COMPUTED_VALUE"""),"Chiao Yu")</f>
        <v>Chiao Yu</v>
      </c>
    </row>
    <row r="1471" spans="1:9" ht="12.7" x14ac:dyDescent="0.4">
      <c r="A1471" s="2">
        <f ca="1">IFERROR(__xludf.DUMMYFUNCTION("""COMPUTED_VALUE"""),45971.2509876851)</f>
        <v>45971.250987685104</v>
      </c>
      <c r="B1471" s="1" t="str">
        <f ca="1">IFERROR(__xludf.DUMMYFUNCTION("""COMPUTED_VALUE"""),"領料")</f>
        <v>領料</v>
      </c>
      <c r="C1471" s="1" t="str">
        <f ca="1">IFERROR(__xludf.DUMMYFUNCTION("""COMPUTED_VALUE"""),"MM0260000259")</f>
        <v>MM0260000259</v>
      </c>
      <c r="D1471" s="1" t="str">
        <f ca="1">IFERROR(__xludf.DUMMYFUNCTION("""COMPUTED_VALUE"""),"All/SB")</f>
        <v>All/SB</v>
      </c>
      <c r="E1471" s="1" t="str">
        <f ca="1">IFERROR(__xludf.DUMMYFUNCTION("""COMPUTED_VALUE"""),"p1/庫存")</f>
        <v>p1/庫存</v>
      </c>
      <c r="F1471" s="1">
        <f ca="1">IFERROR(__xludf.DUMMYFUNCTION("""COMPUTED_VALUE"""),1)</f>
        <v>1</v>
      </c>
      <c r="G1471" s="1"/>
      <c r="H1471" s="1" t="str">
        <f ca="1">IFERROR(__xludf.DUMMYFUNCTION("""COMPUTED_VALUE"""),"P3_9003")</f>
        <v>P3_9003</v>
      </c>
      <c r="I1471" s="1" t="str">
        <f ca="1">IFERROR(__xludf.DUMMYFUNCTION("""COMPUTED_VALUE"""),"Nick")</f>
        <v>Nick</v>
      </c>
    </row>
    <row r="1472" spans="1:9" ht="12.7" x14ac:dyDescent="0.4">
      <c r="A1472" s="2">
        <f ca="1">IFERROR(__xludf.DUMMYFUNCTION("""COMPUTED_VALUE"""),45971.5627959143)</f>
        <v>45971.562795914302</v>
      </c>
      <c r="B1472" s="1" t="str">
        <f ca="1">IFERROR(__xludf.DUMMYFUNCTION("""COMPUTED_VALUE"""),"返修")</f>
        <v>返修</v>
      </c>
      <c r="C1472" s="1" t="str">
        <f ca="1">IFERROR(__xludf.DUMMYFUNCTION("""COMPUTED_VALUE"""),"A00100000731")</f>
        <v>A00100000731</v>
      </c>
      <c r="D1472" s="1" t="str">
        <f ca="1">IFERROR(__xludf.DUMMYFUNCTION("""COMPUTED_VALUE"""),"All/BA")</f>
        <v>All/BA</v>
      </c>
      <c r="E1472" s="1" t="str">
        <f ca="1">IFERROR(__xludf.DUMMYFUNCTION("""COMPUTED_VALUE"""),"p1/庫存")</f>
        <v>p1/庫存</v>
      </c>
      <c r="F1472" s="1">
        <f ca="1">IFERROR(__xludf.DUMMYFUNCTION("""COMPUTED_VALUE"""),1)</f>
        <v>1</v>
      </c>
      <c r="G1472" s="1" t="str">
        <f ca="1">IFERROR(__xludf.DUMMYFUNCTION("""COMPUTED_VALUE"""),"03F607")</f>
        <v>03F607</v>
      </c>
      <c r="H1472" s="1" t="str">
        <f ca="1">IFERROR(__xludf.DUMMYFUNCTION("""COMPUTED_VALUE"""),"P3")</f>
        <v>P3</v>
      </c>
      <c r="I1472" s="1" t="str">
        <f ca="1">IFERROR(__xludf.DUMMYFUNCTION("""COMPUTED_VALUE"""),"Simon")</f>
        <v>Simon</v>
      </c>
    </row>
    <row r="1473" spans="1:9" ht="12.7" x14ac:dyDescent="0.4">
      <c r="A1473" s="2">
        <f ca="1">IFERROR(__xludf.DUMMYFUNCTION("""COMPUTED_VALUE"""),45971.5656171412)</f>
        <v>45971.565617141197</v>
      </c>
      <c r="B1473" s="1" t="str">
        <f ca="1">IFERROR(__xludf.DUMMYFUNCTION("""COMPUTED_VALUE"""),"返修")</f>
        <v>返修</v>
      </c>
      <c r="C1473" s="1" t="str">
        <f ca="1">IFERROR(__xludf.DUMMYFUNCTION("""COMPUTED_VALUE"""),"A00100000731")</f>
        <v>A00100000731</v>
      </c>
      <c r="D1473" s="1" t="str">
        <f ca="1">IFERROR(__xludf.DUMMYFUNCTION("""COMPUTED_VALUE"""),"All/BA")</f>
        <v>All/BA</v>
      </c>
      <c r="E1473" s="1" t="str">
        <f ca="1">IFERROR(__xludf.DUMMYFUNCTION("""COMPUTED_VALUE"""),"p1/庫存")</f>
        <v>p1/庫存</v>
      </c>
      <c r="F1473" s="1">
        <f ca="1">IFERROR(__xludf.DUMMYFUNCTION("""COMPUTED_VALUE"""),1)</f>
        <v>1</v>
      </c>
      <c r="G1473" s="1" t="str">
        <f ca="1">IFERROR(__xludf.DUMMYFUNCTION("""COMPUTED_VALUE"""),"04F387")</f>
        <v>04F387</v>
      </c>
      <c r="H1473" s="1" t="str">
        <f ca="1">IFERROR(__xludf.DUMMYFUNCTION("""COMPUTED_VALUE"""),"P3")</f>
        <v>P3</v>
      </c>
      <c r="I1473" s="1" t="str">
        <f ca="1">IFERROR(__xludf.DUMMYFUNCTION("""COMPUTED_VALUE"""),"Simon")</f>
        <v>Simon</v>
      </c>
    </row>
    <row r="1474" spans="1:9" ht="12.7" x14ac:dyDescent="0.4">
      <c r="A1474" s="2">
        <f ca="1">IFERROR(__xludf.DUMMYFUNCTION("""COMPUTED_VALUE"""),45972.2365268287)</f>
        <v>45972.236526828703</v>
      </c>
      <c r="B1474" s="1" t="str">
        <f ca="1">IFERROR(__xludf.DUMMYFUNCTION("""COMPUTED_VALUE"""),"送修")</f>
        <v>送修</v>
      </c>
      <c r="C1474" s="1" t="str">
        <f ca="1">IFERROR(__xludf.DUMMYFUNCTION("""COMPUTED_VALUE"""),"A00100000731")</f>
        <v>A00100000731</v>
      </c>
      <c r="D1474" s="1" t="str">
        <f ca="1">IFERROR(__xludf.DUMMYFUNCTION("""COMPUTED_VALUE"""),"All/BA")</f>
        <v>All/BA</v>
      </c>
      <c r="E1474" s="1" t="str">
        <f ca="1">IFERROR(__xludf.DUMMYFUNCTION("""COMPUTED_VALUE"""),"p1/庫存")</f>
        <v>p1/庫存</v>
      </c>
      <c r="F1474" s="1">
        <f ca="1">IFERROR(__xludf.DUMMYFUNCTION("""COMPUTED_VALUE"""),1)</f>
        <v>1</v>
      </c>
      <c r="G1474" s="1" t="str">
        <f ca="1">IFERROR(__xludf.DUMMYFUNCTION("""COMPUTED_VALUE"""),"04F226")</f>
        <v>04F226</v>
      </c>
      <c r="H1474" s="1" t="str">
        <f ca="1">IFERROR(__xludf.DUMMYFUNCTION("""COMPUTED_VALUE"""),"P3_029")</f>
        <v>P3_029</v>
      </c>
      <c r="I1474" s="1" t="str">
        <f ca="1">IFERROR(__xludf.DUMMYFUNCTION("""COMPUTED_VALUE"""),"Nick")</f>
        <v>Nick</v>
      </c>
    </row>
    <row r="1475" spans="1:9" ht="12.7" x14ac:dyDescent="0.4">
      <c r="A1475" s="2">
        <f ca="1">IFERROR(__xludf.DUMMYFUNCTION("""COMPUTED_VALUE"""),45972.2751480092)</f>
        <v>45972.275148009197</v>
      </c>
      <c r="B1475" s="1" t="str">
        <f ca="1">IFERROR(__xludf.DUMMYFUNCTION("""COMPUTED_VALUE"""),"送修")</f>
        <v>送修</v>
      </c>
      <c r="C1475" s="1" t="str">
        <f ca="1">IFERROR(__xludf.DUMMYFUNCTION("""COMPUTED_VALUE"""),"A00100000731")</f>
        <v>A00100000731</v>
      </c>
      <c r="D1475" s="1" t="str">
        <f ca="1">IFERROR(__xludf.DUMMYFUNCTION("""COMPUTED_VALUE"""),"All/BA")</f>
        <v>All/BA</v>
      </c>
      <c r="E1475" s="1" t="str">
        <f ca="1">IFERROR(__xludf.DUMMYFUNCTION("""COMPUTED_VALUE"""),"p1/庫存")</f>
        <v>p1/庫存</v>
      </c>
      <c r="F1475" s="1">
        <f ca="1">IFERROR(__xludf.DUMMYFUNCTION("""COMPUTED_VALUE"""),1)</f>
        <v>1</v>
      </c>
      <c r="G1475" s="1" t="str">
        <f ca="1">IFERROR(__xludf.DUMMYFUNCTION("""COMPUTED_VALUE"""),"06F206")</f>
        <v>06F206</v>
      </c>
      <c r="H1475" s="1" t="str">
        <f ca="1">IFERROR(__xludf.DUMMYFUNCTION("""COMPUTED_VALUE"""),"P3_004")</f>
        <v>P3_004</v>
      </c>
      <c r="I1475" s="1" t="str">
        <f ca="1">IFERROR(__xludf.DUMMYFUNCTION("""COMPUTED_VALUE"""),"Nick")</f>
        <v>Nick</v>
      </c>
    </row>
    <row r="1476" spans="1:9" ht="12.7" x14ac:dyDescent="0.4">
      <c r="A1476" s="2">
        <f ca="1">IFERROR(__xludf.DUMMYFUNCTION("""COMPUTED_VALUE"""),45972.8010055439)</f>
        <v>45972.801005543901</v>
      </c>
      <c r="B1476" s="1" t="str">
        <f ca="1">IFERROR(__xludf.DUMMYFUNCTION("""COMPUTED_VALUE"""),"送修")</f>
        <v>送修</v>
      </c>
      <c r="C1476" s="1" t="str">
        <f ca="1">IFERROR(__xludf.DUMMYFUNCTION("""COMPUTED_VALUE"""),"ME0070000140")</f>
        <v>ME0070000140</v>
      </c>
      <c r="D1476" s="1" t="str">
        <f ca="1">IFERROR(__xludf.DUMMYFUNCTION("""COMPUTED_VALUE"""),"All/BA")</f>
        <v>All/BA</v>
      </c>
      <c r="E1476" s="1" t="str">
        <f ca="1">IFERROR(__xludf.DUMMYFUNCTION("""COMPUTED_VALUE"""),"p1/庫存")</f>
        <v>p1/庫存</v>
      </c>
      <c r="F1476" s="1">
        <f ca="1">IFERROR(__xludf.DUMMYFUNCTION("""COMPUTED_VALUE"""),1)</f>
        <v>1</v>
      </c>
      <c r="G1476" s="1" t="str">
        <f ca="1">IFERROR(__xludf.DUMMYFUNCTION("""COMPUTED_VALUE"""),"100A-2522C0008-2204")</f>
        <v>100A-2522C0008-2204</v>
      </c>
      <c r="H1476" s="1" t="str">
        <f ca="1">IFERROR(__xludf.DUMMYFUNCTION("""COMPUTED_VALUE"""),"P3_002")</f>
        <v>P3_002</v>
      </c>
      <c r="I1476" s="1" t="str">
        <f ca="1">IFERROR(__xludf.DUMMYFUNCTION("""COMPUTED_VALUE"""),"Chiao Yu")</f>
        <v>Chiao Yu</v>
      </c>
    </row>
    <row r="1477" spans="1:9" ht="12.7" x14ac:dyDescent="0.4">
      <c r="A1477" s="2">
        <f ca="1">IFERROR(__xludf.DUMMYFUNCTION("""COMPUTED_VALUE"""),45972.8031579976)</f>
        <v>45972.803157997601</v>
      </c>
      <c r="B1477" s="1" t="str">
        <f ca="1">IFERROR(__xludf.DUMMYFUNCTION("""COMPUTED_VALUE"""),"料件上線時間")</f>
        <v>料件上線時間</v>
      </c>
      <c r="C1477" s="1" t="str">
        <f ca="1">IFERROR(__xludf.DUMMYFUNCTION("""COMPUTED_VALUE"""),"ME0070000140")</f>
        <v>ME0070000140</v>
      </c>
      <c r="D1477" s="1" t="str">
        <f ca="1">IFERROR(__xludf.DUMMYFUNCTION("""COMPUTED_VALUE"""),"All/BA")</f>
        <v>All/BA</v>
      </c>
      <c r="E1477" s="1" t="str">
        <f ca="1">IFERROR(__xludf.DUMMYFUNCTION("""COMPUTED_VALUE"""),"p1/庫存")</f>
        <v>p1/庫存</v>
      </c>
      <c r="F1477" s="1">
        <f ca="1">IFERROR(__xludf.DUMMYFUNCTION("""COMPUTED_VALUE"""),1)</f>
        <v>1</v>
      </c>
      <c r="G1477" s="1" t="str">
        <f ca="1">IFERROR(__xludf.DUMMYFUNCTION("""COMPUTED_VALUE"""),"100A-2523K0026-2409")</f>
        <v>100A-2523K0026-2409</v>
      </c>
      <c r="H1477" s="1" t="str">
        <f ca="1">IFERROR(__xludf.DUMMYFUNCTION("""COMPUTED_VALUE"""),"P3_002")</f>
        <v>P3_002</v>
      </c>
      <c r="I1477" s="1" t="str">
        <f ca="1">IFERROR(__xludf.DUMMYFUNCTION("""COMPUTED_VALUE"""),"Chiao Yu")</f>
        <v>Chiao Yu</v>
      </c>
    </row>
    <row r="1478" spans="1:9" ht="12.7" x14ac:dyDescent="0.4">
      <c r="A1478" s="2">
        <f ca="1">IFERROR(__xludf.DUMMYFUNCTION("""COMPUTED_VALUE"""),45974.0458027314)</f>
        <v>45974.045802731402</v>
      </c>
      <c r="B1478" s="1" t="str">
        <f ca="1">IFERROR(__xludf.DUMMYFUNCTION("""COMPUTED_VALUE"""),"料件上線時間")</f>
        <v>料件上線時間</v>
      </c>
      <c r="C1478" s="1" t="str">
        <f ca="1">IFERROR(__xludf.DUMMYFUNCTION("""COMPUTED_VALUE"""),"ME0160000073")</f>
        <v>ME0160000073</v>
      </c>
      <c r="D1478" s="1" t="str">
        <f ca="1">IFERROR(__xludf.DUMMYFUNCTION("""COMPUTED_VALUE"""),"All/BA")</f>
        <v>All/BA</v>
      </c>
      <c r="E1478" s="1" t="str">
        <f ca="1">IFERROR(__xludf.DUMMYFUNCTION("""COMPUTED_VALUE"""),"p1/庫存")</f>
        <v>p1/庫存</v>
      </c>
      <c r="F1478" s="1">
        <f ca="1">IFERROR(__xludf.DUMMYFUNCTION("""COMPUTED_VALUE"""),1)</f>
        <v>1</v>
      </c>
      <c r="G1478" s="1" t="str">
        <f ca="1">IFERROR(__xludf.DUMMYFUNCTION("""COMPUTED_VALUE"""),"B1707308")</f>
        <v>B1707308</v>
      </c>
      <c r="H1478" s="1" t="str">
        <f ca="1">IFERROR(__xludf.DUMMYFUNCTION("""COMPUTED_VALUE"""),"P1_005")</f>
        <v>P1_005</v>
      </c>
      <c r="I1478" s="1" t="str">
        <f ca="1">IFERROR(__xludf.DUMMYFUNCTION("""COMPUTED_VALUE"""),"Jason")</f>
        <v>Jason</v>
      </c>
    </row>
    <row r="1479" spans="1:9" ht="12.7" x14ac:dyDescent="0.4">
      <c r="A1479" s="2">
        <f ca="1">IFERROR(__xludf.DUMMYFUNCTION("""COMPUTED_VALUE"""),45974.9992297453)</f>
        <v>45974.999229745299</v>
      </c>
      <c r="B1479" s="1" t="str">
        <f ca="1">IFERROR(__xludf.DUMMYFUNCTION("""COMPUTED_VALUE"""),"領料")</f>
        <v>領料</v>
      </c>
      <c r="C1479" s="1" t="str">
        <f ca="1">IFERROR(__xludf.DUMMYFUNCTION("""COMPUTED_VALUE"""),"AGT000000005")</f>
        <v>AGT000000005</v>
      </c>
      <c r="D1479" s="1" t="str">
        <f ca="1">IFERROR(__xludf.DUMMYFUNCTION("""COMPUTED_VALUE"""),"All/BA")</f>
        <v>All/BA</v>
      </c>
      <c r="E1479" s="1" t="str">
        <f ca="1">IFERROR(__xludf.DUMMYFUNCTION("""COMPUTED_VALUE"""),"p2/庫存")</f>
        <v>p2/庫存</v>
      </c>
      <c r="F1479" s="1">
        <f ca="1">IFERROR(__xludf.DUMMYFUNCTION("""COMPUTED_VALUE"""),1)</f>
        <v>1</v>
      </c>
      <c r="G1479" s="1"/>
      <c r="H1479" s="1" t="str">
        <f ca="1">IFERROR(__xludf.DUMMYFUNCTION("""COMPUTED_VALUE"""),"P2_2004")</f>
        <v>P2_2004</v>
      </c>
      <c r="I1479" s="1" t="str">
        <f ca="1">IFERROR(__xludf.DUMMYFUNCTION("""COMPUTED_VALUE"""),"Nick")</f>
        <v>Nick</v>
      </c>
    </row>
    <row r="1480" spans="1:9" ht="12.7" x14ac:dyDescent="0.4">
      <c r="A1480" s="2">
        <f ca="1">IFERROR(__xludf.DUMMYFUNCTION("""COMPUTED_VALUE"""),45975.0035524768)</f>
        <v>45975.003552476803</v>
      </c>
      <c r="B1480" s="1" t="str">
        <f ca="1">IFERROR(__xludf.DUMMYFUNCTION("""COMPUTED_VALUE"""),"送修")</f>
        <v>送修</v>
      </c>
      <c r="C1480" s="1" t="str">
        <f ca="1">IFERROR(__xludf.DUMMYFUNCTION("""COMPUTED_VALUE"""),"ME0070000140")</f>
        <v>ME0070000140</v>
      </c>
      <c r="D1480" s="1" t="str">
        <f ca="1">IFERROR(__xludf.DUMMYFUNCTION("""COMPUTED_VALUE"""),"All/BA")</f>
        <v>All/BA</v>
      </c>
      <c r="E1480" s="1" t="str">
        <f ca="1">IFERROR(__xludf.DUMMYFUNCTION("""COMPUTED_VALUE"""),"p2/庫存")</f>
        <v>p2/庫存</v>
      </c>
      <c r="F1480" s="1">
        <f ca="1">IFERROR(__xludf.DUMMYFUNCTION("""COMPUTED_VALUE"""),1)</f>
        <v>1</v>
      </c>
      <c r="G1480" s="1" t="str">
        <f ca="1">IFERROR(__xludf.DUMMYFUNCTION("""COMPUTED_VALUE"""),"100A-2523D0020-2307")</f>
        <v>100A-2523D0020-2307</v>
      </c>
      <c r="H1480" s="1" t="str">
        <f ca="1">IFERROR(__xludf.DUMMYFUNCTION("""COMPUTED_VALUE"""),"P2-039")</f>
        <v>P2-039</v>
      </c>
      <c r="I1480" s="1" t="str">
        <f ca="1">IFERROR(__xludf.DUMMYFUNCTION("""COMPUTED_VALUE"""),"Jason")</f>
        <v>Jason</v>
      </c>
    </row>
    <row r="1481" spans="1:9" ht="12.7" x14ac:dyDescent="0.4">
      <c r="A1481" s="2">
        <f ca="1">IFERROR(__xludf.DUMMYFUNCTION("""COMPUTED_VALUE"""),45975.0053036921)</f>
        <v>45975.005303692102</v>
      </c>
      <c r="B1481" s="1" t="str">
        <f ca="1">IFERROR(__xludf.DUMMYFUNCTION("""COMPUTED_VALUE"""),"料件上線時間")</f>
        <v>料件上線時間</v>
      </c>
      <c r="C1481" s="1" t="str">
        <f ca="1">IFERROR(__xludf.DUMMYFUNCTION("""COMPUTED_VALUE"""),"ME0070000140")</f>
        <v>ME0070000140</v>
      </c>
      <c r="D1481" s="1" t="str">
        <f ca="1">IFERROR(__xludf.DUMMYFUNCTION("""COMPUTED_VALUE"""),"All/BA")</f>
        <v>All/BA</v>
      </c>
      <c r="E1481" s="1" t="str">
        <f ca="1">IFERROR(__xludf.DUMMYFUNCTION("""COMPUTED_VALUE"""),"p2/庫存")</f>
        <v>p2/庫存</v>
      </c>
      <c r="F1481" s="1">
        <f ca="1">IFERROR(__xludf.DUMMYFUNCTION("""COMPUTED_VALUE"""),1)</f>
        <v>1</v>
      </c>
      <c r="G1481" s="1" t="str">
        <f ca="1">IFERROR(__xludf.DUMMYFUNCTION("""COMPUTED_VALUE"""),"100A-25/24L0006-2507")</f>
        <v>100A-25/24L0006-2507</v>
      </c>
      <c r="H1481" s="1" t="str">
        <f ca="1">IFERROR(__xludf.DUMMYFUNCTION("""COMPUTED_VALUE"""),"P2_039")</f>
        <v>P2_039</v>
      </c>
      <c r="I1481" s="1" t="str">
        <f ca="1">IFERROR(__xludf.DUMMYFUNCTION("""COMPUTED_VALUE"""),"Jason")</f>
        <v>Jason</v>
      </c>
    </row>
    <row r="1482" spans="1:9" ht="12.7" x14ac:dyDescent="0.4">
      <c r="A1482" s="2">
        <f ca="1">IFERROR(__xludf.DUMMYFUNCTION("""COMPUTED_VALUE"""),45975.6354597569)</f>
        <v>45975.635459756901</v>
      </c>
      <c r="B1482" s="1" t="str">
        <f ca="1">IFERROR(__xludf.DUMMYFUNCTION("""COMPUTED_VALUE"""),"領料")</f>
        <v>領料</v>
      </c>
      <c r="C1482" s="1" t="str">
        <f ca="1">IFERROR(__xludf.DUMMYFUNCTION("""COMPUTED_VALUE"""),"MM0090000047")</f>
        <v>MM0090000047</v>
      </c>
      <c r="D1482" s="1" t="str">
        <f ca="1">IFERROR(__xludf.DUMMYFUNCTION("""COMPUTED_VALUE"""),"All/BA")</f>
        <v>All/BA</v>
      </c>
      <c r="E1482" s="1" t="str">
        <f ca="1">IFERROR(__xludf.DUMMYFUNCTION("""COMPUTED_VALUE"""),"p1/庫存")</f>
        <v>p1/庫存</v>
      </c>
      <c r="F1482" s="1">
        <f ca="1">IFERROR(__xludf.DUMMYFUNCTION("""COMPUTED_VALUE"""),16)</f>
        <v>16</v>
      </c>
      <c r="G1482" s="1"/>
      <c r="H1482" s="1" t="str">
        <f ca="1">IFERROR(__xludf.DUMMYFUNCTION("""COMPUTED_VALUE"""),"P3_005")</f>
        <v>P3_005</v>
      </c>
      <c r="I1482" s="1" t="str">
        <f ca="1">IFERROR(__xludf.DUMMYFUNCTION("""COMPUTED_VALUE"""),"Chiao Yu")</f>
        <v>Chiao Yu</v>
      </c>
    </row>
    <row r="1483" spans="1:9" ht="12.7" x14ac:dyDescent="0.4">
      <c r="A1483" s="2">
        <f ca="1">IFERROR(__xludf.DUMMYFUNCTION("""COMPUTED_VALUE"""),45975.6372872916)</f>
        <v>45975.637287291604</v>
      </c>
      <c r="B1483" s="1" t="str">
        <f ca="1">IFERROR(__xludf.DUMMYFUNCTION("""COMPUTED_VALUE"""),"領料")</f>
        <v>領料</v>
      </c>
      <c r="C1483" s="1" t="str">
        <f ca="1">IFERROR(__xludf.DUMMYFUNCTION("""COMPUTED_VALUE"""),"AGT000000005")</f>
        <v>AGT000000005</v>
      </c>
      <c r="D1483" s="1" t="str">
        <f ca="1">IFERROR(__xludf.DUMMYFUNCTION("""COMPUTED_VALUE"""),"All/共用")</f>
        <v>All/共用</v>
      </c>
      <c r="E1483" s="1" t="str">
        <f ca="1">IFERROR(__xludf.DUMMYFUNCTION("""COMPUTED_VALUE"""),"p2/庫存")</f>
        <v>p2/庫存</v>
      </c>
      <c r="F1483" s="1">
        <f ca="1">IFERROR(__xludf.DUMMYFUNCTION("""COMPUTED_VALUE"""),1)</f>
        <v>1</v>
      </c>
      <c r="G1483" s="1"/>
      <c r="H1483" s="1" t="str">
        <f ca="1">IFERROR(__xludf.DUMMYFUNCTION("""COMPUTED_VALUE"""),"P2_11002")</f>
        <v>P2_11002</v>
      </c>
      <c r="I1483" s="1" t="str">
        <f ca="1">IFERROR(__xludf.DUMMYFUNCTION("""COMPUTED_VALUE"""),"Chiao Yu")</f>
        <v>Chiao Yu</v>
      </c>
    </row>
    <row r="1484" spans="1:9" ht="12.7" x14ac:dyDescent="0.4">
      <c r="A1484" s="2">
        <f ca="1">IFERROR(__xludf.DUMMYFUNCTION("""COMPUTED_VALUE"""),45975.6379470949)</f>
        <v>45975.637947094903</v>
      </c>
      <c r="B1484" s="1" t="str">
        <f ca="1">IFERROR(__xludf.DUMMYFUNCTION("""COMPUTED_VALUE"""),"領料")</f>
        <v>領料</v>
      </c>
      <c r="C1484" s="1" t="str">
        <f ca="1">IFERROR(__xludf.DUMMYFUNCTION("""COMPUTED_VALUE"""),"AGT000000005")</f>
        <v>AGT000000005</v>
      </c>
      <c r="D1484" s="1" t="str">
        <f ca="1">IFERROR(__xludf.DUMMYFUNCTION("""COMPUTED_VALUE"""),"All/共用")</f>
        <v>All/共用</v>
      </c>
      <c r="E1484" s="1" t="str">
        <f ca="1">IFERROR(__xludf.DUMMYFUNCTION("""COMPUTED_VALUE"""),"p2/庫存")</f>
        <v>p2/庫存</v>
      </c>
      <c r="F1484" s="1">
        <f ca="1">IFERROR(__xludf.DUMMYFUNCTION("""COMPUTED_VALUE"""),0)</f>
        <v>0</v>
      </c>
      <c r="G1484" s="1"/>
      <c r="H1484" s="1" t="str">
        <f ca="1">IFERROR(__xludf.DUMMYFUNCTION("""COMPUTED_VALUE"""),"P2_11002")</f>
        <v>P2_11002</v>
      </c>
      <c r="I1484" s="1" t="str">
        <f ca="1">IFERROR(__xludf.DUMMYFUNCTION("""COMPUTED_VALUE"""),"Simon")</f>
        <v>Simon</v>
      </c>
    </row>
    <row r="1485" spans="1:9" ht="12.7" x14ac:dyDescent="0.4">
      <c r="A1485" s="2">
        <f ca="1">IFERROR(__xludf.DUMMYFUNCTION("""COMPUTED_VALUE"""),45978.6008107291)</f>
        <v>45978.600810729098</v>
      </c>
      <c r="B1485" s="1" t="str">
        <f ca="1">IFERROR(__xludf.DUMMYFUNCTION("""COMPUTED_VALUE"""),"領料")</f>
        <v>領料</v>
      </c>
      <c r="C1485" s="1" t="str">
        <f ca="1">IFERROR(__xludf.DUMMYFUNCTION("""COMPUTED_VALUE"""),"MM0260000259")</f>
        <v>MM0260000259</v>
      </c>
      <c r="D1485" s="1" t="str">
        <f ca="1">IFERROR(__xludf.DUMMYFUNCTION("""COMPUTED_VALUE"""),"All/SB")</f>
        <v>All/SB</v>
      </c>
      <c r="E1485" s="1" t="str">
        <f ca="1">IFERROR(__xludf.DUMMYFUNCTION("""COMPUTED_VALUE"""),"p2/庫存")</f>
        <v>p2/庫存</v>
      </c>
      <c r="F1485" s="1">
        <f ca="1">IFERROR(__xludf.DUMMYFUNCTION("""COMPUTED_VALUE"""),1)</f>
        <v>1</v>
      </c>
      <c r="G1485" s="1"/>
      <c r="H1485" s="1" t="str">
        <f ca="1">IFERROR(__xludf.DUMMYFUNCTION("""COMPUTED_VALUE"""),"P2_7002,P2_7003")</f>
        <v>P2_7002,P2_7003</v>
      </c>
      <c r="I1485" s="1" t="str">
        <f ca="1">IFERROR(__xludf.DUMMYFUNCTION("""COMPUTED_VALUE"""),"Chiao Yu")</f>
        <v>Chiao Yu</v>
      </c>
    </row>
    <row r="1486" spans="1:9" ht="12.7" x14ac:dyDescent="0.4">
      <c r="A1486" s="2">
        <f ca="1">IFERROR(__xludf.DUMMYFUNCTION("""COMPUTED_VALUE"""),45979.2752386458)</f>
        <v>45979.275238645801</v>
      </c>
      <c r="B1486" s="1" t="str">
        <f ca="1">IFERROR(__xludf.DUMMYFUNCTION("""COMPUTED_VALUE"""),"領料")</f>
        <v>領料</v>
      </c>
      <c r="C1486" s="1" t="str">
        <f ca="1">IFERROR(__xludf.DUMMYFUNCTION("""COMPUTED_VALUE"""),"MM0260000259")</f>
        <v>MM0260000259</v>
      </c>
      <c r="D1486" s="1" t="str">
        <f ca="1">IFERROR(__xludf.DUMMYFUNCTION("""COMPUTED_VALUE"""),"All/SB")</f>
        <v>All/SB</v>
      </c>
      <c r="E1486" s="1" t="str">
        <f ca="1">IFERROR(__xludf.DUMMYFUNCTION("""COMPUTED_VALUE"""),"p2/庫存")</f>
        <v>p2/庫存</v>
      </c>
      <c r="F1486" s="1">
        <f ca="1">IFERROR(__xludf.DUMMYFUNCTION("""COMPUTED_VALUE"""),1)</f>
        <v>1</v>
      </c>
      <c r="G1486" s="1"/>
      <c r="H1486" s="1" t="str">
        <f ca="1">IFERROR(__xludf.DUMMYFUNCTION("""COMPUTED_VALUE"""),"P2_7001")</f>
        <v>P2_7001</v>
      </c>
      <c r="I1486" s="1" t="str">
        <f ca="1">IFERROR(__xludf.DUMMYFUNCTION("""COMPUTED_VALUE"""),"Jason")</f>
        <v>Jason</v>
      </c>
    </row>
    <row r="1487" spans="1:9" ht="12.7" x14ac:dyDescent="0.4">
      <c r="A1487" s="2">
        <f ca="1">IFERROR(__xludf.DUMMYFUNCTION("""COMPUTED_VALUE"""),45979.2775516782)</f>
        <v>45979.277551678199</v>
      </c>
      <c r="B1487" s="1" t="str">
        <f ca="1">IFERROR(__xludf.DUMMYFUNCTION("""COMPUTED_VALUE"""),"領料")</f>
        <v>領料</v>
      </c>
      <c r="C1487" s="1" t="str">
        <f ca="1">IFERROR(__xludf.DUMMYFUNCTION("""COMPUTED_VALUE"""),"MM0260000249")</f>
        <v>MM0260000249</v>
      </c>
      <c r="D1487" s="1" t="str">
        <f ca="1">IFERROR(__xludf.DUMMYFUNCTION("""COMPUTED_VALUE"""),"All/RL")</f>
        <v>All/RL</v>
      </c>
      <c r="E1487" s="1" t="str">
        <f ca="1">IFERROR(__xludf.DUMMYFUNCTION("""COMPUTED_VALUE"""),"p1/庫存")</f>
        <v>p1/庫存</v>
      </c>
      <c r="F1487" s="1">
        <f ca="1">IFERROR(__xludf.DUMMYFUNCTION("""COMPUTED_VALUE"""),2)</f>
        <v>2</v>
      </c>
      <c r="G1487" s="1"/>
      <c r="H1487" s="1" t="str">
        <f ca="1">IFERROR(__xludf.DUMMYFUNCTION("""COMPUTED_VALUE"""),"P1_1001，P1_1002")</f>
        <v>P1_1001，P1_1002</v>
      </c>
      <c r="I1487" s="1" t="str">
        <f ca="1">IFERROR(__xludf.DUMMYFUNCTION("""COMPUTED_VALUE"""),"Jason")</f>
        <v>Jason</v>
      </c>
    </row>
    <row r="1488" spans="1:9" ht="12.7" x14ac:dyDescent="0.4">
      <c r="A1488" s="2">
        <f ca="1">IFERROR(__xludf.DUMMYFUNCTION("""COMPUTED_VALUE"""),45979.2782790046)</f>
        <v>45979.278279004597</v>
      </c>
      <c r="B1488" s="1" t="str">
        <f ca="1">IFERROR(__xludf.DUMMYFUNCTION("""COMPUTED_VALUE"""),"領料")</f>
        <v>領料</v>
      </c>
      <c r="C1488" s="1" t="str">
        <f ca="1">IFERROR(__xludf.DUMMYFUNCTION("""COMPUTED_VALUE"""),"MM0260000200")</f>
        <v>MM0260000200</v>
      </c>
      <c r="D1488" s="1" t="str">
        <f ca="1">IFERROR(__xludf.DUMMYFUNCTION("""COMPUTED_VALUE"""),"All/RL")</f>
        <v>All/RL</v>
      </c>
      <c r="E1488" s="1" t="str">
        <f ca="1">IFERROR(__xludf.DUMMYFUNCTION("""COMPUTED_VALUE"""),"p1/庫存")</f>
        <v>p1/庫存</v>
      </c>
      <c r="F1488" s="1">
        <f ca="1">IFERROR(__xludf.DUMMYFUNCTION("""COMPUTED_VALUE"""),2)</f>
        <v>2</v>
      </c>
      <c r="G1488" s="1"/>
      <c r="H1488" s="1" t="str">
        <f ca="1">IFERROR(__xludf.DUMMYFUNCTION("""COMPUTED_VALUE"""),"P1_1001，P1_1002")</f>
        <v>P1_1001，P1_1002</v>
      </c>
      <c r="I1488" s="1" t="str">
        <f ca="1">IFERROR(__xludf.DUMMYFUNCTION("""COMPUTED_VALUE"""),"Jason")</f>
        <v>Jason</v>
      </c>
    </row>
    <row r="1489" spans="1:9" ht="12.7" x14ac:dyDescent="0.4">
      <c r="A1489" s="2">
        <f ca="1">IFERROR(__xludf.DUMMYFUNCTION("""COMPUTED_VALUE"""),45979.2789328703)</f>
        <v>45979.2789328703</v>
      </c>
      <c r="B1489" s="1" t="str">
        <f ca="1">IFERROR(__xludf.DUMMYFUNCTION("""COMPUTED_VALUE"""),"領料")</f>
        <v>領料</v>
      </c>
      <c r="C1489" s="1" t="str">
        <f ca="1">IFERROR(__xludf.DUMMYFUNCTION("""COMPUTED_VALUE"""),"MM0260000199")</f>
        <v>MM0260000199</v>
      </c>
      <c r="D1489" s="1" t="str">
        <f ca="1">IFERROR(__xludf.DUMMYFUNCTION("""COMPUTED_VALUE"""),"All/RL")</f>
        <v>All/RL</v>
      </c>
      <c r="E1489" s="1" t="str">
        <f ca="1">IFERROR(__xludf.DUMMYFUNCTION("""COMPUTED_VALUE"""),"p1/庫存")</f>
        <v>p1/庫存</v>
      </c>
      <c r="F1489" s="1">
        <f ca="1">IFERROR(__xludf.DUMMYFUNCTION("""COMPUTED_VALUE"""),2)</f>
        <v>2</v>
      </c>
      <c r="G1489" s="1"/>
      <c r="H1489" s="1" t="str">
        <f ca="1">IFERROR(__xludf.DUMMYFUNCTION("""COMPUTED_VALUE"""),"P1_1001，P1_1002")</f>
        <v>P1_1001，P1_1002</v>
      </c>
      <c r="I1489" s="1" t="str">
        <f ca="1">IFERROR(__xludf.DUMMYFUNCTION("""COMPUTED_VALUE"""),"Jason")</f>
        <v>Jason</v>
      </c>
    </row>
    <row r="1490" spans="1:9" ht="12.7" x14ac:dyDescent="0.4">
      <c r="A1490" s="2">
        <f ca="1">IFERROR(__xludf.DUMMYFUNCTION("""COMPUTED_VALUE"""),45979.2795770023)</f>
        <v>45979.2795770023</v>
      </c>
      <c r="B1490" s="1" t="str">
        <f ca="1">IFERROR(__xludf.DUMMYFUNCTION("""COMPUTED_VALUE"""),"領料")</f>
        <v>領料</v>
      </c>
      <c r="C1490" s="1" t="str">
        <f ca="1">IFERROR(__xludf.DUMMYFUNCTION("""COMPUTED_VALUE"""),"MM0010000125")</f>
        <v>MM0010000125</v>
      </c>
      <c r="D1490" s="1" t="str">
        <f ca="1">IFERROR(__xludf.DUMMYFUNCTION("""COMPUTED_VALUE"""),"All/RL")</f>
        <v>All/RL</v>
      </c>
      <c r="E1490" s="1" t="str">
        <f ca="1">IFERROR(__xludf.DUMMYFUNCTION("""COMPUTED_VALUE"""),"p1/庫存")</f>
        <v>p1/庫存</v>
      </c>
      <c r="F1490" s="1">
        <f ca="1">IFERROR(__xludf.DUMMYFUNCTION("""COMPUTED_VALUE"""),2)</f>
        <v>2</v>
      </c>
      <c r="G1490" s="1"/>
      <c r="H1490" s="1" t="str">
        <f ca="1">IFERROR(__xludf.DUMMYFUNCTION("""COMPUTED_VALUE"""),"P1_1001，P1_1002")</f>
        <v>P1_1001，P1_1002</v>
      </c>
      <c r="I1490" s="1" t="str">
        <f ca="1">IFERROR(__xludf.DUMMYFUNCTION("""COMPUTED_VALUE"""),"Jason")</f>
        <v>Jason</v>
      </c>
    </row>
    <row r="1491" spans="1:9" ht="12.7" x14ac:dyDescent="0.4">
      <c r="A1491" s="2">
        <f ca="1">IFERROR(__xludf.DUMMYFUNCTION("""COMPUTED_VALUE"""),45979.5073800231)</f>
        <v>45979.507380023097</v>
      </c>
      <c r="B1491" s="1" t="str">
        <f ca="1">IFERROR(__xludf.DUMMYFUNCTION("""COMPUTED_VALUE"""),"領料")</f>
        <v>領料</v>
      </c>
      <c r="C1491" s="1" t="str">
        <f ca="1">IFERROR(__xludf.DUMMYFUNCTION("""COMPUTED_VALUE"""),"MM0260000249")</f>
        <v>MM0260000249</v>
      </c>
      <c r="D1491" s="1" t="str">
        <f ca="1">IFERROR(__xludf.DUMMYFUNCTION("""COMPUTED_VALUE"""),"All/RL")</f>
        <v>All/RL</v>
      </c>
      <c r="E1491" s="1" t="str">
        <f ca="1">IFERROR(__xludf.DUMMYFUNCTION("""COMPUTED_VALUE"""),"p2/庫存")</f>
        <v>p2/庫存</v>
      </c>
      <c r="F1491" s="1">
        <f ca="1">IFERROR(__xludf.DUMMYFUNCTION("""COMPUTED_VALUE"""),1)</f>
        <v>1</v>
      </c>
      <c r="G1491" s="1"/>
      <c r="H1491" s="1" t="str">
        <f ca="1">IFERROR(__xludf.DUMMYFUNCTION("""COMPUTED_VALUE"""),"P2_1005")</f>
        <v>P2_1005</v>
      </c>
      <c r="I1491" s="1" t="str">
        <f ca="1">IFERROR(__xludf.DUMMYFUNCTION("""COMPUTED_VALUE"""),"Chiao Yu")</f>
        <v>Chiao Yu</v>
      </c>
    </row>
    <row r="1492" spans="1:9" ht="12.7" x14ac:dyDescent="0.4">
      <c r="A1492" s="2">
        <f ca="1">IFERROR(__xludf.DUMMYFUNCTION("""COMPUTED_VALUE"""),45979.5086439351)</f>
        <v>45979.5086439351</v>
      </c>
      <c r="B1492" s="1" t="str">
        <f ca="1">IFERROR(__xludf.DUMMYFUNCTION("""COMPUTED_VALUE"""),"領料")</f>
        <v>領料</v>
      </c>
      <c r="C1492" s="1" t="str">
        <f ca="1">IFERROR(__xludf.DUMMYFUNCTION("""COMPUTED_VALUE"""),"MM0260000200")</f>
        <v>MM0260000200</v>
      </c>
      <c r="D1492" s="1" t="str">
        <f ca="1">IFERROR(__xludf.DUMMYFUNCTION("""COMPUTED_VALUE"""),"All/RL")</f>
        <v>All/RL</v>
      </c>
      <c r="E1492" s="1" t="str">
        <f ca="1">IFERROR(__xludf.DUMMYFUNCTION("""COMPUTED_VALUE"""),"p2/庫存")</f>
        <v>p2/庫存</v>
      </c>
      <c r="F1492" s="1">
        <f ca="1">IFERROR(__xludf.DUMMYFUNCTION("""COMPUTED_VALUE"""),1)</f>
        <v>1</v>
      </c>
      <c r="G1492" s="1"/>
      <c r="H1492" s="1" t="str">
        <f ca="1">IFERROR(__xludf.DUMMYFUNCTION("""COMPUTED_VALUE"""),"P2_1005")</f>
        <v>P2_1005</v>
      </c>
      <c r="I1492" s="1" t="str">
        <f ca="1">IFERROR(__xludf.DUMMYFUNCTION("""COMPUTED_VALUE"""),"Chiao Yu")</f>
        <v>Chiao Yu</v>
      </c>
    </row>
    <row r="1493" spans="1:9" ht="12.7" x14ac:dyDescent="0.4">
      <c r="A1493" s="2">
        <f ca="1">IFERROR(__xludf.DUMMYFUNCTION("""COMPUTED_VALUE"""),45979.5759359143)</f>
        <v>45979.575935914298</v>
      </c>
      <c r="B1493" s="1" t="str">
        <f ca="1">IFERROR(__xludf.DUMMYFUNCTION("""COMPUTED_VALUE"""),"領料")</f>
        <v>領料</v>
      </c>
      <c r="C1493" s="1" t="str">
        <f ca="1">IFERROR(__xludf.DUMMYFUNCTION("""COMPUTED_VALUE"""),"MM0260000199")</f>
        <v>MM0260000199</v>
      </c>
      <c r="D1493" s="1" t="str">
        <f ca="1">IFERROR(__xludf.DUMMYFUNCTION("""COMPUTED_VALUE"""),"All/RL")</f>
        <v>All/RL</v>
      </c>
      <c r="E1493" s="1" t="str">
        <f ca="1">IFERROR(__xludf.DUMMYFUNCTION("""COMPUTED_VALUE"""),"p2/庫存")</f>
        <v>p2/庫存</v>
      </c>
      <c r="F1493" s="1">
        <f ca="1">IFERROR(__xludf.DUMMYFUNCTION("""COMPUTED_VALUE"""),1)</f>
        <v>1</v>
      </c>
      <c r="G1493" s="1"/>
      <c r="H1493" s="1" t="str">
        <f ca="1">IFERROR(__xludf.DUMMYFUNCTION("""COMPUTED_VALUE"""),"P2_1005")</f>
        <v>P2_1005</v>
      </c>
      <c r="I1493" s="1" t="str">
        <f ca="1">IFERROR(__xludf.DUMMYFUNCTION("""COMPUTED_VALUE"""),"Chiao Yu")</f>
        <v>Chiao Yu</v>
      </c>
    </row>
    <row r="1494" spans="1:9" ht="12.7" x14ac:dyDescent="0.4">
      <c r="A1494" s="2">
        <f ca="1">IFERROR(__xludf.DUMMYFUNCTION("""COMPUTED_VALUE"""),45979.5767230555)</f>
        <v>45979.576723055499</v>
      </c>
      <c r="B1494" s="1" t="str">
        <f ca="1">IFERROR(__xludf.DUMMYFUNCTION("""COMPUTED_VALUE"""),"領料")</f>
        <v>領料</v>
      </c>
      <c r="C1494" s="1" t="str">
        <f ca="1">IFERROR(__xludf.DUMMYFUNCTION("""COMPUTED_VALUE"""),"MM0010000125")</f>
        <v>MM0010000125</v>
      </c>
      <c r="D1494" s="1" t="str">
        <f ca="1">IFERROR(__xludf.DUMMYFUNCTION("""COMPUTED_VALUE"""),"All/RL")</f>
        <v>All/RL</v>
      </c>
      <c r="E1494" s="1" t="str">
        <f ca="1">IFERROR(__xludf.DUMMYFUNCTION("""COMPUTED_VALUE"""),"p2/庫存")</f>
        <v>p2/庫存</v>
      </c>
      <c r="F1494" s="1">
        <f ca="1">IFERROR(__xludf.DUMMYFUNCTION("""COMPUTED_VALUE"""),1)</f>
        <v>1</v>
      </c>
      <c r="G1494" s="1"/>
      <c r="H1494" s="1" t="str">
        <f ca="1">IFERROR(__xludf.DUMMYFUNCTION("""COMPUTED_VALUE"""),"P2_1005")</f>
        <v>P2_1005</v>
      </c>
      <c r="I1494" s="1" t="str">
        <f ca="1">IFERROR(__xludf.DUMMYFUNCTION("""COMPUTED_VALUE"""),"Chiao Yu")</f>
        <v>Chiao Yu</v>
      </c>
    </row>
    <row r="1495" spans="1:9" ht="12.7" x14ac:dyDescent="0.4">
      <c r="A1495" s="2">
        <f ca="1">IFERROR(__xludf.DUMMYFUNCTION("""COMPUTED_VALUE"""),45979.5842462615)</f>
        <v>45979.584246261496</v>
      </c>
      <c r="B1495" s="1" t="str">
        <f ca="1">IFERROR(__xludf.DUMMYFUNCTION("""COMPUTED_VALUE"""),"領料")</f>
        <v>領料</v>
      </c>
      <c r="C1495" s="1" t="str">
        <f ca="1">IFERROR(__xludf.DUMMYFUNCTION("""COMPUTED_VALUE"""),"MM0260000259")</f>
        <v>MM0260000259</v>
      </c>
      <c r="D1495" s="1" t="str">
        <f ca="1">IFERROR(__xludf.DUMMYFUNCTION("""COMPUTED_VALUE"""),"All/SB")</f>
        <v>All/SB</v>
      </c>
      <c r="E1495" s="1" t="str">
        <f ca="1">IFERROR(__xludf.DUMMYFUNCTION("""COMPUTED_VALUE"""),"p2/庫存")</f>
        <v>p2/庫存</v>
      </c>
      <c r="F1495" s="1">
        <f ca="1">IFERROR(__xludf.DUMMYFUNCTION("""COMPUTED_VALUE"""),1)</f>
        <v>1</v>
      </c>
      <c r="G1495" s="1"/>
      <c r="H1495" s="1" t="str">
        <f ca="1">IFERROR(__xludf.DUMMYFUNCTION("""COMPUTED_VALUE"""),"P2_4003,P2_4004")</f>
        <v>P2_4003,P2_4004</v>
      </c>
      <c r="I1495" s="1" t="str">
        <f ca="1">IFERROR(__xludf.DUMMYFUNCTION("""COMPUTED_VALUE"""),"Chiao Yu")</f>
        <v>Chiao Yu</v>
      </c>
    </row>
    <row r="1496" spans="1:9" ht="12.7" x14ac:dyDescent="0.4">
      <c r="A1496" s="2">
        <f ca="1">IFERROR(__xludf.DUMMYFUNCTION("""COMPUTED_VALUE"""),45979.5848512615)</f>
        <v>45979.584851261498</v>
      </c>
      <c r="B1496" s="1" t="str">
        <f ca="1">IFERROR(__xludf.DUMMYFUNCTION("""COMPUTED_VALUE"""),"領料")</f>
        <v>領料</v>
      </c>
      <c r="C1496" s="1" t="str">
        <f ca="1">IFERROR(__xludf.DUMMYFUNCTION("""COMPUTED_VALUE"""),"A00700000862")</f>
        <v>A00700000862</v>
      </c>
      <c r="D1496" s="1" t="str">
        <f ca="1">IFERROR(__xludf.DUMMYFUNCTION("""COMPUTED_VALUE"""),"All/SB")</f>
        <v>All/SB</v>
      </c>
      <c r="E1496" s="1" t="str">
        <f ca="1">IFERROR(__xludf.DUMMYFUNCTION("""COMPUTED_VALUE"""),"p2/庫存")</f>
        <v>p2/庫存</v>
      </c>
      <c r="F1496" s="1">
        <f ca="1">IFERROR(__xludf.DUMMYFUNCTION("""COMPUTED_VALUE"""),6)</f>
        <v>6</v>
      </c>
      <c r="G1496" s="1"/>
      <c r="H1496" s="1" t="str">
        <f ca="1">IFERROR(__xludf.DUMMYFUNCTION("""COMPUTED_VALUE"""),"P2_4003,P2_4004")</f>
        <v>P2_4003,P2_4004</v>
      </c>
      <c r="I1496" s="1" t="str">
        <f ca="1">IFERROR(__xludf.DUMMYFUNCTION("""COMPUTED_VALUE"""),"Chiao Yu")</f>
        <v>Chiao Yu</v>
      </c>
    </row>
    <row r="1497" spans="1:9" ht="12.7" x14ac:dyDescent="0.4">
      <c r="A1497" s="2">
        <f ca="1">IFERROR(__xludf.DUMMYFUNCTION("""COMPUTED_VALUE"""),45979.9341610763)</f>
        <v>45979.9341610763</v>
      </c>
      <c r="B1497" s="1" t="str">
        <f ca="1">IFERROR(__xludf.DUMMYFUNCTION("""COMPUTED_VALUE"""),"領料")</f>
        <v>領料</v>
      </c>
      <c r="C1497" s="1" t="str">
        <f ca="1">IFERROR(__xludf.DUMMYFUNCTION("""COMPUTED_VALUE"""),"ME0120000230")</f>
        <v>ME0120000230</v>
      </c>
      <c r="D1497" s="1" t="str">
        <f ca="1">IFERROR(__xludf.DUMMYFUNCTION("""COMPUTED_VALUE"""),"All/BA")</f>
        <v>All/BA</v>
      </c>
      <c r="E1497" s="1" t="str">
        <f ca="1">IFERROR(__xludf.DUMMYFUNCTION("""COMPUTED_VALUE"""),"p2/庫存")</f>
        <v>p2/庫存</v>
      </c>
      <c r="F1497" s="1">
        <f ca="1">IFERROR(__xludf.DUMMYFUNCTION("""COMPUTED_VALUE"""),1)</f>
        <v>1</v>
      </c>
      <c r="G1497" s="1"/>
      <c r="H1497" s="1" t="str">
        <f ca="1">IFERROR(__xludf.DUMMYFUNCTION("""COMPUTED_VALUE"""),"P2_050")</f>
        <v>P2_050</v>
      </c>
      <c r="I1497" s="1" t="str">
        <f ca="1">IFERROR(__xludf.DUMMYFUNCTION("""COMPUTED_VALUE"""),"Jason")</f>
        <v>Jason</v>
      </c>
    </row>
    <row r="1498" spans="1:9" ht="12.7" x14ac:dyDescent="0.4">
      <c r="A1498" s="2">
        <f ca="1">IFERROR(__xludf.DUMMYFUNCTION("""COMPUTED_VALUE"""),45980.2414835069)</f>
        <v>45980.241483506899</v>
      </c>
      <c r="B1498" s="1" t="str">
        <f ca="1">IFERROR(__xludf.DUMMYFUNCTION("""COMPUTED_VALUE"""),"領料")</f>
        <v>領料</v>
      </c>
      <c r="C1498" s="1" t="str">
        <f ca="1">IFERROR(__xludf.DUMMYFUNCTION("""COMPUTED_VALUE"""),"MM0260000249")</f>
        <v>MM0260000249</v>
      </c>
      <c r="D1498" s="1" t="str">
        <f ca="1">IFERROR(__xludf.DUMMYFUNCTION("""COMPUTED_VALUE"""),"All/RL")</f>
        <v>All/RL</v>
      </c>
      <c r="E1498" s="1" t="str">
        <f ca="1">IFERROR(__xludf.DUMMYFUNCTION("""COMPUTED_VALUE"""),"p2/庫存")</f>
        <v>p2/庫存</v>
      </c>
      <c r="F1498" s="1">
        <f ca="1">IFERROR(__xludf.DUMMYFUNCTION("""COMPUTED_VALUE"""),3)</f>
        <v>3</v>
      </c>
      <c r="G1498" s="1"/>
      <c r="H1498" s="1" t="str">
        <f ca="1">IFERROR(__xludf.DUMMYFUNCTION("""COMPUTED_VALUE"""),"P2_1003，P2_1004，P2_1006，")</f>
        <v>P2_1003，P2_1004，P2_1006，</v>
      </c>
      <c r="I1498" s="1" t="str">
        <f ca="1">IFERROR(__xludf.DUMMYFUNCTION("""COMPUTED_VALUE"""),"Jason")</f>
        <v>Jason</v>
      </c>
    </row>
    <row r="1499" spans="1:9" ht="12.7" x14ac:dyDescent="0.4">
      <c r="A1499" s="2">
        <f ca="1">IFERROR(__xludf.DUMMYFUNCTION("""COMPUTED_VALUE"""),45980.2422982986)</f>
        <v>45980.242298298603</v>
      </c>
      <c r="B1499" s="1" t="str">
        <f ca="1">IFERROR(__xludf.DUMMYFUNCTION("""COMPUTED_VALUE"""),"領料")</f>
        <v>領料</v>
      </c>
      <c r="C1499" s="1" t="str">
        <f ca="1">IFERROR(__xludf.DUMMYFUNCTION("""COMPUTED_VALUE"""),"MM0260000200")</f>
        <v>MM0260000200</v>
      </c>
      <c r="D1499" s="1" t="str">
        <f ca="1">IFERROR(__xludf.DUMMYFUNCTION("""COMPUTED_VALUE"""),"All/RL")</f>
        <v>All/RL</v>
      </c>
      <c r="E1499" s="1" t="str">
        <f ca="1">IFERROR(__xludf.DUMMYFUNCTION("""COMPUTED_VALUE"""),"p2/庫存")</f>
        <v>p2/庫存</v>
      </c>
      <c r="F1499" s="1">
        <f ca="1">IFERROR(__xludf.DUMMYFUNCTION("""COMPUTED_VALUE"""),3)</f>
        <v>3</v>
      </c>
      <c r="G1499" s="1"/>
      <c r="H1499" s="1" t="str">
        <f ca="1">IFERROR(__xludf.DUMMYFUNCTION("""COMPUTED_VALUE"""),"P2_1003，P2_1004，P2_1006，")</f>
        <v>P2_1003，P2_1004，P2_1006，</v>
      </c>
      <c r="I1499" s="1" t="str">
        <f ca="1">IFERROR(__xludf.DUMMYFUNCTION("""COMPUTED_VALUE"""),"Jason")</f>
        <v>Jason</v>
      </c>
    </row>
    <row r="1500" spans="1:9" ht="12.7" x14ac:dyDescent="0.4">
      <c r="A1500" s="2">
        <f ca="1">IFERROR(__xludf.DUMMYFUNCTION("""COMPUTED_VALUE"""),45980.2430724537)</f>
        <v>45980.243072453697</v>
      </c>
      <c r="B1500" s="1" t="str">
        <f ca="1">IFERROR(__xludf.DUMMYFUNCTION("""COMPUTED_VALUE"""),"領料")</f>
        <v>領料</v>
      </c>
      <c r="C1500" s="1" t="str">
        <f ca="1">IFERROR(__xludf.DUMMYFUNCTION("""COMPUTED_VALUE"""),"MM0260000199")</f>
        <v>MM0260000199</v>
      </c>
      <c r="D1500" s="1" t="str">
        <f ca="1">IFERROR(__xludf.DUMMYFUNCTION("""COMPUTED_VALUE"""),"All/RL")</f>
        <v>All/RL</v>
      </c>
      <c r="E1500" s="1" t="str">
        <f ca="1">IFERROR(__xludf.DUMMYFUNCTION("""COMPUTED_VALUE"""),"p2/庫存")</f>
        <v>p2/庫存</v>
      </c>
      <c r="F1500" s="1">
        <f ca="1">IFERROR(__xludf.DUMMYFUNCTION("""COMPUTED_VALUE"""),3)</f>
        <v>3</v>
      </c>
      <c r="G1500" s="1"/>
      <c r="H1500" s="1" t="str">
        <f ca="1">IFERROR(__xludf.DUMMYFUNCTION("""COMPUTED_VALUE"""),"P2_1003，P2_1004，P2_1006，")</f>
        <v>P2_1003，P2_1004，P2_1006，</v>
      </c>
      <c r="I1500" s="1" t="str">
        <f ca="1">IFERROR(__xludf.DUMMYFUNCTION("""COMPUTED_VALUE"""),"Jason")</f>
        <v>Jason</v>
      </c>
    </row>
    <row r="1501" spans="1:9" ht="12.7" x14ac:dyDescent="0.4">
      <c r="A1501" s="2">
        <f ca="1">IFERROR(__xludf.DUMMYFUNCTION("""COMPUTED_VALUE"""),45980.243756655)</f>
        <v>45980.243756655</v>
      </c>
      <c r="B1501" s="1" t="str">
        <f ca="1">IFERROR(__xludf.DUMMYFUNCTION("""COMPUTED_VALUE"""),"領料")</f>
        <v>領料</v>
      </c>
      <c r="C1501" s="1" t="str">
        <f ca="1">IFERROR(__xludf.DUMMYFUNCTION("""COMPUTED_VALUE"""),"MM0010000125")</f>
        <v>MM0010000125</v>
      </c>
      <c r="D1501" s="1" t="str">
        <f ca="1">IFERROR(__xludf.DUMMYFUNCTION("""COMPUTED_VALUE"""),"All/RL")</f>
        <v>All/RL</v>
      </c>
      <c r="E1501" s="1" t="str">
        <f ca="1">IFERROR(__xludf.DUMMYFUNCTION("""COMPUTED_VALUE"""),"p2/庫存")</f>
        <v>p2/庫存</v>
      </c>
      <c r="F1501" s="1">
        <f ca="1">IFERROR(__xludf.DUMMYFUNCTION("""COMPUTED_VALUE"""),3)</f>
        <v>3</v>
      </c>
      <c r="G1501" s="1"/>
      <c r="H1501" s="1" t="str">
        <f ca="1">IFERROR(__xludf.DUMMYFUNCTION("""COMPUTED_VALUE"""),"P2_1003，P2_1004，P2_1006，")</f>
        <v>P2_1003，P2_1004，P2_1006，</v>
      </c>
      <c r="I1501" s="1" t="str">
        <f ca="1">IFERROR(__xludf.DUMMYFUNCTION("""COMPUTED_VALUE"""),"Jason")</f>
        <v>Jason</v>
      </c>
    </row>
    <row r="1502" spans="1:9" ht="12.7" x14ac:dyDescent="0.4">
      <c r="A1502" s="2">
        <f ca="1">IFERROR(__xludf.DUMMYFUNCTION("""COMPUTED_VALUE"""),45980.3778860995)</f>
        <v>45980.377886099501</v>
      </c>
      <c r="B1502" s="1" t="str">
        <f ca="1">IFERROR(__xludf.DUMMYFUNCTION("""COMPUTED_VALUE"""),"領料")</f>
        <v>領料</v>
      </c>
      <c r="C1502" s="1" t="str">
        <f ca="1">IFERROR(__xludf.DUMMYFUNCTION("""COMPUTED_VALUE"""),"AGT000000010")</f>
        <v>AGT000000010</v>
      </c>
      <c r="D1502" s="1" t="str">
        <f ca="1">IFERROR(__xludf.DUMMYFUNCTION("""COMPUTED_VALUE"""),"All/共用")</f>
        <v>All/共用</v>
      </c>
      <c r="E1502" s="1" t="str">
        <f ca="1">IFERROR(__xludf.DUMMYFUNCTION("""COMPUTED_VALUE"""),"p2/庫存")</f>
        <v>p2/庫存</v>
      </c>
      <c r="F1502" s="1">
        <f ca="1">IFERROR(__xludf.DUMMYFUNCTION("""COMPUTED_VALUE"""),3)</f>
        <v>3</v>
      </c>
      <c r="G1502" s="1"/>
      <c r="H1502" s="1" t="str">
        <f ca="1">IFERROR(__xludf.DUMMYFUNCTION("""COMPUTED_VALUE"""),"P2_040")</f>
        <v>P2_040</v>
      </c>
      <c r="I1502" s="1" t="str">
        <f ca="1">IFERROR(__xludf.DUMMYFUNCTION("""COMPUTED_VALUE"""),"Jason")</f>
        <v>Jason</v>
      </c>
    </row>
    <row r="1503" spans="1:9" ht="12.7" x14ac:dyDescent="0.4">
      <c r="A1503" s="2">
        <f ca="1">IFERROR(__xludf.DUMMYFUNCTION("""COMPUTED_VALUE"""),45980.3788551157)</f>
        <v>45980.378855115698</v>
      </c>
      <c r="B1503" s="1" t="str">
        <f ca="1">IFERROR(__xludf.DUMMYFUNCTION("""COMPUTED_VALUE"""),"領料")</f>
        <v>領料</v>
      </c>
      <c r="C1503" s="1" t="str">
        <f ca="1">IFERROR(__xludf.DUMMYFUNCTION("""COMPUTED_VALUE"""),"AGT000000009")</f>
        <v>AGT000000009</v>
      </c>
      <c r="D1503" s="1" t="str">
        <f ca="1">IFERROR(__xludf.DUMMYFUNCTION("""COMPUTED_VALUE"""),"All/共用")</f>
        <v>All/共用</v>
      </c>
      <c r="E1503" s="1" t="str">
        <f ca="1">IFERROR(__xludf.DUMMYFUNCTION("""COMPUTED_VALUE"""),"p2/庫存")</f>
        <v>p2/庫存</v>
      </c>
      <c r="F1503" s="1">
        <f ca="1">IFERROR(__xludf.DUMMYFUNCTION("""COMPUTED_VALUE"""),3)</f>
        <v>3</v>
      </c>
      <c r="G1503" s="1"/>
      <c r="H1503" s="1" t="str">
        <f ca="1">IFERROR(__xludf.DUMMYFUNCTION("""COMPUTED_VALUE"""),"P2_040")</f>
        <v>P2_040</v>
      </c>
      <c r="I1503" s="1" t="str">
        <f ca="1">IFERROR(__xludf.DUMMYFUNCTION("""COMPUTED_VALUE"""),"Jason")</f>
        <v>Jason</v>
      </c>
    </row>
    <row r="1504" spans="1:9" ht="12.7" x14ac:dyDescent="0.4">
      <c r="A1504" s="2">
        <f ca="1">IFERROR(__xludf.DUMMYFUNCTION("""COMPUTED_VALUE"""),45980.3985895717)</f>
        <v>45980.398589571698</v>
      </c>
      <c r="B1504" s="1" t="str">
        <f ca="1">IFERROR(__xludf.DUMMYFUNCTION("""COMPUTED_VALUE"""),"庫存調整")</f>
        <v>庫存調整</v>
      </c>
      <c r="C1504" s="1" t="str">
        <f ca="1">IFERROR(__xludf.DUMMYFUNCTION("""COMPUTED_VALUE"""),"ME0060000278")</f>
        <v>ME0060000278</v>
      </c>
      <c r="D1504" s="1" t="str">
        <f ca="1">IFERROR(__xludf.DUMMYFUNCTION("""COMPUTED_VALUE"""),"All/共用")</f>
        <v>All/共用</v>
      </c>
      <c r="E1504" s="1" t="str">
        <f ca="1">IFERROR(__xludf.DUMMYFUNCTION("""COMPUTED_VALUE"""),"p2/庫存")</f>
        <v>p2/庫存</v>
      </c>
      <c r="F1504" s="1">
        <f ca="1">IFERROR(__xludf.DUMMYFUNCTION("""COMPUTED_VALUE"""),1)</f>
        <v>1</v>
      </c>
      <c r="G1504" s="1"/>
      <c r="H1504" s="1" t="str">
        <f ca="1">IFERROR(__xludf.DUMMYFUNCTION("""COMPUTED_VALUE"""),"P2_040")</f>
        <v>P2_040</v>
      </c>
      <c r="I1504" s="1" t="str">
        <f ca="1">IFERROR(__xludf.DUMMYFUNCTION("""COMPUTED_VALUE"""),"Jason")</f>
        <v>Jason</v>
      </c>
    </row>
    <row r="1505" spans="1:9" ht="12.7" x14ac:dyDescent="0.4">
      <c r="A1505" s="2">
        <f ca="1">IFERROR(__xludf.DUMMYFUNCTION("""COMPUTED_VALUE"""),45980.3992637384)</f>
        <v>45980.3992637384</v>
      </c>
      <c r="B1505" s="1" t="str">
        <f ca="1">IFERROR(__xludf.DUMMYFUNCTION("""COMPUTED_VALUE"""),"庫存調整")</f>
        <v>庫存調整</v>
      </c>
      <c r="C1505" s="1" t="str">
        <f ca="1">IFERROR(__xludf.DUMMYFUNCTION("""COMPUTED_VALUE"""),"AGT000000005")</f>
        <v>AGT000000005</v>
      </c>
      <c r="D1505" s="1" t="str">
        <f ca="1">IFERROR(__xludf.DUMMYFUNCTION("""COMPUTED_VALUE"""),"All/共用")</f>
        <v>All/共用</v>
      </c>
      <c r="E1505" s="1" t="str">
        <f ca="1">IFERROR(__xludf.DUMMYFUNCTION("""COMPUTED_VALUE"""),"p2/庫存")</f>
        <v>p2/庫存</v>
      </c>
      <c r="F1505" s="1">
        <f ca="1">IFERROR(__xludf.DUMMYFUNCTION("""COMPUTED_VALUE"""),1)</f>
        <v>1</v>
      </c>
      <c r="G1505" s="1"/>
      <c r="H1505" s="1" t="str">
        <f ca="1">IFERROR(__xludf.DUMMYFUNCTION("""COMPUTED_VALUE"""),"P2_040")</f>
        <v>P2_040</v>
      </c>
      <c r="I1505" s="1" t="str">
        <f ca="1">IFERROR(__xludf.DUMMYFUNCTION("""COMPUTED_VALUE"""),"Jason")</f>
        <v>Jason</v>
      </c>
    </row>
    <row r="1506" spans="1:9" ht="12.7" x14ac:dyDescent="0.4">
      <c r="A1506" s="2">
        <f ca="1">IFERROR(__xludf.DUMMYFUNCTION("""COMPUTED_VALUE"""),45980.7047262731)</f>
        <v>45980.704726273099</v>
      </c>
      <c r="B1506" s="1" t="str">
        <f ca="1">IFERROR(__xludf.DUMMYFUNCTION("""COMPUTED_VALUE"""),"領料")</f>
        <v>領料</v>
      </c>
      <c r="C1506" s="1" t="str">
        <f ca="1">IFERROR(__xludf.DUMMYFUNCTION("""COMPUTED_VALUE"""),"MM0260000259")</f>
        <v>MM0260000259</v>
      </c>
      <c r="D1506" s="1" t="str">
        <f ca="1">IFERROR(__xludf.DUMMYFUNCTION("""COMPUTED_VALUE"""),"All/SB")</f>
        <v>All/SB</v>
      </c>
      <c r="E1506" s="1" t="str">
        <f ca="1">IFERROR(__xludf.DUMMYFUNCTION("""COMPUTED_VALUE"""),"p2/庫存")</f>
        <v>p2/庫存</v>
      </c>
      <c r="F1506" s="1">
        <f ca="1">IFERROR(__xludf.DUMMYFUNCTION("""COMPUTED_VALUE"""),2)</f>
        <v>2</v>
      </c>
      <c r="G1506" s="1"/>
      <c r="H1506" s="1" t="str">
        <f ca="1">IFERROR(__xludf.DUMMYFUNCTION("""COMPUTED_VALUE"""),"P2")</f>
        <v>P2</v>
      </c>
      <c r="I1506" s="1" t="str">
        <f ca="1">IFERROR(__xludf.DUMMYFUNCTION("""COMPUTED_VALUE"""),"Simon")</f>
        <v>Simon</v>
      </c>
    </row>
    <row r="1507" spans="1:9" ht="12.7" x14ac:dyDescent="0.4">
      <c r="A1507" s="2">
        <f ca="1">IFERROR(__xludf.DUMMYFUNCTION("""COMPUTED_VALUE"""),45980.8081608796)</f>
        <v>45980.808160879598</v>
      </c>
      <c r="B1507" s="1" t="str">
        <f ca="1">IFERROR(__xludf.DUMMYFUNCTION("""COMPUTED_VALUE"""),"庫存調整")</f>
        <v>庫存調整</v>
      </c>
      <c r="C1507" s="1" t="str">
        <f ca="1">IFERROR(__xludf.DUMMYFUNCTION("""COMPUTED_VALUE"""),"ME0060000277")</f>
        <v>ME0060000277</v>
      </c>
      <c r="D1507" s="1" t="str">
        <f ca="1">IFERROR(__xludf.DUMMYFUNCTION("""COMPUTED_VALUE"""),"All/共用")</f>
        <v>All/共用</v>
      </c>
      <c r="E1507" s="1" t="str">
        <f ca="1">IFERROR(__xludf.DUMMYFUNCTION("""COMPUTED_VALUE"""),"p2/庫存")</f>
        <v>p2/庫存</v>
      </c>
      <c r="F1507" s="1">
        <f ca="1">IFERROR(__xludf.DUMMYFUNCTION("""COMPUTED_VALUE"""),1)</f>
        <v>1</v>
      </c>
      <c r="G1507" s="1"/>
      <c r="H1507" s="1" t="str">
        <f ca="1">IFERROR(__xludf.DUMMYFUNCTION("""COMPUTED_VALUE"""),"P2_042")</f>
        <v>P2_042</v>
      </c>
      <c r="I1507" s="1" t="str">
        <f ca="1">IFERROR(__xludf.DUMMYFUNCTION("""COMPUTED_VALUE"""),"Jason")</f>
        <v>Jason</v>
      </c>
    </row>
    <row r="1508" spans="1:9" ht="12.7" x14ac:dyDescent="0.4">
      <c r="A1508" s="2">
        <f ca="1">IFERROR(__xludf.DUMMYFUNCTION("""COMPUTED_VALUE"""),45980.8391053935)</f>
        <v>45980.839105393497</v>
      </c>
      <c r="B1508" s="1" t="str">
        <f ca="1">IFERROR(__xludf.DUMMYFUNCTION("""COMPUTED_VALUE"""),"領料")</f>
        <v>領料</v>
      </c>
      <c r="C1508" s="1" t="str">
        <f ca="1">IFERROR(__xludf.DUMMYFUNCTION("""COMPUTED_VALUE"""),"ME0120000048")</f>
        <v>ME0120000048</v>
      </c>
      <c r="D1508" s="1" t="str">
        <f ca="1">IFERROR(__xludf.DUMMYFUNCTION("""COMPUTED_VALUE"""),"All/共用")</f>
        <v>All/共用</v>
      </c>
      <c r="E1508" s="1" t="str">
        <f ca="1">IFERROR(__xludf.DUMMYFUNCTION("""COMPUTED_VALUE"""),"p1/庫存")</f>
        <v>p1/庫存</v>
      </c>
      <c r="F1508" s="1">
        <f ca="1">IFERROR(__xludf.DUMMYFUNCTION("""COMPUTED_VALUE"""),1)</f>
        <v>1</v>
      </c>
      <c r="G1508" s="1"/>
      <c r="H1508" s="1" t="str">
        <f ca="1">IFERROR(__xludf.DUMMYFUNCTION("""COMPUTED_VALUE"""),"P3")</f>
        <v>P3</v>
      </c>
      <c r="I1508" s="1" t="str">
        <f ca="1">IFERROR(__xludf.DUMMYFUNCTION("""COMPUTED_VALUE"""),"Simon")</f>
        <v>Simon</v>
      </c>
    </row>
    <row r="1509" spans="1:9" ht="12.7" x14ac:dyDescent="0.4">
      <c r="A1509" s="2">
        <f ca="1">IFERROR(__xludf.DUMMYFUNCTION("""COMPUTED_VALUE"""),45981.1882366666)</f>
        <v>45981.188236666603</v>
      </c>
      <c r="B1509" s="1" t="str">
        <f ca="1">IFERROR(__xludf.DUMMYFUNCTION("""COMPUTED_VALUE"""),"領料")</f>
        <v>領料</v>
      </c>
      <c r="C1509" s="1" t="str">
        <f ca="1">IFERROR(__xludf.DUMMYFUNCTION("""COMPUTED_VALUE"""),"MM0260000259")</f>
        <v>MM0260000259</v>
      </c>
      <c r="D1509" s="1" t="str">
        <f ca="1">IFERROR(__xludf.DUMMYFUNCTION("""COMPUTED_VALUE"""),"All/SB")</f>
        <v>All/SB</v>
      </c>
      <c r="E1509" s="1" t="str">
        <f ca="1">IFERROR(__xludf.DUMMYFUNCTION("""COMPUTED_VALUE"""),"p1/庫存")</f>
        <v>p1/庫存</v>
      </c>
      <c r="F1509" s="1">
        <f ca="1">IFERROR(__xludf.DUMMYFUNCTION("""COMPUTED_VALUE"""),2)</f>
        <v>2</v>
      </c>
      <c r="G1509" s="1"/>
      <c r="H1509" s="1" t="str">
        <f ca="1">IFERROR(__xludf.DUMMYFUNCTION("""COMPUTED_VALUE"""),"P3_4006，P3_4007")</f>
        <v>P3_4006，P3_4007</v>
      </c>
      <c r="I1509" s="1" t="str">
        <f ca="1">IFERROR(__xludf.DUMMYFUNCTION("""COMPUTED_VALUE"""),"Jason")</f>
        <v>Jason</v>
      </c>
    </row>
    <row r="1510" spans="1:9" ht="12.7" x14ac:dyDescent="0.4">
      <c r="A1510" s="2">
        <f ca="1">IFERROR(__xludf.DUMMYFUNCTION("""COMPUTED_VALUE"""),45981.2712953588)</f>
        <v>45981.271295358798</v>
      </c>
      <c r="B1510" s="1" t="str">
        <f ca="1">IFERROR(__xludf.DUMMYFUNCTION("""COMPUTED_VALUE"""),"領料")</f>
        <v>領料</v>
      </c>
      <c r="C1510" s="1" t="str">
        <f ca="1">IFERROR(__xludf.DUMMYFUNCTION("""COMPUTED_VALUE"""),"AGT000000010")</f>
        <v>AGT000000010</v>
      </c>
      <c r="D1510" s="1" t="str">
        <f ca="1">IFERROR(__xludf.DUMMYFUNCTION("""COMPUTED_VALUE"""),"All/BA")</f>
        <v>All/BA</v>
      </c>
      <c r="E1510" s="1" t="str">
        <f ca="1">IFERROR(__xludf.DUMMYFUNCTION("""COMPUTED_VALUE"""),"p2/庫存")</f>
        <v>p2/庫存</v>
      </c>
      <c r="F1510" s="1">
        <f ca="1">IFERROR(__xludf.DUMMYFUNCTION("""COMPUTED_VALUE"""),3)</f>
        <v>3</v>
      </c>
      <c r="G1510" s="1"/>
      <c r="H1510" s="1" t="str">
        <f ca="1">IFERROR(__xludf.DUMMYFUNCTION("""COMPUTED_VALUE"""),"P2_034")</f>
        <v>P2_034</v>
      </c>
      <c r="I1510" s="1" t="str">
        <f ca="1">IFERROR(__xludf.DUMMYFUNCTION("""COMPUTED_VALUE"""),"Jason")</f>
        <v>Jason</v>
      </c>
    </row>
    <row r="1511" spans="1:9" ht="12.7" x14ac:dyDescent="0.4">
      <c r="A1511" s="2">
        <f ca="1">IFERROR(__xludf.DUMMYFUNCTION("""COMPUTED_VALUE"""),45981.272095405)</f>
        <v>45981.272095405002</v>
      </c>
      <c r="B1511" s="1" t="str">
        <f ca="1">IFERROR(__xludf.DUMMYFUNCTION("""COMPUTED_VALUE"""),"領料")</f>
        <v>領料</v>
      </c>
      <c r="C1511" s="1" t="str">
        <f ca="1">IFERROR(__xludf.DUMMYFUNCTION("""COMPUTED_VALUE"""),"AGT000000009")</f>
        <v>AGT000000009</v>
      </c>
      <c r="D1511" s="1" t="str">
        <f ca="1">IFERROR(__xludf.DUMMYFUNCTION("""COMPUTED_VALUE"""),"All/BA")</f>
        <v>All/BA</v>
      </c>
      <c r="E1511" s="1" t="str">
        <f ca="1">IFERROR(__xludf.DUMMYFUNCTION("""COMPUTED_VALUE"""),"p2/庫存")</f>
        <v>p2/庫存</v>
      </c>
      <c r="F1511" s="1">
        <f ca="1">IFERROR(__xludf.DUMMYFUNCTION("""COMPUTED_VALUE"""),3)</f>
        <v>3</v>
      </c>
      <c r="G1511" s="1"/>
      <c r="H1511" s="1" t="str">
        <f ca="1">IFERROR(__xludf.DUMMYFUNCTION("""COMPUTED_VALUE"""),"P2_034")</f>
        <v>P2_034</v>
      </c>
      <c r="I1511" s="1" t="str">
        <f ca="1">IFERROR(__xludf.DUMMYFUNCTION("""COMPUTED_VALUE"""),"Jason")</f>
        <v>Jason</v>
      </c>
    </row>
    <row r="1512" spans="1:9" ht="12.7" x14ac:dyDescent="0.4">
      <c r="A1512" s="2">
        <f ca="1">IFERROR(__xludf.DUMMYFUNCTION("""COMPUTED_VALUE"""),45981.3680668287)</f>
        <v>45981.368066828698</v>
      </c>
      <c r="B1512" s="1" t="str">
        <f ca="1">IFERROR(__xludf.DUMMYFUNCTION("""COMPUTED_VALUE"""),"庫存調整")</f>
        <v>庫存調整</v>
      </c>
      <c r="C1512" s="1" t="str">
        <f ca="1">IFERROR(__xludf.DUMMYFUNCTION("""COMPUTED_VALUE"""),"AGT000000005")</f>
        <v>AGT000000005</v>
      </c>
      <c r="D1512" s="1" t="str">
        <f ca="1">IFERROR(__xludf.DUMMYFUNCTION("""COMPUTED_VALUE"""),"All/共用")</f>
        <v>All/共用</v>
      </c>
      <c r="E1512" s="1" t="str">
        <f ca="1">IFERROR(__xludf.DUMMYFUNCTION("""COMPUTED_VALUE"""),"p2/庫存")</f>
        <v>p2/庫存</v>
      </c>
      <c r="F1512" s="1">
        <f ca="1">IFERROR(__xludf.DUMMYFUNCTION("""COMPUTED_VALUE"""),1)</f>
        <v>1</v>
      </c>
      <c r="G1512" s="1"/>
      <c r="H1512" s="1" t="str">
        <f ca="1">IFERROR(__xludf.DUMMYFUNCTION("""COMPUTED_VALUE"""),"P2_034")</f>
        <v>P2_034</v>
      </c>
      <c r="I1512" s="1" t="str">
        <f ca="1">IFERROR(__xludf.DUMMYFUNCTION("""COMPUTED_VALUE"""),"Jason")</f>
        <v>Jason</v>
      </c>
    </row>
    <row r="1513" spans="1:9" ht="12.7" x14ac:dyDescent="0.4">
      <c r="A1513" s="2">
        <f ca="1">IFERROR(__xludf.DUMMYFUNCTION("""COMPUTED_VALUE"""),45981.3711104629)</f>
        <v>45981.371110462896</v>
      </c>
      <c r="B1513" s="1" t="str">
        <f ca="1">IFERROR(__xludf.DUMMYFUNCTION("""COMPUTED_VALUE"""),"庫存調整")</f>
        <v>庫存調整</v>
      </c>
      <c r="C1513" s="1" t="str">
        <f ca="1">IFERROR(__xludf.DUMMYFUNCTION("""COMPUTED_VALUE"""),"ME0060000278")</f>
        <v>ME0060000278</v>
      </c>
      <c r="D1513" s="1" t="str">
        <f ca="1">IFERROR(__xludf.DUMMYFUNCTION("""COMPUTED_VALUE"""),"All/共用")</f>
        <v>All/共用</v>
      </c>
      <c r="E1513" s="1" t="str">
        <f ca="1">IFERROR(__xludf.DUMMYFUNCTION("""COMPUTED_VALUE"""),"p2/庫存")</f>
        <v>p2/庫存</v>
      </c>
      <c r="F1513" s="1">
        <f ca="1">IFERROR(__xludf.DUMMYFUNCTION("""COMPUTED_VALUE"""),1)</f>
        <v>1</v>
      </c>
      <c r="G1513" s="1"/>
      <c r="H1513" s="1" t="str">
        <f ca="1">IFERROR(__xludf.DUMMYFUNCTION("""COMPUTED_VALUE"""),"P2_034")</f>
        <v>P2_034</v>
      </c>
      <c r="I1513" s="1" t="str">
        <f ca="1">IFERROR(__xludf.DUMMYFUNCTION("""COMPUTED_VALUE"""),"Jason")</f>
        <v>Jason</v>
      </c>
    </row>
    <row r="1514" spans="1:9" ht="12.7" x14ac:dyDescent="0.4">
      <c r="A1514" s="2">
        <f ca="1">IFERROR(__xludf.DUMMYFUNCTION("""COMPUTED_VALUE"""),45981.4930899652)</f>
        <v>45981.493089965203</v>
      </c>
      <c r="B1514" s="1" t="str">
        <f ca="1">IFERROR(__xludf.DUMMYFUNCTION("""COMPUTED_VALUE"""),"庫存調整")</f>
        <v>庫存調整</v>
      </c>
      <c r="C1514" s="1" t="str">
        <f ca="1">IFERROR(__xludf.DUMMYFUNCTION("""COMPUTED_VALUE"""),"ME0120000230")</f>
        <v>ME0120000230</v>
      </c>
      <c r="D1514" s="1" t="str">
        <f ca="1">IFERROR(__xludf.DUMMYFUNCTION("""COMPUTED_VALUE"""),"All/共用")</f>
        <v>All/共用</v>
      </c>
      <c r="E1514" s="1" t="str">
        <f ca="1">IFERROR(__xludf.DUMMYFUNCTION("""COMPUTED_VALUE"""),"p1/庫存")</f>
        <v>p1/庫存</v>
      </c>
      <c r="F1514" s="1">
        <f ca="1">IFERROR(__xludf.DUMMYFUNCTION("""COMPUTED_VALUE"""),-2)</f>
        <v>-2</v>
      </c>
      <c r="G1514" s="1"/>
      <c r="H1514" s="1" t="str">
        <f ca="1">IFERROR(__xludf.DUMMYFUNCTION("""COMPUTED_VALUE"""),"P1")</f>
        <v>P1</v>
      </c>
      <c r="I1514" s="1" t="str">
        <f ca="1">IFERROR(__xludf.DUMMYFUNCTION("""COMPUTED_VALUE"""),"Chiao Yu")</f>
        <v>Chiao Yu</v>
      </c>
    </row>
    <row r="1515" spans="1:9" ht="12.7" x14ac:dyDescent="0.4">
      <c r="A1515" s="2">
        <f ca="1">IFERROR(__xludf.DUMMYFUNCTION("""COMPUTED_VALUE"""),45981.4938556134)</f>
        <v>45981.4938556134</v>
      </c>
      <c r="B1515" s="1" t="str">
        <f ca="1">IFERROR(__xludf.DUMMYFUNCTION("""COMPUTED_VALUE"""),"庫存調整")</f>
        <v>庫存調整</v>
      </c>
      <c r="C1515" s="1" t="str">
        <f ca="1">IFERROR(__xludf.DUMMYFUNCTION("""COMPUTED_VALUE"""),"ME0120000230")</f>
        <v>ME0120000230</v>
      </c>
      <c r="D1515" s="1" t="str">
        <f ca="1">IFERROR(__xludf.DUMMYFUNCTION("""COMPUTED_VALUE"""),"All/共用")</f>
        <v>All/共用</v>
      </c>
      <c r="E1515" s="1" t="str">
        <f ca="1">IFERROR(__xludf.DUMMYFUNCTION("""COMPUTED_VALUE"""),"p2/庫存")</f>
        <v>p2/庫存</v>
      </c>
      <c r="F1515" s="1">
        <f ca="1">IFERROR(__xludf.DUMMYFUNCTION("""COMPUTED_VALUE"""),2)</f>
        <v>2</v>
      </c>
      <c r="G1515" s="1"/>
      <c r="H1515" s="1" t="str">
        <f ca="1">IFERROR(__xludf.DUMMYFUNCTION("""COMPUTED_VALUE"""),"P2")</f>
        <v>P2</v>
      </c>
      <c r="I1515" s="1" t="str">
        <f ca="1">IFERROR(__xludf.DUMMYFUNCTION("""COMPUTED_VALUE"""),"Chiao Yu")</f>
        <v>Chiao Yu</v>
      </c>
    </row>
    <row r="1516" spans="1:9" ht="12.7" x14ac:dyDescent="0.4">
      <c r="A1516" s="2">
        <f ca="1">IFERROR(__xludf.DUMMYFUNCTION("""COMPUTED_VALUE"""),45982.2466257175)</f>
        <v>45982.246625717496</v>
      </c>
      <c r="B1516" s="1" t="str">
        <f ca="1">IFERROR(__xludf.DUMMYFUNCTION("""COMPUTED_VALUE"""),"領料")</f>
        <v>領料</v>
      </c>
      <c r="C1516" s="1" t="str">
        <f ca="1">IFERROR(__xludf.DUMMYFUNCTION("""COMPUTED_VALUE"""),"MM0260000157 ")</f>
        <v xml:space="preserve">MM0260000157 </v>
      </c>
      <c r="D1516" s="1" t="str">
        <f ca="1">IFERROR(__xludf.DUMMYFUNCTION("""COMPUTED_VALUE"""),"All/BA")</f>
        <v>All/BA</v>
      </c>
      <c r="E1516" s="1" t="str">
        <f ca="1">IFERROR(__xludf.DUMMYFUNCTION("""COMPUTED_VALUE"""),"p2/庫存")</f>
        <v>p2/庫存</v>
      </c>
      <c r="F1516" s="1">
        <f ca="1">IFERROR(__xludf.DUMMYFUNCTION("""COMPUTED_VALUE"""),1)</f>
        <v>1</v>
      </c>
      <c r="G1516" s="1"/>
      <c r="H1516" s="1" t="str">
        <f ca="1">IFERROR(__xludf.DUMMYFUNCTION("""COMPUTED_VALUE"""),"P2_044")</f>
        <v>P2_044</v>
      </c>
      <c r="I1516" s="1" t="str">
        <f ca="1">IFERROR(__xludf.DUMMYFUNCTION("""COMPUTED_VALUE"""),"Jason")</f>
        <v>Jason</v>
      </c>
    </row>
    <row r="1517" spans="1:9" ht="12.7" x14ac:dyDescent="0.4">
      <c r="A1517" s="2">
        <f ca="1">IFERROR(__xludf.DUMMYFUNCTION("""COMPUTED_VALUE"""),45982.2526831597)</f>
        <v>45982.252683159699</v>
      </c>
      <c r="B1517" s="1" t="str">
        <f ca="1">IFERROR(__xludf.DUMMYFUNCTION("""COMPUTED_VALUE"""),"送修")</f>
        <v>送修</v>
      </c>
      <c r="C1517" s="1" t="str">
        <f ca="1">IFERROR(__xludf.DUMMYFUNCTION("""COMPUTED_VALUE"""),"ME0070000140")</f>
        <v>ME0070000140</v>
      </c>
      <c r="D1517" s="1" t="str">
        <f ca="1">IFERROR(__xludf.DUMMYFUNCTION("""COMPUTED_VALUE"""),"All/BA")</f>
        <v>All/BA</v>
      </c>
      <c r="E1517" s="1" t="str">
        <f ca="1">IFERROR(__xludf.DUMMYFUNCTION("""COMPUTED_VALUE"""),"p2/庫存")</f>
        <v>p2/庫存</v>
      </c>
      <c r="F1517" s="1">
        <f ca="1">IFERROR(__xludf.DUMMYFUNCTION("""COMPUTED_VALUE"""),1)</f>
        <v>1</v>
      </c>
      <c r="G1517" s="1" t="str">
        <f ca="1">IFERROR(__xludf.DUMMYFUNCTION("""COMPUTED_VALUE"""),"100A-2522C0138-2208")</f>
        <v>100A-2522C0138-2208</v>
      </c>
      <c r="H1517" s="1" t="str">
        <f ca="1">IFERROR(__xludf.DUMMYFUNCTION("""COMPUTED_VALUE"""),"P2_044")</f>
        <v>P2_044</v>
      </c>
      <c r="I1517" s="1" t="str">
        <f ca="1">IFERROR(__xludf.DUMMYFUNCTION("""COMPUTED_VALUE"""),"Jason")</f>
        <v>Jason</v>
      </c>
    </row>
    <row r="1518" spans="1:9" ht="12.7" x14ac:dyDescent="0.4">
      <c r="A1518" s="2">
        <f ca="1">IFERROR(__xludf.DUMMYFUNCTION("""COMPUTED_VALUE"""),45982.2538276736)</f>
        <v>45982.253827673601</v>
      </c>
      <c r="B1518" s="1" t="str">
        <f ca="1">IFERROR(__xludf.DUMMYFUNCTION("""COMPUTED_VALUE"""),"料件上線時間")</f>
        <v>料件上線時間</v>
      </c>
      <c r="C1518" s="1" t="str">
        <f ca="1">IFERROR(__xludf.DUMMYFUNCTION("""COMPUTED_VALUE"""),"ME0070000140")</f>
        <v>ME0070000140</v>
      </c>
      <c r="D1518" s="1" t="str">
        <f ca="1">IFERROR(__xludf.DUMMYFUNCTION("""COMPUTED_VALUE"""),"All/BA")</f>
        <v>All/BA</v>
      </c>
      <c r="E1518" s="1" t="str">
        <f ca="1">IFERROR(__xludf.DUMMYFUNCTION("""COMPUTED_VALUE"""),"p2/庫存")</f>
        <v>p2/庫存</v>
      </c>
      <c r="F1518" s="1">
        <f ca="1">IFERROR(__xludf.DUMMYFUNCTION("""COMPUTED_VALUE"""),1)</f>
        <v>1</v>
      </c>
      <c r="G1518" s="1" t="str">
        <f ca="1">IFERROR(__xludf.DUMMYFUNCTION("""COMPUTED_VALUE"""),"100A-25/24L0003-2507")</f>
        <v>100A-25/24L0003-2507</v>
      </c>
      <c r="H1518" s="1" t="str">
        <f ca="1">IFERROR(__xludf.DUMMYFUNCTION("""COMPUTED_VALUE"""),"P2_044")</f>
        <v>P2_044</v>
      </c>
      <c r="I1518" s="1" t="str">
        <f ca="1">IFERROR(__xludf.DUMMYFUNCTION("""COMPUTED_VALUE"""),"Jason")</f>
        <v>Jason</v>
      </c>
    </row>
    <row r="1519" spans="1:9" ht="12.7" x14ac:dyDescent="0.4">
      <c r="A1519" s="2">
        <f ca="1">IFERROR(__xludf.DUMMYFUNCTION("""COMPUTED_VALUE"""),45982.2674637152)</f>
        <v>45982.267463715201</v>
      </c>
      <c r="B1519" s="1" t="str">
        <f ca="1">IFERROR(__xludf.DUMMYFUNCTION("""COMPUTED_VALUE"""),"領料")</f>
        <v>領料</v>
      </c>
      <c r="C1519" s="1" t="str">
        <f ca="1">IFERROR(__xludf.DUMMYFUNCTION("""COMPUTED_VALUE"""),"AGT000000010")</f>
        <v>AGT000000010</v>
      </c>
      <c r="D1519" s="1" t="str">
        <f ca="1">IFERROR(__xludf.DUMMYFUNCTION("""COMPUTED_VALUE"""),"All/BA")</f>
        <v>All/BA</v>
      </c>
      <c r="E1519" s="1" t="str">
        <f ca="1">IFERROR(__xludf.DUMMYFUNCTION("""COMPUTED_VALUE"""),"p2/庫存")</f>
        <v>p2/庫存</v>
      </c>
      <c r="F1519" s="1">
        <f ca="1">IFERROR(__xludf.DUMMYFUNCTION("""COMPUTED_VALUE"""),12)</f>
        <v>12</v>
      </c>
      <c r="G1519" s="1"/>
      <c r="H1519" s="1" t="str">
        <f ca="1">IFERROR(__xludf.DUMMYFUNCTION("""COMPUTED_VALUE"""),"P2_037，P2_044，P2_052，P2_2003")</f>
        <v>P2_037，P2_044，P2_052，P2_2003</v>
      </c>
      <c r="I1519" s="1" t="str">
        <f ca="1">IFERROR(__xludf.DUMMYFUNCTION("""COMPUTED_VALUE"""),"Jason")</f>
        <v>Jason</v>
      </c>
    </row>
    <row r="1520" spans="1:9" ht="12.7" x14ac:dyDescent="0.4">
      <c r="A1520" s="2">
        <f ca="1">IFERROR(__xludf.DUMMYFUNCTION("""COMPUTED_VALUE"""),45982.2681189699)</f>
        <v>45982.2681189699</v>
      </c>
      <c r="B1520" s="1" t="str">
        <f ca="1">IFERROR(__xludf.DUMMYFUNCTION("""COMPUTED_VALUE"""),"領料")</f>
        <v>領料</v>
      </c>
      <c r="C1520" s="1" t="str">
        <f ca="1">IFERROR(__xludf.DUMMYFUNCTION("""COMPUTED_VALUE"""),"AGT000000009")</f>
        <v>AGT000000009</v>
      </c>
      <c r="D1520" s="1" t="str">
        <f ca="1">IFERROR(__xludf.DUMMYFUNCTION("""COMPUTED_VALUE"""),"All/BA")</f>
        <v>All/BA</v>
      </c>
      <c r="E1520" s="1" t="str">
        <f ca="1">IFERROR(__xludf.DUMMYFUNCTION("""COMPUTED_VALUE"""),"p2/庫存")</f>
        <v>p2/庫存</v>
      </c>
      <c r="F1520" s="1">
        <f ca="1">IFERROR(__xludf.DUMMYFUNCTION("""COMPUTED_VALUE"""),12)</f>
        <v>12</v>
      </c>
      <c r="G1520" s="1"/>
      <c r="H1520" s="1" t="str">
        <f ca="1">IFERROR(__xludf.DUMMYFUNCTION("""COMPUTED_VALUE"""),"P2_037，P2_044，P2_052，P2_2003")</f>
        <v>P2_037，P2_044，P2_052，P2_2003</v>
      </c>
      <c r="I1520" s="1" t="str">
        <f ca="1">IFERROR(__xludf.DUMMYFUNCTION("""COMPUTED_VALUE"""),"Jason")</f>
        <v>Jason</v>
      </c>
    </row>
    <row r="1521" spans="1:9" ht="12.7" x14ac:dyDescent="0.4">
      <c r="A1521" s="2">
        <f ca="1">IFERROR(__xludf.DUMMYFUNCTION("""COMPUTED_VALUE"""),45982.2689925694)</f>
        <v>45982.268992569399</v>
      </c>
      <c r="B1521" s="1" t="str">
        <f ca="1">IFERROR(__xludf.DUMMYFUNCTION("""COMPUTED_VALUE"""),"庫存調整")</f>
        <v>庫存調整</v>
      </c>
      <c r="C1521" s="1" t="str">
        <f ca="1">IFERROR(__xludf.DUMMYFUNCTION("""COMPUTED_VALUE"""),"AGT000000005")</f>
        <v>AGT000000005</v>
      </c>
      <c r="D1521" s="1" t="str">
        <f ca="1">IFERROR(__xludf.DUMMYFUNCTION("""COMPUTED_VALUE"""),"All/BA")</f>
        <v>All/BA</v>
      </c>
      <c r="E1521" s="1" t="str">
        <f ca="1">IFERROR(__xludf.DUMMYFUNCTION("""COMPUTED_VALUE"""),"p2/庫存")</f>
        <v>p2/庫存</v>
      </c>
      <c r="F1521" s="1">
        <f ca="1">IFERROR(__xludf.DUMMYFUNCTION("""COMPUTED_VALUE"""),4)</f>
        <v>4</v>
      </c>
      <c r="G1521" s="1"/>
      <c r="H1521" s="1" t="str">
        <f ca="1">IFERROR(__xludf.DUMMYFUNCTION("""COMPUTED_VALUE"""),"P2_037，P2_044，P2_052，P2_2003")</f>
        <v>P2_037，P2_044，P2_052，P2_2003</v>
      </c>
      <c r="I1521" s="1" t="str">
        <f ca="1">IFERROR(__xludf.DUMMYFUNCTION("""COMPUTED_VALUE"""),"Jason")</f>
        <v>Jason</v>
      </c>
    </row>
    <row r="1522" spans="1:9" ht="12.7" x14ac:dyDescent="0.4">
      <c r="A1522" s="2">
        <f ca="1">IFERROR(__xludf.DUMMYFUNCTION("""COMPUTED_VALUE"""),45982.2698138541)</f>
        <v>45982.269813854102</v>
      </c>
      <c r="B1522" s="1" t="str">
        <f ca="1">IFERROR(__xludf.DUMMYFUNCTION("""COMPUTED_VALUE"""),"庫存調整")</f>
        <v>庫存調整</v>
      </c>
      <c r="C1522" s="1" t="str">
        <f ca="1">IFERROR(__xludf.DUMMYFUNCTION("""COMPUTED_VALUE"""),"ME0060000278")</f>
        <v>ME0060000278</v>
      </c>
      <c r="D1522" s="1" t="str">
        <f ca="1">IFERROR(__xludf.DUMMYFUNCTION("""COMPUTED_VALUE"""),"All/BA")</f>
        <v>All/BA</v>
      </c>
      <c r="E1522" s="1" t="str">
        <f ca="1">IFERROR(__xludf.DUMMYFUNCTION("""COMPUTED_VALUE"""),"p2/庫存")</f>
        <v>p2/庫存</v>
      </c>
      <c r="F1522" s="1">
        <f ca="1">IFERROR(__xludf.DUMMYFUNCTION("""COMPUTED_VALUE"""),4)</f>
        <v>4</v>
      </c>
      <c r="G1522" s="1"/>
      <c r="H1522" s="1" t="str">
        <f ca="1">IFERROR(__xludf.DUMMYFUNCTION("""COMPUTED_VALUE"""),"P2_037，P2_044，P2_052，P2_2003")</f>
        <v>P2_037，P2_044，P2_052，P2_2003</v>
      </c>
      <c r="I1522" s="1" t="str">
        <f ca="1">IFERROR(__xludf.DUMMYFUNCTION("""COMPUTED_VALUE"""),"Jason")</f>
        <v>Jason</v>
      </c>
    </row>
    <row r="1523" spans="1:9" ht="12.7" x14ac:dyDescent="0.4">
      <c r="A1523" s="2">
        <f ca="1">IFERROR(__xludf.DUMMYFUNCTION("""COMPUTED_VALUE"""),45982.3610864467)</f>
        <v>45982.361086446697</v>
      </c>
      <c r="B1523" s="1" t="str">
        <f ca="1">IFERROR(__xludf.DUMMYFUNCTION("""COMPUTED_VALUE"""),"庫存調整")</f>
        <v>庫存調整</v>
      </c>
      <c r="C1523" s="1" t="str">
        <f ca="1">IFERROR(__xludf.DUMMYFUNCTION("""COMPUTED_VALUE"""),"ME0060000277")</f>
        <v>ME0060000277</v>
      </c>
      <c r="D1523" s="1" t="str">
        <f ca="1">IFERROR(__xludf.DUMMYFUNCTION("""COMPUTED_VALUE"""),"All/共用")</f>
        <v>All/共用</v>
      </c>
      <c r="E1523" s="1" t="str">
        <f ca="1">IFERROR(__xludf.DUMMYFUNCTION("""COMPUTED_VALUE"""),"p2/庫存")</f>
        <v>p2/庫存</v>
      </c>
      <c r="F1523" s="1">
        <f ca="1">IFERROR(__xludf.DUMMYFUNCTION("""COMPUTED_VALUE"""),3)</f>
        <v>3</v>
      </c>
      <c r="G1523" s="1"/>
      <c r="H1523" s="1" t="str">
        <f ca="1">IFERROR(__xludf.DUMMYFUNCTION("""COMPUTED_VALUE"""),"P2")</f>
        <v>P2</v>
      </c>
      <c r="I1523" s="1" t="str">
        <f ca="1">IFERROR(__xludf.DUMMYFUNCTION("""COMPUTED_VALUE"""),"Chiao Yu")</f>
        <v>Chiao Yu</v>
      </c>
    </row>
    <row r="1524" spans="1:9" ht="12.7" x14ac:dyDescent="0.4">
      <c r="A1524" s="2">
        <f ca="1">IFERROR(__xludf.DUMMYFUNCTION("""COMPUTED_VALUE"""),45985.7306935069)</f>
        <v>45985.730693506899</v>
      </c>
      <c r="B1524" s="1" t="str">
        <f ca="1">IFERROR(__xludf.DUMMYFUNCTION("""COMPUTED_VALUE"""),"領料")</f>
        <v>領料</v>
      </c>
      <c r="C1524" s="1" t="str">
        <f ca="1">IFERROR(__xludf.DUMMYFUNCTION("""COMPUTED_VALUE"""),"AGT000000005")</f>
        <v>AGT000000005</v>
      </c>
      <c r="D1524" s="1" t="str">
        <f ca="1">IFERROR(__xludf.DUMMYFUNCTION("""COMPUTED_VALUE"""),"All/共用")</f>
        <v>All/共用</v>
      </c>
      <c r="E1524" s="1" t="str">
        <f ca="1">IFERROR(__xludf.DUMMYFUNCTION("""COMPUTED_VALUE"""),"p1/庫存")</f>
        <v>p1/庫存</v>
      </c>
      <c r="F1524" s="1">
        <f ca="1">IFERROR(__xludf.DUMMYFUNCTION("""COMPUTED_VALUE"""),1)</f>
        <v>1</v>
      </c>
      <c r="G1524" s="1"/>
      <c r="H1524" s="1" t="str">
        <f ca="1">IFERROR(__xludf.DUMMYFUNCTION("""COMPUTED_VALUE"""),"P3_028")</f>
        <v>P3_028</v>
      </c>
      <c r="I1524" s="1" t="str">
        <f ca="1">IFERROR(__xludf.DUMMYFUNCTION("""COMPUTED_VALUE"""),"Simon")</f>
        <v>Simon</v>
      </c>
    </row>
    <row r="1525" spans="1:9" ht="12.7" x14ac:dyDescent="0.4">
      <c r="A1525" s="2">
        <f ca="1">IFERROR(__xludf.DUMMYFUNCTION("""COMPUTED_VALUE"""),45986.6251212152)</f>
        <v>45986.625121215198</v>
      </c>
      <c r="B1525" s="1" t="str">
        <f ca="1">IFERROR(__xludf.DUMMYFUNCTION("""COMPUTED_VALUE"""),"進貨")</f>
        <v>進貨</v>
      </c>
      <c r="C1525" s="1" t="str">
        <f ca="1">IFERROR(__xludf.DUMMYFUNCTION("""COMPUTED_VALUE"""),"ME0020000642")</f>
        <v>ME0020000642</v>
      </c>
      <c r="D1525" s="1" t="str">
        <f ca="1">IFERROR(__xludf.DUMMYFUNCTION("""COMPUTED_VALUE"""),"All/共用")</f>
        <v>All/共用</v>
      </c>
      <c r="E1525" s="1" t="str">
        <f ca="1">IFERROR(__xludf.DUMMYFUNCTION("""COMPUTED_VALUE"""),"p1/庫存")</f>
        <v>p1/庫存</v>
      </c>
      <c r="F1525" s="1">
        <f ca="1">IFERROR(__xludf.DUMMYFUNCTION("""COMPUTED_VALUE"""),1)</f>
        <v>1</v>
      </c>
      <c r="G1525" s="1"/>
      <c r="H1525" s="1" t="str">
        <f ca="1">IFERROR(__xludf.DUMMYFUNCTION("""COMPUTED_VALUE"""),"P3")</f>
        <v>P3</v>
      </c>
      <c r="I1525" s="1" t="str">
        <f ca="1">IFERROR(__xludf.DUMMYFUNCTION("""COMPUTED_VALUE"""),"Simon")</f>
        <v>Simon</v>
      </c>
    </row>
    <row r="1526" spans="1:9" ht="12.7" x14ac:dyDescent="0.4">
      <c r="A1526" s="2">
        <f ca="1">IFERROR(__xludf.DUMMYFUNCTION("""COMPUTED_VALUE"""),45986.6263461342)</f>
        <v>45986.626346134202</v>
      </c>
      <c r="B1526" s="1" t="str">
        <f ca="1">IFERROR(__xludf.DUMMYFUNCTION("""COMPUTED_VALUE"""),"進貨")</f>
        <v>進貨</v>
      </c>
      <c r="C1526" s="1" t="str">
        <f ca="1">IFERROR(__xludf.DUMMYFUNCTION("""COMPUTED_VALUE"""),"ME0020000627")</f>
        <v>ME0020000627</v>
      </c>
      <c r="D1526" s="1" t="str">
        <f ca="1">IFERROR(__xludf.DUMMYFUNCTION("""COMPUTED_VALUE"""),"All/共用")</f>
        <v>All/共用</v>
      </c>
      <c r="E1526" s="1" t="str">
        <f ca="1">IFERROR(__xludf.DUMMYFUNCTION("""COMPUTED_VALUE"""),"p1/庫存")</f>
        <v>p1/庫存</v>
      </c>
      <c r="F1526" s="1">
        <f ca="1">IFERROR(__xludf.DUMMYFUNCTION("""COMPUTED_VALUE"""),1)</f>
        <v>1</v>
      </c>
      <c r="G1526" s="1"/>
      <c r="H1526" s="1" t="str">
        <f ca="1">IFERROR(__xludf.DUMMYFUNCTION("""COMPUTED_VALUE"""),"P3")</f>
        <v>P3</v>
      </c>
      <c r="I1526" s="1" t="str">
        <f ca="1">IFERROR(__xludf.DUMMYFUNCTION("""COMPUTED_VALUE"""),"Simon")</f>
        <v>Simon</v>
      </c>
    </row>
    <row r="1527" spans="1:9" ht="12.7" x14ac:dyDescent="0.4">
      <c r="A1527" s="2">
        <f ca="1">IFERROR(__xludf.DUMMYFUNCTION("""COMPUTED_VALUE"""),45986.6293998263)</f>
        <v>45986.629399826299</v>
      </c>
      <c r="B1527" s="1" t="str">
        <f ca="1">IFERROR(__xludf.DUMMYFUNCTION("""COMPUTED_VALUE"""),"進貨")</f>
        <v>進貨</v>
      </c>
      <c r="C1527" s="1" t="str">
        <f ca="1">IFERROR(__xludf.DUMMYFUNCTION("""COMPUTED_VALUE"""),"MM0260000266")</f>
        <v>MM0260000266</v>
      </c>
      <c r="D1527" s="1" t="str">
        <f ca="1">IFERROR(__xludf.DUMMYFUNCTION("""COMPUTED_VALUE"""),"All/BA")</f>
        <v>All/BA</v>
      </c>
      <c r="E1527" s="1" t="str">
        <f ca="1">IFERROR(__xludf.DUMMYFUNCTION("""COMPUTED_VALUE"""),"p2/庫存")</f>
        <v>p2/庫存</v>
      </c>
      <c r="F1527" s="1">
        <f ca="1">IFERROR(__xludf.DUMMYFUNCTION("""COMPUTED_VALUE"""),11)</f>
        <v>11</v>
      </c>
      <c r="G1527" s="1"/>
      <c r="H1527" s="1" t="str">
        <f ca="1">IFERROR(__xludf.DUMMYFUNCTION("""COMPUTED_VALUE"""),"P2")</f>
        <v>P2</v>
      </c>
      <c r="I1527" s="1" t="str">
        <f ca="1">IFERROR(__xludf.DUMMYFUNCTION("""COMPUTED_VALUE"""),"Simon")</f>
        <v>Simon</v>
      </c>
    </row>
    <row r="1528" spans="1:9" ht="12.7" x14ac:dyDescent="0.4">
      <c r="A1528" s="2">
        <f ca="1">IFERROR(__xludf.DUMMYFUNCTION("""COMPUTED_VALUE"""),45986.6299454282)</f>
        <v>45986.629945428198</v>
      </c>
      <c r="B1528" s="1" t="str">
        <f ca="1">IFERROR(__xludf.DUMMYFUNCTION("""COMPUTED_VALUE"""),"進貨")</f>
        <v>進貨</v>
      </c>
      <c r="C1528" s="1" t="str">
        <f ca="1">IFERROR(__xludf.DUMMYFUNCTION("""COMPUTED_VALUE"""),"MM0260000266")</f>
        <v>MM0260000266</v>
      </c>
      <c r="D1528" s="1" t="str">
        <f ca="1">IFERROR(__xludf.DUMMYFUNCTION("""COMPUTED_VALUE"""),"All/BA")</f>
        <v>All/BA</v>
      </c>
      <c r="E1528" s="1" t="str">
        <f ca="1">IFERROR(__xludf.DUMMYFUNCTION("""COMPUTED_VALUE"""),"p1/庫存")</f>
        <v>p1/庫存</v>
      </c>
      <c r="F1528" s="1">
        <f ca="1">IFERROR(__xludf.DUMMYFUNCTION("""COMPUTED_VALUE"""),2)</f>
        <v>2</v>
      </c>
      <c r="G1528" s="1"/>
      <c r="H1528" s="1" t="str">
        <f ca="1">IFERROR(__xludf.DUMMYFUNCTION("""COMPUTED_VALUE"""),"P3")</f>
        <v>P3</v>
      </c>
      <c r="I1528" s="1" t="str">
        <f ca="1">IFERROR(__xludf.DUMMYFUNCTION("""COMPUTED_VALUE"""),"Simon")</f>
        <v>Simon</v>
      </c>
    </row>
    <row r="1529" spans="1:9" ht="12.7" x14ac:dyDescent="0.4">
      <c r="A1529" s="2">
        <f ca="1">IFERROR(__xludf.DUMMYFUNCTION("""COMPUTED_VALUE"""),45986.6306004976)</f>
        <v>45986.6306004976</v>
      </c>
      <c r="B1529" s="1" t="str">
        <f ca="1">IFERROR(__xludf.DUMMYFUNCTION("""COMPUTED_VALUE"""),"進貨")</f>
        <v>進貨</v>
      </c>
      <c r="C1529" s="1" t="str">
        <f ca="1">IFERROR(__xludf.DUMMYFUNCTION("""COMPUTED_VALUE"""),"A00700000848")</f>
        <v>A00700000848</v>
      </c>
      <c r="D1529" s="1" t="str">
        <f ca="1">IFERROR(__xludf.DUMMYFUNCTION("""COMPUTED_VALUE"""),"All/SB")</f>
        <v>All/SB</v>
      </c>
      <c r="E1529" s="1" t="str">
        <f ca="1">IFERROR(__xludf.DUMMYFUNCTION("""COMPUTED_VALUE"""),"p1/庫存")</f>
        <v>p1/庫存</v>
      </c>
      <c r="F1529" s="1">
        <f ca="1">IFERROR(__xludf.DUMMYFUNCTION("""COMPUTED_VALUE"""),1)</f>
        <v>1</v>
      </c>
      <c r="G1529" s="1"/>
      <c r="H1529" s="1" t="str">
        <f ca="1">IFERROR(__xludf.DUMMYFUNCTION("""COMPUTED_VALUE"""),"P3")</f>
        <v>P3</v>
      </c>
      <c r="I1529" s="1" t="str">
        <f ca="1">IFERROR(__xludf.DUMMYFUNCTION("""COMPUTED_VALUE"""),"Simon")</f>
        <v>Simon</v>
      </c>
    </row>
    <row r="1530" spans="1:9" ht="12.7" x14ac:dyDescent="0.4">
      <c r="A1530" s="2">
        <f ca="1">IFERROR(__xludf.DUMMYFUNCTION("""COMPUTED_VALUE"""),45986.6321038888)</f>
        <v>45986.632103888798</v>
      </c>
      <c r="B1530" s="1" t="str">
        <f ca="1">IFERROR(__xludf.DUMMYFUNCTION("""COMPUTED_VALUE"""),"進貨")</f>
        <v>進貨</v>
      </c>
      <c r="C1530" s="1" t="str">
        <f ca="1">IFERROR(__xludf.DUMMYFUNCTION("""COMPUTED_VALUE"""),"A00700000837")</f>
        <v>A00700000837</v>
      </c>
      <c r="D1530" s="1" t="str">
        <f ca="1">IFERROR(__xludf.DUMMYFUNCTION("""COMPUTED_VALUE"""),"All/COLOR")</f>
        <v>All/COLOR</v>
      </c>
      <c r="E1530" s="1" t="str">
        <f ca="1">IFERROR(__xludf.DUMMYFUNCTION("""COMPUTED_VALUE"""),"p2/庫存")</f>
        <v>p2/庫存</v>
      </c>
      <c r="F1530" s="1">
        <f ca="1">IFERROR(__xludf.DUMMYFUNCTION("""COMPUTED_VALUE"""),6)</f>
        <v>6</v>
      </c>
      <c r="G1530" s="1"/>
      <c r="H1530" s="1" t="str">
        <f ca="1">IFERROR(__xludf.DUMMYFUNCTION("""COMPUTED_VALUE"""),"P2")</f>
        <v>P2</v>
      </c>
      <c r="I1530" s="1" t="str">
        <f ca="1">IFERROR(__xludf.DUMMYFUNCTION("""COMPUTED_VALUE"""),"Simon")</f>
        <v>Simon</v>
      </c>
    </row>
    <row r="1531" spans="1:9" ht="12.7" x14ac:dyDescent="0.4">
      <c r="A1531" s="2">
        <f ca="1">IFERROR(__xludf.DUMMYFUNCTION("""COMPUTED_VALUE"""),45986.6325346527)</f>
        <v>45986.632534652701</v>
      </c>
      <c r="B1531" s="1" t="str">
        <f ca="1">IFERROR(__xludf.DUMMYFUNCTION("""COMPUTED_VALUE"""),"進貨")</f>
        <v>進貨</v>
      </c>
      <c r="C1531" s="1" t="str">
        <f ca="1">IFERROR(__xludf.DUMMYFUNCTION("""COMPUTED_VALUE"""),"A00700000837")</f>
        <v>A00700000837</v>
      </c>
      <c r="D1531" s="1" t="str">
        <f ca="1">IFERROR(__xludf.DUMMYFUNCTION("""COMPUTED_VALUE"""),"All/COLOR")</f>
        <v>All/COLOR</v>
      </c>
      <c r="E1531" s="1" t="str">
        <f ca="1">IFERROR(__xludf.DUMMYFUNCTION("""COMPUTED_VALUE"""),"p1/庫存")</f>
        <v>p1/庫存</v>
      </c>
      <c r="F1531" s="1">
        <f ca="1">IFERROR(__xludf.DUMMYFUNCTION("""COMPUTED_VALUE"""),6)</f>
        <v>6</v>
      </c>
      <c r="G1531" s="1"/>
      <c r="H1531" s="1" t="str">
        <f ca="1">IFERROR(__xludf.DUMMYFUNCTION("""COMPUTED_VALUE"""),"P3")</f>
        <v>P3</v>
      </c>
      <c r="I1531" s="1" t="str">
        <f ca="1">IFERROR(__xludf.DUMMYFUNCTION("""COMPUTED_VALUE"""),"Simon")</f>
        <v>Simon</v>
      </c>
    </row>
    <row r="1532" spans="1:9" ht="12.7" x14ac:dyDescent="0.4">
      <c r="A1532" s="2">
        <f ca="1">IFERROR(__xludf.DUMMYFUNCTION("""COMPUTED_VALUE"""),45986.6336039583)</f>
        <v>45986.633603958297</v>
      </c>
      <c r="B1532" s="1" t="str">
        <f ca="1">IFERROR(__xludf.DUMMYFUNCTION("""COMPUTED_VALUE"""),"進貨")</f>
        <v>進貨</v>
      </c>
      <c r="C1532" s="1" t="str">
        <f ca="1">IFERROR(__xludf.DUMMYFUNCTION("""COMPUTED_VALUE"""),"MM0260000077")</f>
        <v>MM0260000077</v>
      </c>
      <c r="D1532" s="1" t="str">
        <f ca="1">IFERROR(__xludf.DUMMYFUNCTION("""COMPUTED_VALUE"""),"All/BA")</f>
        <v>All/BA</v>
      </c>
      <c r="E1532" s="1" t="str">
        <f ca="1">IFERROR(__xludf.DUMMYFUNCTION("""COMPUTED_VALUE"""),"p2/庫存")</f>
        <v>p2/庫存</v>
      </c>
      <c r="F1532" s="1">
        <f ca="1">IFERROR(__xludf.DUMMYFUNCTION("""COMPUTED_VALUE"""),56)</f>
        <v>56</v>
      </c>
      <c r="G1532" s="1"/>
      <c r="H1532" s="1" t="str">
        <f ca="1">IFERROR(__xludf.DUMMYFUNCTION("""COMPUTED_VALUE"""),"P2")</f>
        <v>P2</v>
      </c>
      <c r="I1532" s="1" t="str">
        <f ca="1">IFERROR(__xludf.DUMMYFUNCTION("""COMPUTED_VALUE"""),"Simon")</f>
        <v>Simon</v>
      </c>
    </row>
    <row r="1533" spans="1:9" ht="12.7" x14ac:dyDescent="0.4">
      <c r="A1533" s="2">
        <f ca="1">IFERROR(__xludf.DUMMYFUNCTION("""COMPUTED_VALUE"""),45986.6353165856)</f>
        <v>45986.635316585598</v>
      </c>
      <c r="B1533" s="1" t="str">
        <f ca="1">IFERROR(__xludf.DUMMYFUNCTION("""COMPUTED_VALUE"""),"進貨")</f>
        <v>進貨</v>
      </c>
      <c r="C1533" s="1" t="str">
        <f ca="1">IFERROR(__xludf.DUMMYFUNCTION("""COMPUTED_VALUE"""),"ME0120000230")</f>
        <v>ME0120000230</v>
      </c>
      <c r="D1533" s="1" t="str">
        <f ca="1">IFERROR(__xludf.DUMMYFUNCTION("""COMPUTED_VALUE"""),"All/共用")</f>
        <v>All/共用</v>
      </c>
      <c r="E1533" s="1" t="str">
        <f ca="1">IFERROR(__xludf.DUMMYFUNCTION("""COMPUTED_VALUE"""),"p1/庫存")</f>
        <v>p1/庫存</v>
      </c>
      <c r="F1533" s="1">
        <f ca="1">IFERROR(__xludf.DUMMYFUNCTION("""COMPUTED_VALUE"""),2)</f>
        <v>2</v>
      </c>
      <c r="G1533" s="1"/>
      <c r="H1533" s="1" t="str">
        <f ca="1">IFERROR(__xludf.DUMMYFUNCTION("""COMPUTED_VALUE"""),"P3")</f>
        <v>P3</v>
      </c>
      <c r="I1533" s="1" t="str">
        <f ca="1">IFERROR(__xludf.DUMMYFUNCTION("""COMPUTED_VALUE"""),"Simon")</f>
        <v>Simon</v>
      </c>
    </row>
    <row r="1534" spans="1:9" ht="12.7" x14ac:dyDescent="0.4">
      <c r="A1534" s="2">
        <f ca="1">IFERROR(__xludf.DUMMYFUNCTION("""COMPUTED_VALUE"""),45986.6362484375)</f>
        <v>45986.636248437499</v>
      </c>
      <c r="B1534" s="1" t="str">
        <f ca="1">IFERROR(__xludf.DUMMYFUNCTION("""COMPUTED_VALUE"""),"進貨")</f>
        <v>進貨</v>
      </c>
      <c r="C1534" s="1" t="str">
        <f ca="1">IFERROR(__xludf.DUMMYFUNCTION("""COMPUTED_VALUE"""),"MM0260000200")</f>
        <v>MM0260000200</v>
      </c>
      <c r="D1534" s="1" t="str">
        <f ca="1">IFERROR(__xludf.DUMMYFUNCTION("""COMPUTED_VALUE"""),"All/RL")</f>
        <v>All/RL</v>
      </c>
      <c r="E1534" s="1" t="str">
        <f ca="1">IFERROR(__xludf.DUMMYFUNCTION("""COMPUTED_VALUE"""),"p1/庫存")</f>
        <v>p1/庫存</v>
      </c>
      <c r="F1534" s="1">
        <f ca="1">IFERROR(__xludf.DUMMYFUNCTION("""COMPUTED_VALUE"""),1)</f>
        <v>1</v>
      </c>
      <c r="G1534" s="1"/>
      <c r="H1534" s="1" t="str">
        <f ca="1">IFERROR(__xludf.DUMMYFUNCTION("""COMPUTED_VALUE"""),"P3")</f>
        <v>P3</v>
      </c>
      <c r="I1534" s="1" t="str">
        <f ca="1">IFERROR(__xludf.DUMMYFUNCTION("""COMPUTED_VALUE"""),"Simon")</f>
        <v>Simon</v>
      </c>
    </row>
    <row r="1535" spans="1:9" ht="12.7" x14ac:dyDescent="0.4">
      <c r="A1535" s="2">
        <f ca="1">IFERROR(__xludf.DUMMYFUNCTION("""COMPUTED_VALUE"""),45986.8333112963)</f>
        <v>45986.833311296301</v>
      </c>
      <c r="B1535" s="1" t="str">
        <f ca="1">IFERROR(__xludf.DUMMYFUNCTION("""COMPUTED_VALUE"""),"進貨")</f>
        <v>進貨</v>
      </c>
      <c r="C1535" s="1" t="str">
        <f ca="1">IFERROR(__xludf.DUMMYFUNCTION("""COMPUTED_VALUE"""),"AGT000000009")</f>
        <v>AGT000000009</v>
      </c>
      <c r="D1535" s="1" t="str">
        <f ca="1">IFERROR(__xludf.DUMMYFUNCTION("""COMPUTED_VALUE"""),"All/共用")</f>
        <v>All/共用</v>
      </c>
      <c r="E1535" s="1" t="str">
        <f ca="1">IFERROR(__xludf.DUMMYFUNCTION("""COMPUTED_VALUE"""),"p2/庫存")</f>
        <v>p2/庫存</v>
      </c>
      <c r="F1535" s="1">
        <f ca="1">IFERROR(__xludf.DUMMYFUNCTION("""COMPUTED_VALUE"""),80)</f>
        <v>80</v>
      </c>
      <c r="G1535" s="1"/>
      <c r="H1535" s="1" t="str">
        <f ca="1">IFERROR(__xludf.DUMMYFUNCTION("""COMPUTED_VALUE"""),"P2")</f>
        <v>P2</v>
      </c>
      <c r="I1535" s="1" t="str">
        <f ca="1">IFERROR(__xludf.DUMMYFUNCTION("""COMPUTED_VALUE"""),"Simon")</f>
        <v>Simon</v>
      </c>
    </row>
    <row r="1536" spans="1:9" ht="12.7" x14ac:dyDescent="0.4">
      <c r="A1536" s="2">
        <f ca="1">IFERROR(__xludf.DUMMYFUNCTION("""COMPUTED_VALUE"""),45986.833905787)</f>
        <v>45986.833905787003</v>
      </c>
      <c r="B1536" s="1" t="str">
        <f ca="1">IFERROR(__xludf.DUMMYFUNCTION("""COMPUTED_VALUE"""),"進貨")</f>
        <v>進貨</v>
      </c>
      <c r="C1536" s="1" t="str">
        <f ca="1">IFERROR(__xludf.DUMMYFUNCTION("""COMPUTED_VALUE"""),"AGT000000010")</f>
        <v>AGT000000010</v>
      </c>
      <c r="D1536" s="1" t="str">
        <f ca="1">IFERROR(__xludf.DUMMYFUNCTION("""COMPUTED_VALUE"""),"All/共用")</f>
        <v>All/共用</v>
      </c>
      <c r="E1536" s="1" t="str">
        <f ca="1">IFERROR(__xludf.DUMMYFUNCTION("""COMPUTED_VALUE"""),"p2/庫存")</f>
        <v>p2/庫存</v>
      </c>
      <c r="F1536" s="1">
        <f ca="1">IFERROR(__xludf.DUMMYFUNCTION("""COMPUTED_VALUE"""),80)</f>
        <v>80</v>
      </c>
      <c r="G1536" s="1"/>
      <c r="H1536" s="1" t="str">
        <f ca="1">IFERROR(__xludf.DUMMYFUNCTION("""COMPUTED_VALUE"""),"P2")</f>
        <v>P2</v>
      </c>
      <c r="I1536" s="1" t="str">
        <f ca="1">IFERROR(__xludf.DUMMYFUNCTION("""COMPUTED_VALUE"""),"Simon")</f>
        <v>Simon</v>
      </c>
    </row>
    <row r="1537" spans="1:9" ht="12.7" x14ac:dyDescent="0.4">
      <c r="A1537" s="2">
        <f ca="1">IFERROR(__xludf.DUMMYFUNCTION("""COMPUTED_VALUE"""),45986.9199309838)</f>
        <v>45986.9199309838</v>
      </c>
      <c r="B1537" s="1" t="str">
        <f ca="1">IFERROR(__xludf.DUMMYFUNCTION("""COMPUTED_VALUE"""),"料件上線時間")</f>
        <v>料件上線時間</v>
      </c>
      <c r="C1537" s="1" t="str">
        <f ca="1">IFERROR(__xludf.DUMMYFUNCTION("""COMPUTED_VALUE"""),"ME0020000592")</f>
        <v>ME0020000592</v>
      </c>
      <c r="D1537" s="1" t="str">
        <f ca="1">IFERROR(__xludf.DUMMYFUNCTION("""COMPUTED_VALUE"""),"All/共用")</f>
        <v>All/共用</v>
      </c>
      <c r="E1537" s="1" t="str">
        <f ca="1">IFERROR(__xludf.DUMMYFUNCTION("""COMPUTED_VALUE"""),"p2/庫存")</f>
        <v>p2/庫存</v>
      </c>
      <c r="F1537" s="1">
        <f ca="1">IFERROR(__xludf.DUMMYFUNCTION("""COMPUTED_VALUE"""),1)</f>
        <v>1</v>
      </c>
      <c r="G1537" s="1" t="str">
        <f ca="1">IFERROR(__xludf.DUMMYFUNCTION("""COMPUTED_VALUE"""),"R9PTA0K0KKB")</f>
        <v>R9PTA0K0KKB</v>
      </c>
      <c r="H1537" s="1" t="str">
        <f ca="1">IFERROR(__xludf.DUMMYFUNCTION("""COMPUTED_VALUE"""),"P2_7002")</f>
        <v>P2_7002</v>
      </c>
      <c r="I1537" s="1" t="str">
        <f ca="1">IFERROR(__xludf.DUMMYFUNCTION("""COMPUTED_VALUE"""),"Jason")</f>
        <v>Jason</v>
      </c>
    </row>
    <row r="1538" spans="1:9" ht="12.7" x14ac:dyDescent="0.4">
      <c r="A1538" s="2">
        <f ca="1">IFERROR(__xludf.DUMMYFUNCTION("""COMPUTED_VALUE"""),45986.924926655)</f>
        <v>45986.924926655003</v>
      </c>
      <c r="B1538" s="1" t="str">
        <f ca="1">IFERROR(__xludf.DUMMYFUNCTION("""COMPUTED_VALUE"""),"自行維修")</f>
        <v>自行維修</v>
      </c>
      <c r="C1538" s="1" t="str">
        <f ca="1">IFERROR(__xludf.DUMMYFUNCTION("""COMPUTED_VALUE"""),"ME0020000592")</f>
        <v>ME0020000592</v>
      </c>
      <c r="D1538" s="1" t="str">
        <f ca="1">IFERROR(__xludf.DUMMYFUNCTION("""COMPUTED_VALUE"""),"All/共用")</f>
        <v>All/共用</v>
      </c>
      <c r="E1538" s="1" t="str">
        <f ca="1">IFERROR(__xludf.DUMMYFUNCTION("""COMPUTED_VALUE"""),"p2/庫存")</f>
        <v>p2/庫存</v>
      </c>
      <c r="F1538" s="1">
        <f ca="1">IFERROR(__xludf.DUMMYFUNCTION("""COMPUTED_VALUE"""),1)</f>
        <v>1</v>
      </c>
      <c r="G1538" s="1" t="str">
        <f ca="1">IFERROR(__xludf.DUMMYFUNCTION("""COMPUTED_VALUE"""),"R9TX50GGX2D")</f>
        <v>R9TX50GGX2D</v>
      </c>
      <c r="H1538" s="1" t="str">
        <f ca="1">IFERROR(__xludf.DUMMYFUNCTION("""COMPUTED_VALUE"""),"P2_7002")</f>
        <v>P2_7002</v>
      </c>
      <c r="I1538" s="1" t="str">
        <f ca="1">IFERROR(__xludf.DUMMYFUNCTION("""COMPUTED_VALUE"""),"Jason")</f>
        <v>Jason</v>
      </c>
    </row>
    <row r="1539" spans="1:9" ht="12.7" x14ac:dyDescent="0.4">
      <c r="A1539" s="2">
        <f ca="1">IFERROR(__xludf.DUMMYFUNCTION("""COMPUTED_VALUE"""),45987.6208449305)</f>
        <v>45987.620844930498</v>
      </c>
      <c r="B1539" s="1" t="str">
        <f ca="1">IFERROR(__xludf.DUMMYFUNCTION("""COMPUTED_VALUE"""),"領料")</f>
        <v>領料</v>
      </c>
      <c r="C1539" s="1" t="str">
        <f ca="1">IFERROR(__xludf.DUMMYFUNCTION("""COMPUTED_VALUE"""),"ME0120000048")</f>
        <v>ME0120000048</v>
      </c>
      <c r="D1539" s="1" t="str">
        <f ca="1">IFERROR(__xludf.DUMMYFUNCTION("""COMPUTED_VALUE"""),"All/共用")</f>
        <v>All/共用</v>
      </c>
      <c r="E1539" s="1" t="str">
        <f ca="1">IFERROR(__xludf.DUMMYFUNCTION("""COMPUTED_VALUE"""),"p1/庫存")</f>
        <v>p1/庫存</v>
      </c>
      <c r="F1539" s="1">
        <f ca="1">IFERROR(__xludf.DUMMYFUNCTION("""COMPUTED_VALUE"""),1)</f>
        <v>1</v>
      </c>
      <c r="G1539" s="1"/>
      <c r="H1539" s="1" t="str">
        <f ca="1">IFERROR(__xludf.DUMMYFUNCTION("""COMPUTED_VALUE"""),"無")</f>
        <v>無</v>
      </c>
      <c r="I1539" s="1" t="str">
        <f ca="1">IFERROR(__xludf.DUMMYFUNCTION("""COMPUTED_VALUE"""),"Simon")</f>
        <v>Simon</v>
      </c>
    </row>
    <row r="1540" spans="1:9" ht="12.7" x14ac:dyDescent="0.4">
      <c r="A1540" s="2">
        <f ca="1">IFERROR(__xludf.DUMMYFUNCTION("""COMPUTED_VALUE"""),45987.6224343634)</f>
        <v>45987.622434363402</v>
      </c>
      <c r="B1540" s="1" t="str">
        <f ca="1">IFERROR(__xludf.DUMMYFUNCTION("""COMPUTED_VALUE"""),"領料")</f>
        <v>領料</v>
      </c>
      <c r="C1540" s="1" t="str">
        <f ca="1">IFERROR(__xludf.DUMMYFUNCTION("""COMPUTED_VALUE"""),"ME0120000048")</f>
        <v>ME0120000048</v>
      </c>
      <c r="D1540" s="1" t="str">
        <f ca="1">IFERROR(__xludf.DUMMYFUNCTION("""COMPUTED_VALUE"""),"All/共用")</f>
        <v>All/共用</v>
      </c>
      <c r="E1540" s="1" t="str">
        <f ca="1">IFERROR(__xludf.DUMMYFUNCTION("""COMPUTED_VALUE"""),"p1/庫存")</f>
        <v>p1/庫存</v>
      </c>
      <c r="F1540" s="1">
        <f ca="1">IFERROR(__xludf.DUMMYFUNCTION("""COMPUTED_VALUE"""),0)</f>
        <v>0</v>
      </c>
      <c r="G1540" s="1"/>
      <c r="H1540" s="1" t="str">
        <f ca="1">IFERROR(__xludf.DUMMYFUNCTION("""COMPUTED_VALUE"""),"P3")</f>
        <v>P3</v>
      </c>
      <c r="I1540" s="1" t="str">
        <f ca="1">IFERROR(__xludf.DUMMYFUNCTION("""COMPUTED_VALUE"""),"Chiao Yu")</f>
        <v>Chiao Yu</v>
      </c>
    </row>
    <row r="1541" spans="1:9" ht="12.7" x14ac:dyDescent="0.4">
      <c r="A1541" s="2">
        <f ca="1">IFERROR(__xludf.DUMMYFUNCTION("""COMPUTED_VALUE"""),45988.2357497222)</f>
        <v>45988.235749722196</v>
      </c>
      <c r="B1541" s="1" t="str">
        <f ca="1">IFERROR(__xludf.DUMMYFUNCTION("""COMPUTED_VALUE"""),"領料")</f>
        <v>領料</v>
      </c>
      <c r="C1541" s="1" t="str">
        <f ca="1">IFERROR(__xludf.DUMMYFUNCTION("""COMPUTED_VALUE"""),"ME0270001045")</f>
        <v>ME0270001045</v>
      </c>
      <c r="D1541" s="1" t="str">
        <f ca="1">IFERROR(__xludf.DUMMYFUNCTION("""COMPUTED_VALUE"""),"All/共用")</f>
        <v>All/共用</v>
      </c>
      <c r="E1541" s="1" t="str">
        <f ca="1">IFERROR(__xludf.DUMMYFUNCTION("""COMPUTED_VALUE"""),"p2/庫存")</f>
        <v>p2/庫存</v>
      </c>
      <c r="F1541" s="1">
        <f ca="1">IFERROR(__xludf.DUMMYFUNCTION("""COMPUTED_VALUE"""),1)</f>
        <v>1</v>
      </c>
      <c r="G1541" s="1"/>
      <c r="H1541" s="1" t="str">
        <f ca="1">IFERROR(__xludf.DUMMYFUNCTION("""COMPUTED_VALUE"""),"P2_043")</f>
        <v>P2_043</v>
      </c>
      <c r="I1541" s="1" t="str">
        <f ca="1">IFERROR(__xludf.DUMMYFUNCTION("""COMPUTED_VALUE"""),"Jason")</f>
        <v>Jason</v>
      </c>
    </row>
    <row r="1542" spans="1:9" ht="12.7" x14ac:dyDescent="0.4">
      <c r="A1542" s="2">
        <f ca="1">IFERROR(__xludf.DUMMYFUNCTION("""COMPUTED_VALUE"""),45988.5082963888)</f>
        <v>45988.508296388798</v>
      </c>
      <c r="B1542" s="1" t="str">
        <f ca="1">IFERROR(__xludf.DUMMYFUNCTION("""COMPUTED_VALUE"""),"庫存調整")</f>
        <v>庫存調整</v>
      </c>
      <c r="C1542" s="1" t="str">
        <f ca="1">IFERROR(__xludf.DUMMYFUNCTION("""COMPUTED_VALUE"""),"AGT000000009")</f>
        <v>AGT000000009</v>
      </c>
      <c r="D1542" s="1" t="str">
        <f ca="1">IFERROR(__xludf.DUMMYFUNCTION("""COMPUTED_VALUE"""),"All/共用")</f>
        <v>All/共用</v>
      </c>
      <c r="E1542" s="1" t="str">
        <f ca="1">IFERROR(__xludf.DUMMYFUNCTION("""COMPUTED_VALUE"""),"p1/庫存")</f>
        <v>p1/庫存</v>
      </c>
      <c r="F1542" s="1">
        <f ca="1">IFERROR(__xludf.DUMMYFUNCTION("""COMPUTED_VALUE"""),-2)</f>
        <v>-2</v>
      </c>
      <c r="G1542" s="1"/>
      <c r="H1542" s="1" t="str">
        <f ca="1">IFERROR(__xludf.DUMMYFUNCTION("""COMPUTED_VALUE"""),"P3")</f>
        <v>P3</v>
      </c>
      <c r="I1542" s="1" t="str">
        <f ca="1">IFERROR(__xludf.DUMMYFUNCTION("""COMPUTED_VALUE"""),"Chiao Yu")</f>
        <v>Chiao Yu</v>
      </c>
    </row>
    <row r="1543" spans="1:9" ht="12.7" x14ac:dyDescent="0.4">
      <c r="A1543" s="2">
        <f ca="1">IFERROR(__xludf.DUMMYFUNCTION("""COMPUTED_VALUE"""),45988.5087928935)</f>
        <v>45988.508792893503</v>
      </c>
      <c r="B1543" s="1" t="str">
        <f ca="1">IFERROR(__xludf.DUMMYFUNCTION("""COMPUTED_VALUE"""),"庫存調整")</f>
        <v>庫存調整</v>
      </c>
      <c r="C1543" s="1" t="str">
        <f ca="1">IFERROR(__xludf.DUMMYFUNCTION("""COMPUTED_VALUE"""),"AGT000000009")</f>
        <v>AGT000000009</v>
      </c>
      <c r="D1543" s="1" t="str">
        <f ca="1">IFERROR(__xludf.DUMMYFUNCTION("""COMPUTED_VALUE"""),"All/共用")</f>
        <v>All/共用</v>
      </c>
      <c r="E1543" s="1" t="str">
        <f ca="1">IFERROR(__xludf.DUMMYFUNCTION("""COMPUTED_VALUE"""),"p2/庫存")</f>
        <v>p2/庫存</v>
      </c>
      <c r="F1543" s="1">
        <f ca="1">IFERROR(__xludf.DUMMYFUNCTION("""COMPUTED_VALUE"""),2)</f>
        <v>2</v>
      </c>
      <c r="G1543" s="1"/>
      <c r="H1543" s="1" t="str">
        <f ca="1">IFERROR(__xludf.DUMMYFUNCTION("""COMPUTED_VALUE"""),"P2")</f>
        <v>P2</v>
      </c>
      <c r="I1543" s="1" t="str">
        <f ca="1">IFERROR(__xludf.DUMMYFUNCTION("""COMPUTED_VALUE"""),"Chiao Yu")</f>
        <v>Chiao Yu</v>
      </c>
    </row>
    <row r="1544" spans="1:9" ht="12.7" x14ac:dyDescent="0.4">
      <c r="A1544" s="2">
        <f ca="1">IFERROR(__xludf.DUMMYFUNCTION("""COMPUTED_VALUE"""),45988.5094345717)</f>
        <v>45988.509434571701</v>
      </c>
      <c r="B1544" s="1" t="str">
        <f ca="1">IFERROR(__xludf.DUMMYFUNCTION("""COMPUTED_VALUE"""),"庫存調整")</f>
        <v>庫存調整</v>
      </c>
      <c r="C1544" s="1" t="str">
        <f ca="1">IFERROR(__xludf.DUMMYFUNCTION("""COMPUTED_VALUE"""),"AGT000000010")</f>
        <v>AGT000000010</v>
      </c>
      <c r="D1544" s="1" t="str">
        <f ca="1">IFERROR(__xludf.DUMMYFUNCTION("""COMPUTED_VALUE"""),"All/共用")</f>
        <v>All/共用</v>
      </c>
      <c r="E1544" s="1" t="str">
        <f ca="1">IFERROR(__xludf.DUMMYFUNCTION("""COMPUTED_VALUE"""),"p1/庫存")</f>
        <v>p1/庫存</v>
      </c>
      <c r="F1544" s="1">
        <f ca="1">IFERROR(__xludf.DUMMYFUNCTION("""COMPUTED_VALUE"""),-4)</f>
        <v>-4</v>
      </c>
      <c r="G1544" s="1"/>
      <c r="H1544" s="1" t="str">
        <f ca="1">IFERROR(__xludf.DUMMYFUNCTION("""COMPUTED_VALUE"""),"P3")</f>
        <v>P3</v>
      </c>
      <c r="I1544" s="1" t="str">
        <f ca="1">IFERROR(__xludf.DUMMYFUNCTION("""COMPUTED_VALUE"""),"Chiao Yu")</f>
        <v>Chiao Yu</v>
      </c>
    </row>
    <row r="1545" spans="1:9" ht="12.7" x14ac:dyDescent="0.4">
      <c r="A1545" s="2">
        <f ca="1">IFERROR(__xludf.DUMMYFUNCTION("""COMPUTED_VALUE"""),45988.5108204282)</f>
        <v>45988.510820428201</v>
      </c>
      <c r="B1545" s="1" t="str">
        <f ca="1">IFERROR(__xludf.DUMMYFUNCTION("""COMPUTED_VALUE"""),"庫存調整")</f>
        <v>庫存調整</v>
      </c>
      <c r="C1545" s="1" t="str">
        <f ca="1">IFERROR(__xludf.DUMMYFUNCTION("""COMPUTED_VALUE"""),"AGT000000010")</f>
        <v>AGT000000010</v>
      </c>
      <c r="D1545" s="1" t="str">
        <f ca="1">IFERROR(__xludf.DUMMYFUNCTION("""COMPUTED_VALUE"""),"All/共用")</f>
        <v>All/共用</v>
      </c>
      <c r="E1545" s="1" t="str">
        <f ca="1">IFERROR(__xludf.DUMMYFUNCTION("""COMPUTED_VALUE"""),"p2/庫存")</f>
        <v>p2/庫存</v>
      </c>
      <c r="F1545" s="1">
        <f ca="1">IFERROR(__xludf.DUMMYFUNCTION("""COMPUTED_VALUE"""),4)</f>
        <v>4</v>
      </c>
      <c r="G1545" s="1"/>
      <c r="H1545" s="1" t="str">
        <f ca="1">IFERROR(__xludf.DUMMYFUNCTION("""COMPUTED_VALUE"""),"P2")</f>
        <v>P2</v>
      </c>
      <c r="I1545" s="1" t="str">
        <f ca="1">IFERROR(__xludf.DUMMYFUNCTION("""COMPUTED_VALUE"""),"Chiao Yu")</f>
        <v>Chiao Yu</v>
      </c>
    </row>
    <row r="1546" spans="1:9" ht="12.7" x14ac:dyDescent="0.4">
      <c r="A1546" s="2">
        <f ca="1">IFERROR(__xludf.DUMMYFUNCTION("""COMPUTED_VALUE"""),45988.6619838657)</f>
        <v>45988.661983865699</v>
      </c>
      <c r="B1546" s="1" t="str">
        <f ca="1">IFERROR(__xludf.DUMMYFUNCTION("""COMPUTED_VALUE"""),"領料")</f>
        <v>領料</v>
      </c>
      <c r="C1546" s="1" t="str">
        <f ca="1">IFERROR(__xludf.DUMMYFUNCTION("""COMPUTED_VALUE"""),"AGT000000009")</f>
        <v>AGT000000009</v>
      </c>
      <c r="D1546" s="1" t="str">
        <f ca="1">IFERROR(__xludf.DUMMYFUNCTION("""COMPUTED_VALUE"""),"All/共用")</f>
        <v>All/共用</v>
      </c>
      <c r="E1546" s="1" t="str">
        <f ca="1">IFERROR(__xludf.DUMMYFUNCTION("""COMPUTED_VALUE"""),"p2/庫存")</f>
        <v>p2/庫存</v>
      </c>
      <c r="F1546" s="1">
        <f ca="1">IFERROR(__xludf.DUMMYFUNCTION("""COMPUTED_VALUE"""),72)</f>
        <v>72</v>
      </c>
      <c r="G1546" s="1"/>
      <c r="H1546" s="1" t="str">
        <f ca="1">IFERROR(__xludf.DUMMYFUNCTION("""COMPUTED_VALUE"""),"P2")</f>
        <v>P2</v>
      </c>
      <c r="I1546" s="1" t="str">
        <f ca="1">IFERROR(__xludf.DUMMYFUNCTION("""COMPUTED_VALUE"""),"Chiao Yu")</f>
        <v>Chiao Yu</v>
      </c>
    </row>
    <row r="1547" spans="1:9" ht="12.7" x14ac:dyDescent="0.4">
      <c r="A1547" s="2">
        <f ca="1">IFERROR(__xludf.DUMMYFUNCTION("""COMPUTED_VALUE"""),45988.6624783564)</f>
        <v>45988.662478356397</v>
      </c>
      <c r="B1547" s="1" t="str">
        <f ca="1">IFERROR(__xludf.DUMMYFUNCTION("""COMPUTED_VALUE"""),"領料")</f>
        <v>領料</v>
      </c>
      <c r="C1547" s="1" t="str">
        <f ca="1">IFERROR(__xludf.DUMMYFUNCTION("""COMPUTED_VALUE"""),"AGT000000010")</f>
        <v>AGT000000010</v>
      </c>
      <c r="D1547" s="1" t="str">
        <f ca="1">IFERROR(__xludf.DUMMYFUNCTION("""COMPUTED_VALUE"""),"All/共用")</f>
        <v>All/共用</v>
      </c>
      <c r="E1547" s="1" t="str">
        <f ca="1">IFERROR(__xludf.DUMMYFUNCTION("""COMPUTED_VALUE"""),"p2/庫存")</f>
        <v>p2/庫存</v>
      </c>
      <c r="F1547" s="1">
        <f ca="1">IFERROR(__xludf.DUMMYFUNCTION("""COMPUTED_VALUE"""),72)</f>
        <v>72</v>
      </c>
      <c r="G1547" s="1"/>
      <c r="H1547" s="1" t="str">
        <f ca="1">IFERROR(__xludf.DUMMYFUNCTION("""COMPUTED_VALUE"""),"P2")</f>
        <v>P2</v>
      </c>
      <c r="I1547" s="1" t="str">
        <f ca="1">IFERROR(__xludf.DUMMYFUNCTION("""COMPUTED_VALUE"""),"Chiao Yu")</f>
        <v>Chiao Yu</v>
      </c>
    </row>
    <row r="1548" spans="1:9" ht="12.7" x14ac:dyDescent="0.4">
      <c r="A1548" s="2">
        <f ca="1">IFERROR(__xludf.DUMMYFUNCTION("""COMPUTED_VALUE"""),45989.2996506944)</f>
        <v>45989.299650694396</v>
      </c>
      <c r="B1548" s="1" t="str">
        <f ca="1">IFERROR(__xludf.DUMMYFUNCTION("""COMPUTED_VALUE"""),"庫存調整")</f>
        <v>庫存調整</v>
      </c>
      <c r="C1548" s="1" t="str">
        <f ca="1">IFERROR(__xludf.DUMMYFUNCTION("""COMPUTED_VALUE"""),"AGT000000005")</f>
        <v>AGT000000005</v>
      </c>
      <c r="D1548" s="1" t="str">
        <f ca="1">IFERROR(__xludf.DUMMYFUNCTION("""COMPUTED_VALUE"""),"All/共用")</f>
        <v>All/共用</v>
      </c>
      <c r="E1548" s="1" t="str">
        <f ca="1">IFERROR(__xludf.DUMMYFUNCTION("""COMPUTED_VALUE"""),"p2/庫存")</f>
        <v>p2/庫存</v>
      </c>
      <c r="F1548" s="1">
        <f ca="1">IFERROR(__xludf.DUMMYFUNCTION("""COMPUTED_VALUE"""),24)</f>
        <v>24</v>
      </c>
      <c r="G1548" s="1"/>
      <c r="H1548" s="1" t="str">
        <f ca="1">IFERROR(__xludf.DUMMYFUNCTION("""COMPUTED_VALUE"""),"P2")</f>
        <v>P2</v>
      </c>
      <c r="I1548" s="1" t="str">
        <f ca="1">IFERROR(__xludf.DUMMYFUNCTION("""COMPUTED_VALUE"""),"Jason")</f>
        <v>Jason</v>
      </c>
    </row>
    <row r="1549" spans="1:9" ht="12.7" x14ac:dyDescent="0.4">
      <c r="A1549" s="2">
        <f ca="1">IFERROR(__xludf.DUMMYFUNCTION("""COMPUTED_VALUE"""),45989.3000904398)</f>
        <v>45989.3000904398</v>
      </c>
      <c r="B1549" s="1" t="str">
        <f ca="1">IFERROR(__xludf.DUMMYFUNCTION("""COMPUTED_VALUE"""),"庫存調整")</f>
        <v>庫存調整</v>
      </c>
      <c r="C1549" s="1" t="str">
        <f ca="1">IFERROR(__xludf.DUMMYFUNCTION("""COMPUTED_VALUE"""),"ME0060000278")</f>
        <v>ME0060000278</v>
      </c>
      <c r="D1549" s="1" t="str">
        <f ca="1">IFERROR(__xludf.DUMMYFUNCTION("""COMPUTED_VALUE"""),"All/共用")</f>
        <v>All/共用</v>
      </c>
      <c r="E1549" s="1" t="str">
        <f ca="1">IFERROR(__xludf.DUMMYFUNCTION("""COMPUTED_VALUE"""),"p2/庫存")</f>
        <v>p2/庫存</v>
      </c>
      <c r="F1549" s="1">
        <f ca="1">IFERROR(__xludf.DUMMYFUNCTION("""COMPUTED_VALUE"""),24)</f>
        <v>24</v>
      </c>
      <c r="G1549" s="1"/>
      <c r="H1549" s="1" t="str">
        <f ca="1">IFERROR(__xludf.DUMMYFUNCTION("""COMPUTED_VALUE"""),"P2")</f>
        <v>P2</v>
      </c>
      <c r="I1549" s="1" t="str">
        <f ca="1">IFERROR(__xludf.DUMMYFUNCTION("""COMPUTED_VALUE"""),"Jason")</f>
        <v>Jason</v>
      </c>
    </row>
    <row r="1550" spans="1:9" ht="12.7" x14ac:dyDescent="0.4">
      <c r="A1550" s="2">
        <f ca="1">IFERROR(__xludf.DUMMYFUNCTION("""COMPUTED_VALUE"""),45989.3006720949)</f>
        <v>45989.300672094898</v>
      </c>
      <c r="B1550" s="1" t="str">
        <f ca="1">IFERROR(__xludf.DUMMYFUNCTION("""COMPUTED_VALUE"""),"庫存調整")</f>
        <v>庫存調整</v>
      </c>
      <c r="C1550" s="1" t="str">
        <f ca="1">IFERROR(__xludf.DUMMYFUNCTION("""COMPUTED_VALUE"""),"ME0060000277")</f>
        <v>ME0060000277</v>
      </c>
      <c r="D1550" s="1" t="str">
        <f ca="1">IFERROR(__xludf.DUMMYFUNCTION("""COMPUTED_VALUE"""),"All/共用")</f>
        <v>All/共用</v>
      </c>
      <c r="E1550" s="1" t="str">
        <f ca="1">IFERROR(__xludf.DUMMYFUNCTION("""COMPUTED_VALUE"""),"p2/庫存")</f>
        <v>p2/庫存</v>
      </c>
      <c r="F1550" s="1">
        <f ca="1">IFERROR(__xludf.DUMMYFUNCTION("""COMPUTED_VALUE"""),2)</f>
        <v>2</v>
      </c>
      <c r="G1550" s="1"/>
      <c r="H1550" s="1" t="str">
        <f ca="1">IFERROR(__xludf.DUMMYFUNCTION("""COMPUTED_VALUE"""),"P2")</f>
        <v>P2</v>
      </c>
      <c r="I1550" s="1" t="str">
        <f ca="1">IFERROR(__xludf.DUMMYFUNCTION("""COMPUTED_VALUE"""),"Jason")</f>
        <v>Jason</v>
      </c>
    </row>
    <row r="1551" spans="1:9" ht="12.7" x14ac:dyDescent="0.4">
      <c r="A1551" s="2">
        <f ca="1">IFERROR(__xludf.DUMMYFUNCTION("""COMPUTED_VALUE"""),45994.4574784722)</f>
        <v>45994.457478472199</v>
      </c>
      <c r="B1551" s="1" t="str">
        <f ca="1">IFERROR(__xludf.DUMMYFUNCTION("""COMPUTED_VALUE"""),"進貨")</f>
        <v>進貨</v>
      </c>
      <c r="C1551" s="1" t="str">
        <f ca="1">IFERROR(__xludf.DUMMYFUNCTION("""COMPUTED_VALUE"""),"A00700000836")</f>
        <v>A00700000836</v>
      </c>
      <c r="D1551" s="1" t="str">
        <f ca="1">IFERROR(__xludf.DUMMYFUNCTION("""COMPUTED_VALUE"""),"All/SB")</f>
        <v>All/SB</v>
      </c>
      <c r="E1551" s="1" t="str">
        <f ca="1">IFERROR(__xludf.DUMMYFUNCTION("""COMPUTED_VALUE"""),"p1/庫存")</f>
        <v>p1/庫存</v>
      </c>
      <c r="F1551" s="1">
        <f ca="1">IFERROR(__xludf.DUMMYFUNCTION("""COMPUTED_VALUE"""),1)</f>
        <v>1</v>
      </c>
      <c r="G1551" s="1"/>
      <c r="H1551" s="1" t="str">
        <f ca="1">IFERROR(__xludf.DUMMYFUNCTION("""COMPUTED_VALUE"""),"P3")</f>
        <v>P3</v>
      </c>
      <c r="I1551" s="1" t="str">
        <f ca="1">IFERROR(__xludf.DUMMYFUNCTION("""COMPUTED_VALUE"""),"Chiao Yu")</f>
        <v>Chiao Yu</v>
      </c>
    </row>
    <row r="1552" spans="1:9" ht="12.7" x14ac:dyDescent="0.4">
      <c r="A1552" s="2">
        <f ca="1">IFERROR(__xludf.DUMMYFUNCTION("""COMPUTED_VALUE"""),45996.3986253472)</f>
        <v>45996.398625347203</v>
      </c>
      <c r="B1552" s="1" t="str">
        <f ca="1">IFERROR(__xludf.DUMMYFUNCTION("""COMPUTED_VALUE"""),"領料")</f>
        <v>領料</v>
      </c>
      <c r="C1552" s="1" t="str">
        <f ca="1">IFERROR(__xludf.DUMMYFUNCTION("""COMPUTED_VALUE"""),"ME0020000592")</f>
        <v>ME0020000592</v>
      </c>
      <c r="D1552" s="1" t="str">
        <f ca="1">IFERROR(__xludf.DUMMYFUNCTION("""COMPUTED_VALUE"""),"All/共用")</f>
        <v>All/共用</v>
      </c>
      <c r="E1552" s="1" t="str">
        <f ca="1">IFERROR(__xludf.DUMMYFUNCTION("""COMPUTED_VALUE"""),"p1/庫存")</f>
        <v>p1/庫存</v>
      </c>
      <c r="F1552" s="1">
        <f ca="1">IFERROR(__xludf.DUMMYFUNCTION("""COMPUTED_VALUE"""),1)</f>
        <v>1</v>
      </c>
      <c r="G1552" s="1" t="str">
        <f ca="1">IFERROR(__xludf.DUMMYFUNCTION("""COMPUTED_VALUE"""),"R9PT6152VQE")</f>
        <v>R9PT6152VQE</v>
      </c>
      <c r="H1552" s="1" t="str">
        <f ca="1">IFERROR(__xludf.DUMMYFUNCTION("""COMPUTED_VALUE"""),"P2_034")</f>
        <v>P2_034</v>
      </c>
      <c r="I1552" s="1" t="str">
        <f ca="1">IFERROR(__xludf.DUMMYFUNCTION("""COMPUTED_VALUE"""),"Simon")</f>
        <v>Simon</v>
      </c>
    </row>
    <row r="1553" spans="1:9" ht="12.7" x14ac:dyDescent="0.4">
      <c r="A1553" s="2">
        <f ca="1">IFERROR(__xludf.DUMMYFUNCTION("""COMPUTED_VALUE"""),45996.475633449)</f>
        <v>45996.475633449001</v>
      </c>
      <c r="B1553" s="1" t="str">
        <f ca="1">IFERROR(__xludf.DUMMYFUNCTION("""COMPUTED_VALUE"""),"領料")</f>
        <v>領料</v>
      </c>
      <c r="C1553" s="1" t="str">
        <f ca="1">IFERROR(__xludf.DUMMYFUNCTION("""COMPUTED_VALUE"""),"MM0090000047")</f>
        <v>MM0090000047</v>
      </c>
      <c r="D1553" s="1" t="str">
        <f ca="1">IFERROR(__xludf.DUMMYFUNCTION("""COMPUTED_VALUE"""),"All/BA")</f>
        <v>All/BA</v>
      </c>
      <c r="E1553" s="1" t="str">
        <f ca="1">IFERROR(__xludf.DUMMYFUNCTION("""COMPUTED_VALUE"""),"p2/庫存")</f>
        <v>p2/庫存</v>
      </c>
      <c r="F1553" s="1">
        <f ca="1">IFERROR(__xludf.DUMMYFUNCTION("""COMPUTED_VALUE"""),18)</f>
        <v>18</v>
      </c>
      <c r="G1553" s="1"/>
      <c r="H1553" s="1" t="str">
        <f ca="1">IFERROR(__xludf.DUMMYFUNCTION("""COMPUTED_VALUE"""),"P2")</f>
        <v>P2</v>
      </c>
      <c r="I1553" s="1" t="str">
        <f ca="1">IFERROR(__xludf.DUMMYFUNCTION("""COMPUTED_VALUE"""),"Chiao Yu")</f>
        <v>Chiao Yu</v>
      </c>
    </row>
    <row r="1554" spans="1:9" ht="12.7" x14ac:dyDescent="0.4">
      <c r="A1554" s="2">
        <f ca="1">IFERROR(__xludf.DUMMYFUNCTION("""COMPUTED_VALUE"""),45996.6925293749)</f>
        <v>45996.692529374901</v>
      </c>
      <c r="B1554" s="1" t="str">
        <f ca="1">IFERROR(__xludf.DUMMYFUNCTION("""COMPUTED_VALUE"""),"庫存調整")</f>
        <v>庫存調整</v>
      </c>
      <c r="C1554" s="1" t="str">
        <f ca="1">IFERROR(__xludf.DUMMYFUNCTION("""COMPUTED_VALUE"""),"ME0020000622")</f>
        <v>ME0020000622</v>
      </c>
      <c r="D1554" s="1" t="str">
        <f ca="1">IFERROR(__xludf.DUMMYFUNCTION("""COMPUTED_VALUE"""),"All/共用")</f>
        <v>All/共用</v>
      </c>
      <c r="E1554" s="1" t="str">
        <f ca="1">IFERROR(__xludf.DUMMYFUNCTION("""COMPUTED_VALUE"""),"p2/庫存")</f>
        <v>p2/庫存</v>
      </c>
      <c r="F1554" s="1">
        <f ca="1">IFERROR(__xludf.DUMMYFUNCTION("""COMPUTED_VALUE"""),1)</f>
        <v>1</v>
      </c>
      <c r="G1554" s="1"/>
      <c r="H1554" s="1" t="str">
        <f ca="1">IFERROR(__xludf.DUMMYFUNCTION("""COMPUTED_VALUE"""),"P2_034")</f>
        <v>P2_034</v>
      </c>
      <c r="I1554" s="1" t="str">
        <f ca="1">IFERROR(__xludf.DUMMYFUNCTION("""COMPUTED_VALUE"""),"Simon")</f>
        <v>Simon</v>
      </c>
    </row>
    <row r="1555" spans="1:9" ht="12.7" x14ac:dyDescent="0.4">
      <c r="A1555" s="2">
        <f ca="1">IFERROR(__xludf.DUMMYFUNCTION("""COMPUTED_VALUE"""),45999.6892681944)</f>
        <v>45999.689268194401</v>
      </c>
      <c r="B1555" s="1" t="str">
        <f ca="1">IFERROR(__xludf.DUMMYFUNCTION("""COMPUTED_VALUE"""),"進貨")</f>
        <v>進貨</v>
      </c>
      <c r="C1555" s="1" t="str">
        <f ca="1">IFERROR(__xludf.DUMMYFUNCTION("""COMPUTED_VALUE"""),"MM0090000047")</f>
        <v>MM0090000047</v>
      </c>
      <c r="D1555" s="1" t="str">
        <f ca="1">IFERROR(__xludf.DUMMYFUNCTION("""COMPUTED_VALUE"""),"All/BA")</f>
        <v>All/BA</v>
      </c>
      <c r="E1555" s="1" t="str">
        <f ca="1">IFERROR(__xludf.DUMMYFUNCTION("""COMPUTED_VALUE"""),"p1/庫存")</f>
        <v>p1/庫存</v>
      </c>
      <c r="F1555" s="1">
        <f ca="1">IFERROR(__xludf.DUMMYFUNCTION("""COMPUTED_VALUE"""),512)</f>
        <v>512</v>
      </c>
      <c r="G1555" s="1"/>
      <c r="H1555" s="1" t="str">
        <f ca="1">IFERROR(__xludf.DUMMYFUNCTION("""COMPUTED_VALUE"""),"P3")</f>
        <v>P3</v>
      </c>
      <c r="I1555" s="1" t="str">
        <f ca="1">IFERROR(__xludf.DUMMYFUNCTION("""COMPUTED_VALUE"""),"Chiao Yu")</f>
        <v>Chiao Yu</v>
      </c>
    </row>
    <row r="1556" spans="1:9" ht="12.7" x14ac:dyDescent="0.4">
      <c r="A1556" s="2">
        <f ca="1">IFERROR(__xludf.DUMMYFUNCTION("""COMPUTED_VALUE"""),45999.6901878472)</f>
        <v>45999.690187847198</v>
      </c>
      <c r="B1556" s="1" t="str">
        <f ca="1">IFERROR(__xludf.DUMMYFUNCTION("""COMPUTED_VALUE"""),"進貨")</f>
        <v>進貨</v>
      </c>
      <c r="C1556" s="1" t="str">
        <f ca="1">IFERROR(__xludf.DUMMYFUNCTION("""COMPUTED_VALUE"""),"ME0020000527")</f>
        <v>ME0020000527</v>
      </c>
      <c r="D1556" s="1" t="str">
        <f ca="1">IFERROR(__xludf.DUMMYFUNCTION("""COMPUTED_VALUE"""),"All/共用")</f>
        <v>All/共用</v>
      </c>
      <c r="E1556" s="1" t="str">
        <f ca="1">IFERROR(__xludf.DUMMYFUNCTION("""COMPUTED_VALUE"""),"p1/庫存")</f>
        <v>p1/庫存</v>
      </c>
      <c r="F1556" s="1">
        <f ca="1">IFERROR(__xludf.DUMMYFUNCTION("""COMPUTED_VALUE"""),1)</f>
        <v>1</v>
      </c>
      <c r="G1556" s="1"/>
      <c r="H1556" s="1" t="str">
        <f ca="1">IFERROR(__xludf.DUMMYFUNCTION("""COMPUTED_VALUE"""),"P3")</f>
        <v>P3</v>
      </c>
      <c r="I1556" s="1" t="str">
        <f ca="1">IFERROR(__xludf.DUMMYFUNCTION("""COMPUTED_VALUE"""),"Chiao Yu")</f>
        <v>Chiao Yu</v>
      </c>
    </row>
    <row r="1557" spans="1:9" ht="12.7" x14ac:dyDescent="0.4">
      <c r="A1557" s="2">
        <f ca="1">IFERROR(__xludf.DUMMYFUNCTION("""COMPUTED_VALUE"""),45999.6905102199)</f>
        <v>45999.690510219902</v>
      </c>
      <c r="B1557" s="1" t="str">
        <f ca="1">IFERROR(__xludf.DUMMYFUNCTION("""COMPUTED_VALUE"""),"進貨")</f>
        <v>進貨</v>
      </c>
      <c r="C1557" s="1" t="str">
        <f ca="1">IFERROR(__xludf.DUMMYFUNCTION("""COMPUTED_VALUE"""),"ME0020000527")</f>
        <v>ME0020000527</v>
      </c>
      <c r="D1557" s="1" t="str">
        <f ca="1">IFERROR(__xludf.DUMMYFUNCTION("""COMPUTED_VALUE"""),"All/共用")</f>
        <v>All/共用</v>
      </c>
      <c r="E1557" s="1" t="str">
        <f ca="1">IFERROR(__xludf.DUMMYFUNCTION("""COMPUTED_VALUE"""),"p2/庫存")</f>
        <v>p2/庫存</v>
      </c>
      <c r="F1557" s="1">
        <f ca="1">IFERROR(__xludf.DUMMYFUNCTION("""COMPUTED_VALUE"""),1)</f>
        <v>1</v>
      </c>
      <c r="G1557" s="1"/>
      <c r="H1557" s="1" t="str">
        <f ca="1">IFERROR(__xludf.DUMMYFUNCTION("""COMPUTED_VALUE"""),"P2")</f>
        <v>P2</v>
      </c>
      <c r="I1557" s="1" t="str">
        <f ca="1">IFERROR(__xludf.DUMMYFUNCTION("""COMPUTED_VALUE"""),"Chiao Yu")</f>
        <v>Chiao Yu</v>
      </c>
    </row>
    <row r="1558" spans="1:9" ht="12.7" x14ac:dyDescent="0.4">
      <c r="A1558" s="2">
        <f ca="1">IFERROR(__xludf.DUMMYFUNCTION("""COMPUTED_VALUE"""),45999.7115667476)</f>
        <v>45999.711566747603</v>
      </c>
      <c r="B1558" s="1" t="str">
        <f ca="1">IFERROR(__xludf.DUMMYFUNCTION("""COMPUTED_VALUE"""),"庫存調整")</f>
        <v>庫存調整</v>
      </c>
      <c r="C1558" s="1" t="str">
        <f ca="1">IFERROR(__xludf.DUMMYFUNCTION("""COMPUTED_VALUE"""),"ME0050000178")</f>
        <v>ME0050000178</v>
      </c>
      <c r="D1558" s="1" t="str">
        <f ca="1">IFERROR(__xludf.DUMMYFUNCTION("""COMPUTED_VALUE"""),"All/SB")</f>
        <v>All/SB</v>
      </c>
      <c r="E1558" s="1" t="str">
        <f ca="1">IFERROR(__xludf.DUMMYFUNCTION("""COMPUTED_VALUE"""),"p2/庫存")</f>
        <v>p2/庫存</v>
      </c>
      <c r="F1558" s="1">
        <f ca="1">IFERROR(__xludf.DUMMYFUNCTION("""COMPUTED_VALUE"""),1)</f>
        <v>1</v>
      </c>
      <c r="G1558" s="1"/>
      <c r="H1558" s="1" t="str">
        <f ca="1">IFERROR(__xludf.DUMMYFUNCTION("""COMPUTED_VALUE"""),"P2")</f>
        <v>P2</v>
      </c>
      <c r="I1558" s="1" t="str">
        <f ca="1">IFERROR(__xludf.DUMMYFUNCTION("""COMPUTED_VALUE"""),"Simon")</f>
        <v>Simon</v>
      </c>
    </row>
    <row r="1559" spans="1:9" ht="12.7" x14ac:dyDescent="0.4">
      <c r="A1559" s="2">
        <f ca="1">IFERROR(__xludf.DUMMYFUNCTION("""COMPUTED_VALUE"""),45999.7125575694)</f>
        <v>45999.712557569401</v>
      </c>
      <c r="B1559" s="1" t="str">
        <f ca="1">IFERROR(__xludf.DUMMYFUNCTION("""COMPUTED_VALUE"""),"庫存調整")</f>
        <v>庫存調整</v>
      </c>
      <c r="C1559" s="1" t="str">
        <f ca="1">IFERROR(__xludf.DUMMYFUNCTION("""COMPUTED_VALUE"""),"ME0070000140")</f>
        <v>ME0070000140</v>
      </c>
      <c r="D1559" s="1" t="str">
        <f ca="1">IFERROR(__xludf.DUMMYFUNCTION("""COMPUTED_VALUE"""),"All/BA")</f>
        <v>All/BA</v>
      </c>
      <c r="E1559" s="1" t="str">
        <f ca="1">IFERROR(__xludf.DUMMYFUNCTION("""COMPUTED_VALUE"""),"p1/庫存")</f>
        <v>p1/庫存</v>
      </c>
      <c r="F1559" s="1">
        <f ca="1">IFERROR(__xludf.DUMMYFUNCTION("""COMPUTED_VALUE"""),1)</f>
        <v>1</v>
      </c>
      <c r="G1559" s="1"/>
      <c r="H1559" s="1" t="str">
        <f ca="1">IFERROR(__xludf.DUMMYFUNCTION("""COMPUTED_VALUE"""),"P3")</f>
        <v>P3</v>
      </c>
      <c r="I1559" s="1" t="str">
        <f ca="1">IFERROR(__xludf.DUMMYFUNCTION("""COMPUTED_VALUE"""),"Simon")</f>
        <v>Simon</v>
      </c>
    </row>
    <row r="1560" spans="1:9" ht="12.7" x14ac:dyDescent="0.4">
      <c r="A1560" s="2">
        <f ca="1">IFERROR(__xludf.DUMMYFUNCTION("""COMPUTED_VALUE"""),45999.7129849537)</f>
        <v>45999.712984953701</v>
      </c>
      <c r="B1560" s="1" t="str">
        <f ca="1">IFERROR(__xludf.DUMMYFUNCTION("""COMPUTED_VALUE"""),"庫存調整")</f>
        <v>庫存調整</v>
      </c>
      <c r="C1560" s="1" t="str">
        <f ca="1">IFERROR(__xludf.DUMMYFUNCTION("""COMPUTED_VALUE"""),"ME0070000140")</f>
        <v>ME0070000140</v>
      </c>
      <c r="D1560" s="1" t="str">
        <f ca="1">IFERROR(__xludf.DUMMYFUNCTION("""COMPUTED_VALUE"""),"All/BA")</f>
        <v>All/BA</v>
      </c>
      <c r="E1560" s="1" t="str">
        <f ca="1">IFERROR(__xludf.DUMMYFUNCTION("""COMPUTED_VALUE"""),"p2/庫存")</f>
        <v>p2/庫存</v>
      </c>
      <c r="F1560" s="1">
        <f ca="1">IFERROR(__xludf.DUMMYFUNCTION("""COMPUTED_VALUE"""),4)</f>
        <v>4</v>
      </c>
      <c r="G1560" s="1"/>
      <c r="H1560" s="1" t="str">
        <f ca="1">IFERROR(__xludf.DUMMYFUNCTION("""COMPUTED_VALUE"""),"P2")</f>
        <v>P2</v>
      </c>
      <c r="I1560" s="1" t="str">
        <f ca="1">IFERROR(__xludf.DUMMYFUNCTION("""COMPUTED_VALUE"""),"Simon")</f>
        <v>Simon</v>
      </c>
    </row>
    <row r="1561" spans="1:9" ht="12.7" x14ac:dyDescent="0.4">
      <c r="A1561" s="2">
        <f ca="1">IFERROR(__xludf.DUMMYFUNCTION("""COMPUTED_VALUE"""),45999.7138125694)</f>
        <v>45999.713812569396</v>
      </c>
      <c r="B1561" s="1" t="str">
        <f ca="1">IFERROR(__xludf.DUMMYFUNCTION("""COMPUTED_VALUE"""),"庫存調整")</f>
        <v>庫存調整</v>
      </c>
      <c r="C1561" s="1" t="str">
        <f ca="1">IFERROR(__xludf.DUMMYFUNCTION("""COMPUTED_VALUE"""),"ME0120000230")</f>
        <v>ME0120000230</v>
      </c>
      <c r="D1561" s="1" t="str">
        <f ca="1">IFERROR(__xludf.DUMMYFUNCTION("""COMPUTED_VALUE"""),"All/共用")</f>
        <v>All/共用</v>
      </c>
      <c r="E1561" s="1" t="str">
        <f ca="1">IFERROR(__xludf.DUMMYFUNCTION("""COMPUTED_VALUE"""),"p1/庫存")</f>
        <v>p1/庫存</v>
      </c>
      <c r="F1561" s="1">
        <f ca="1">IFERROR(__xludf.DUMMYFUNCTION("""COMPUTED_VALUE"""),2)</f>
        <v>2</v>
      </c>
      <c r="G1561" s="1"/>
      <c r="H1561" s="1" t="str">
        <f ca="1">IFERROR(__xludf.DUMMYFUNCTION("""COMPUTED_VALUE"""),"P3")</f>
        <v>P3</v>
      </c>
      <c r="I1561" s="1" t="str">
        <f ca="1">IFERROR(__xludf.DUMMYFUNCTION("""COMPUTED_VALUE"""),"Simon")</f>
        <v>Simon</v>
      </c>
    </row>
    <row r="1562" spans="1:9" ht="12.7" x14ac:dyDescent="0.4">
      <c r="A1562" s="2">
        <f ca="1">IFERROR(__xludf.DUMMYFUNCTION("""COMPUTED_VALUE"""),45999.7142723958)</f>
        <v>45999.714272395802</v>
      </c>
      <c r="B1562" s="1" t="str">
        <f ca="1">IFERROR(__xludf.DUMMYFUNCTION("""COMPUTED_VALUE"""),"庫存調整")</f>
        <v>庫存調整</v>
      </c>
      <c r="C1562" s="1" t="str">
        <f ca="1">IFERROR(__xludf.DUMMYFUNCTION("""COMPUTED_VALUE"""),"ME0120000230")</f>
        <v>ME0120000230</v>
      </c>
      <c r="D1562" s="1" t="str">
        <f ca="1">IFERROR(__xludf.DUMMYFUNCTION("""COMPUTED_VALUE"""),"All/共用")</f>
        <v>All/共用</v>
      </c>
      <c r="E1562" s="1" t="str">
        <f ca="1">IFERROR(__xludf.DUMMYFUNCTION("""COMPUTED_VALUE"""),"p2/庫存")</f>
        <v>p2/庫存</v>
      </c>
      <c r="F1562" s="1">
        <f ca="1">IFERROR(__xludf.DUMMYFUNCTION("""COMPUTED_VALUE"""),2)</f>
        <v>2</v>
      </c>
      <c r="G1562" s="1"/>
      <c r="H1562" s="1" t="str">
        <f ca="1">IFERROR(__xludf.DUMMYFUNCTION("""COMPUTED_VALUE"""),"P2")</f>
        <v>P2</v>
      </c>
      <c r="I1562" s="1" t="str">
        <f ca="1">IFERROR(__xludf.DUMMYFUNCTION("""COMPUTED_VALUE"""),"Simon")</f>
        <v>Simon</v>
      </c>
    </row>
    <row r="1563" spans="1:9" ht="12.7" x14ac:dyDescent="0.4">
      <c r="A1563" s="2">
        <f ca="1">IFERROR(__xludf.DUMMYFUNCTION("""COMPUTED_VALUE"""),45999.7153108333)</f>
        <v>45999.7153108333</v>
      </c>
      <c r="B1563" s="1" t="str">
        <f ca="1">IFERROR(__xludf.DUMMYFUNCTION("""COMPUTED_VALUE"""),"庫存調整")</f>
        <v>庫存調整</v>
      </c>
      <c r="C1563" s="1" t="str">
        <f ca="1">IFERROR(__xludf.DUMMYFUNCTION("""COMPUTED_VALUE"""),"A00700000862")</f>
        <v>A00700000862</v>
      </c>
      <c r="D1563" s="1" t="str">
        <f ca="1">IFERROR(__xludf.DUMMYFUNCTION("""COMPUTED_VALUE"""),"All/SB")</f>
        <v>All/SB</v>
      </c>
      <c r="E1563" s="1" t="str">
        <f ca="1">IFERROR(__xludf.DUMMYFUNCTION("""COMPUTED_VALUE"""),"p1/庫存")</f>
        <v>p1/庫存</v>
      </c>
      <c r="F1563" s="1">
        <f ca="1">IFERROR(__xludf.DUMMYFUNCTION("""COMPUTED_VALUE"""),3)</f>
        <v>3</v>
      </c>
      <c r="G1563" s="1"/>
      <c r="H1563" s="1" t="str">
        <f ca="1">IFERROR(__xludf.DUMMYFUNCTION("""COMPUTED_VALUE"""),"P3")</f>
        <v>P3</v>
      </c>
      <c r="I1563" s="1" t="str">
        <f ca="1">IFERROR(__xludf.DUMMYFUNCTION("""COMPUTED_VALUE"""),"Simon")</f>
        <v>Simon</v>
      </c>
    </row>
    <row r="1564" spans="1:9" ht="12.7" x14ac:dyDescent="0.4">
      <c r="A1564" s="2">
        <f ca="1">IFERROR(__xludf.DUMMYFUNCTION("""COMPUTED_VALUE"""),45999.7158326157)</f>
        <v>45999.7158326157</v>
      </c>
      <c r="B1564" s="1" t="str">
        <f ca="1">IFERROR(__xludf.DUMMYFUNCTION("""COMPUTED_VALUE"""),"庫存調整")</f>
        <v>庫存調整</v>
      </c>
      <c r="C1564" s="1" t="str">
        <f ca="1">IFERROR(__xludf.DUMMYFUNCTION("""COMPUTED_VALUE"""),"A00700000862")</f>
        <v>A00700000862</v>
      </c>
      <c r="D1564" s="1" t="str">
        <f ca="1">IFERROR(__xludf.DUMMYFUNCTION("""COMPUTED_VALUE"""),"All/SB")</f>
        <v>All/SB</v>
      </c>
      <c r="E1564" s="1" t="str">
        <f ca="1">IFERROR(__xludf.DUMMYFUNCTION("""COMPUTED_VALUE"""),"p2/庫存")</f>
        <v>p2/庫存</v>
      </c>
      <c r="F1564" s="1">
        <f ca="1">IFERROR(__xludf.DUMMYFUNCTION("""COMPUTED_VALUE"""),3)</f>
        <v>3</v>
      </c>
      <c r="G1564" s="1"/>
      <c r="H1564" s="1" t="str">
        <f ca="1">IFERROR(__xludf.DUMMYFUNCTION("""COMPUTED_VALUE"""),"P2")</f>
        <v>P2</v>
      </c>
      <c r="I1564" s="1" t="str">
        <f ca="1">IFERROR(__xludf.DUMMYFUNCTION("""COMPUTED_VALUE"""),"Simon")</f>
        <v>Simon</v>
      </c>
    </row>
    <row r="1565" spans="1:9" ht="12.7" x14ac:dyDescent="0.4">
      <c r="A1565" s="2">
        <f ca="1">IFERROR(__xludf.DUMMYFUNCTION("""COMPUTED_VALUE"""),45999.7173514814)</f>
        <v>45999.717351481399</v>
      </c>
      <c r="B1565" s="1" t="str">
        <f ca="1">IFERROR(__xludf.DUMMYFUNCTION("""COMPUTED_VALUE"""),"庫存調整")</f>
        <v>庫存調整</v>
      </c>
      <c r="C1565" s="1" t="str">
        <f ca="1">IFERROR(__xludf.DUMMYFUNCTION("""COMPUTED_VALUE"""),"MM0260000249")</f>
        <v>MM0260000249</v>
      </c>
      <c r="D1565" s="1" t="str">
        <f ca="1">IFERROR(__xludf.DUMMYFUNCTION("""COMPUTED_VALUE"""),"All/RL")</f>
        <v>All/RL</v>
      </c>
      <c r="E1565" s="1" t="str">
        <f ca="1">IFERROR(__xludf.DUMMYFUNCTION("""COMPUTED_VALUE"""),"p1/庫存")</f>
        <v>p1/庫存</v>
      </c>
      <c r="F1565" s="1">
        <f ca="1">IFERROR(__xludf.DUMMYFUNCTION("""COMPUTED_VALUE"""),1)</f>
        <v>1</v>
      </c>
      <c r="G1565" s="1"/>
      <c r="H1565" s="1" t="str">
        <f ca="1">IFERROR(__xludf.DUMMYFUNCTION("""COMPUTED_VALUE"""),"P3")</f>
        <v>P3</v>
      </c>
      <c r="I1565" s="1" t="str">
        <f ca="1">IFERROR(__xludf.DUMMYFUNCTION("""COMPUTED_VALUE"""),"Simon")</f>
        <v>Simon</v>
      </c>
    </row>
    <row r="1566" spans="1:9" ht="12.7" x14ac:dyDescent="0.4">
      <c r="A1566" s="2">
        <f ca="1">IFERROR(__xludf.DUMMYFUNCTION("""COMPUTED_VALUE"""),45999.7179707638)</f>
        <v>45999.717970763799</v>
      </c>
      <c r="B1566" s="1" t="str">
        <f ca="1">IFERROR(__xludf.DUMMYFUNCTION("""COMPUTED_VALUE"""),"庫存調整")</f>
        <v>庫存調整</v>
      </c>
      <c r="C1566" s="1" t="str">
        <f ca="1">IFERROR(__xludf.DUMMYFUNCTION("""COMPUTED_VALUE"""),"MM0260000249")</f>
        <v>MM0260000249</v>
      </c>
      <c r="D1566" s="1" t="str">
        <f ca="1">IFERROR(__xludf.DUMMYFUNCTION("""COMPUTED_VALUE"""),"All/RL")</f>
        <v>All/RL</v>
      </c>
      <c r="E1566" s="1" t="str">
        <f ca="1">IFERROR(__xludf.DUMMYFUNCTION("""COMPUTED_VALUE"""),"p2/庫存")</f>
        <v>p2/庫存</v>
      </c>
      <c r="F1566" s="1">
        <f ca="1">IFERROR(__xludf.DUMMYFUNCTION("""COMPUTED_VALUE"""),4)</f>
        <v>4</v>
      </c>
      <c r="G1566" s="1"/>
      <c r="H1566" s="1" t="str">
        <f ca="1">IFERROR(__xludf.DUMMYFUNCTION("""COMPUTED_VALUE"""),"P2")</f>
        <v>P2</v>
      </c>
      <c r="I1566" s="1" t="str">
        <f ca="1">IFERROR(__xludf.DUMMYFUNCTION("""COMPUTED_VALUE"""),"Simon")</f>
        <v>Simon</v>
      </c>
    </row>
    <row r="1567" spans="1:9" ht="12.7" x14ac:dyDescent="0.4">
      <c r="A1567" s="2">
        <f ca="1">IFERROR(__xludf.DUMMYFUNCTION("""COMPUTED_VALUE"""),45999.7194196875)</f>
        <v>45999.719419687499</v>
      </c>
      <c r="B1567" s="1" t="str">
        <f ca="1">IFERROR(__xludf.DUMMYFUNCTION("""COMPUTED_VALUE"""),"庫存調整")</f>
        <v>庫存調整</v>
      </c>
      <c r="C1567" s="1" t="str">
        <f ca="1">IFERROR(__xludf.DUMMYFUNCTION("""COMPUTED_VALUE"""),"ME0270001344")</f>
        <v>ME0270001344</v>
      </c>
      <c r="D1567" s="1" t="str">
        <f ca="1">IFERROR(__xludf.DUMMYFUNCTION("""COMPUTED_VALUE"""),"All/COLOR")</f>
        <v>All/COLOR</v>
      </c>
      <c r="E1567" s="1" t="str">
        <f ca="1">IFERROR(__xludf.DUMMYFUNCTION("""COMPUTED_VALUE"""),"p1/庫存")</f>
        <v>p1/庫存</v>
      </c>
      <c r="F1567" s="1">
        <f ca="1">IFERROR(__xludf.DUMMYFUNCTION("""COMPUTED_VALUE"""),1)</f>
        <v>1</v>
      </c>
      <c r="G1567" s="1"/>
      <c r="H1567" s="1" t="str">
        <f ca="1">IFERROR(__xludf.DUMMYFUNCTION("""COMPUTED_VALUE"""),"P1")</f>
        <v>P1</v>
      </c>
      <c r="I1567" s="1" t="str">
        <f ca="1">IFERROR(__xludf.DUMMYFUNCTION("""COMPUTED_VALUE"""),"Simon")</f>
        <v>Simon</v>
      </c>
    </row>
    <row r="1568" spans="1:9" ht="12.7" x14ac:dyDescent="0.4">
      <c r="A1568" s="2">
        <f ca="1">IFERROR(__xludf.DUMMYFUNCTION("""COMPUTED_VALUE"""),45999.7198683796)</f>
        <v>45999.719868379601</v>
      </c>
      <c r="B1568" s="1" t="str">
        <f ca="1">IFERROR(__xludf.DUMMYFUNCTION("""COMPUTED_VALUE"""),"庫存調整")</f>
        <v>庫存調整</v>
      </c>
      <c r="C1568" s="1" t="str">
        <f ca="1">IFERROR(__xludf.DUMMYFUNCTION("""COMPUTED_VALUE"""),"ME0270001344")</f>
        <v>ME0270001344</v>
      </c>
      <c r="D1568" s="1" t="str">
        <f ca="1">IFERROR(__xludf.DUMMYFUNCTION("""COMPUTED_VALUE"""),"All/COLOR")</f>
        <v>All/COLOR</v>
      </c>
      <c r="E1568" s="1" t="str">
        <f ca="1">IFERROR(__xludf.DUMMYFUNCTION("""COMPUTED_VALUE"""),"p2/庫存")</f>
        <v>p2/庫存</v>
      </c>
      <c r="F1568" s="1">
        <f ca="1">IFERROR(__xludf.DUMMYFUNCTION("""COMPUTED_VALUE"""),1)</f>
        <v>1</v>
      </c>
      <c r="G1568" s="1"/>
      <c r="H1568" s="1" t="str">
        <f ca="1">IFERROR(__xludf.DUMMYFUNCTION("""COMPUTED_VALUE"""),"P2")</f>
        <v>P2</v>
      </c>
      <c r="I1568" s="1" t="str">
        <f ca="1">IFERROR(__xludf.DUMMYFUNCTION("""COMPUTED_VALUE"""),"Simon")</f>
        <v>Simon</v>
      </c>
    </row>
    <row r="1569" spans="1:9" ht="12.7" x14ac:dyDescent="0.4">
      <c r="A1569" s="2">
        <f ca="1">IFERROR(__xludf.DUMMYFUNCTION("""COMPUTED_VALUE"""),45999.7204379513)</f>
        <v>45999.720437951299</v>
      </c>
      <c r="B1569" s="1" t="str">
        <f ca="1">IFERROR(__xludf.DUMMYFUNCTION("""COMPUTED_VALUE"""),"庫存調整")</f>
        <v>庫存調整</v>
      </c>
      <c r="C1569" s="1" t="str">
        <f ca="1">IFERROR(__xludf.DUMMYFUNCTION("""COMPUTED_VALUE"""),"ME0270001345")</f>
        <v>ME0270001345</v>
      </c>
      <c r="D1569" s="1" t="str">
        <f ca="1">IFERROR(__xludf.DUMMYFUNCTION("""COMPUTED_VALUE"""),"All/COLOR")</f>
        <v>All/COLOR</v>
      </c>
      <c r="E1569" s="1" t="str">
        <f ca="1">IFERROR(__xludf.DUMMYFUNCTION("""COMPUTED_VALUE"""),"p1/庫存")</f>
        <v>p1/庫存</v>
      </c>
      <c r="F1569" s="1">
        <f ca="1">IFERROR(__xludf.DUMMYFUNCTION("""COMPUTED_VALUE"""),1)</f>
        <v>1</v>
      </c>
      <c r="G1569" s="1"/>
      <c r="H1569" s="1" t="str">
        <f ca="1">IFERROR(__xludf.DUMMYFUNCTION("""COMPUTED_VALUE"""),"P1")</f>
        <v>P1</v>
      </c>
      <c r="I1569" s="1" t="str">
        <f ca="1">IFERROR(__xludf.DUMMYFUNCTION("""COMPUTED_VALUE"""),"Simon")</f>
        <v>Simon</v>
      </c>
    </row>
    <row r="1570" spans="1:9" ht="12.7" x14ac:dyDescent="0.4">
      <c r="A1570" s="2">
        <f ca="1">IFERROR(__xludf.DUMMYFUNCTION("""COMPUTED_VALUE"""),45999.7209626851)</f>
        <v>45999.720962685104</v>
      </c>
      <c r="B1570" s="1" t="str">
        <f ca="1">IFERROR(__xludf.DUMMYFUNCTION("""COMPUTED_VALUE"""),"庫存調整")</f>
        <v>庫存調整</v>
      </c>
      <c r="C1570" s="1" t="str">
        <f ca="1">IFERROR(__xludf.DUMMYFUNCTION("""COMPUTED_VALUE"""),"ME0270001345")</f>
        <v>ME0270001345</v>
      </c>
      <c r="D1570" s="1" t="str">
        <f ca="1">IFERROR(__xludf.DUMMYFUNCTION("""COMPUTED_VALUE"""),"All/COLOR")</f>
        <v>All/COLOR</v>
      </c>
      <c r="E1570" s="1" t="str">
        <f ca="1">IFERROR(__xludf.DUMMYFUNCTION("""COMPUTED_VALUE"""),"p2/庫存")</f>
        <v>p2/庫存</v>
      </c>
      <c r="F1570" s="1">
        <f ca="1">IFERROR(__xludf.DUMMYFUNCTION("""COMPUTED_VALUE"""),1)</f>
        <v>1</v>
      </c>
      <c r="G1570" s="1"/>
      <c r="H1570" s="1" t="str">
        <f ca="1">IFERROR(__xludf.DUMMYFUNCTION("""COMPUTED_VALUE"""),"P2")</f>
        <v>P2</v>
      </c>
      <c r="I1570" s="1" t="str">
        <f ca="1">IFERROR(__xludf.DUMMYFUNCTION("""COMPUTED_VALUE"""),"Simon")</f>
        <v>Simon</v>
      </c>
    </row>
    <row r="1571" spans="1:9" ht="12.7" x14ac:dyDescent="0.4">
      <c r="A1571" s="2">
        <f ca="1">IFERROR(__xludf.DUMMYFUNCTION("""COMPUTED_VALUE"""),46000.3996728587)</f>
        <v>46000.399672858701</v>
      </c>
      <c r="B1571" s="1" t="str">
        <f ca="1">IFERROR(__xludf.DUMMYFUNCTION("""COMPUTED_VALUE"""),"領料")</f>
        <v>領料</v>
      </c>
      <c r="C1571" s="1" t="str">
        <f ca="1">IFERROR(__xludf.DUMMYFUNCTION("""COMPUTED_VALUE"""),"AGT000000005")</f>
        <v>AGT000000005</v>
      </c>
      <c r="D1571" s="1" t="str">
        <f ca="1">IFERROR(__xludf.DUMMYFUNCTION("""COMPUTED_VALUE"""),"All/共用")</f>
        <v>All/共用</v>
      </c>
      <c r="E1571" s="1" t="str">
        <f ca="1">IFERROR(__xludf.DUMMYFUNCTION("""COMPUTED_VALUE"""),"p1/庫存")</f>
        <v>p1/庫存</v>
      </c>
      <c r="F1571" s="1">
        <f ca="1">IFERROR(__xludf.DUMMYFUNCTION("""COMPUTED_VALUE"""),1)</f>
        <v>1</v>
      </c>
      <c r="G1571" s="1"/>
      <c r="H1571" s="1" t="str">
        <f ca="1">IFERROR(__xludf.DUMMYFUNCTION("""COMPUTED_VALUE"""),"P3")</f>
        <v>P3</v>
      </c>
      <c r="I1571" s="1" t="str">
        <f ca="1">IFERROR(__xludf.DUMMYFUNCTION("""COMPUTED_VALUE"""),"Chiao Yu")</f>
        <v>Chiao Yu</v>
      </c>
    </row>
    <row r="1572" spans="1:9" ht="12.7" x14ac:dyDescent="0.4">
      <c r="A1572" s="2">
        <f ca="1">IFERROR(__xludf.DUMMYFUNCTION("""COMPUTED_VALUE"""),46001.2551782291)</f>
        <v>46001.255178229098</v>
      </c>
      <c r="B1572" s="1" t="str">
        <f ca="1">IFERROR(__xludf.DUMMYFUNCTION("""COMPUTED_VALUE"""),"領料")</f>
        <v>領料</v>
      </c>
      <c r="C1572" s="1" t="str">
        <f ca="1">IFERROR(__xludf.DUMMYFUNCTION("""COMPUTED_VALUE"""),"ME0120000230")</f>
        <v>ME0120000230</v>
      </c>
      <c r="D1572" s="1" t="str">
        <f ca="1">IFERROR(__xludf.DUMMYFUNCTION("""COMPUTED_VALUE"""),"All/BA")</f>
        <v>All/BA</v>
      </c>
      <c r="E1572" s="1" t="str">
        <f ca="1">IFERROR(__xludf.DUMMYFUNCTION("""COMPUTED_VALUE"""),"p1/庫存")</f>
        <v>p1/庫存</v>
      </c>
      <c r="F1572" s="1">
        <f ca="1">IFERROR(__xludf.DUMMYFUNCTION("""COMPUTED_VALUE"""),1)</f>
        <v>1</v>
      </c>
      <c r="G1572" s="1"/>
      <c r="H1572" s="1" t="str">
        <f ca="1">IFERROR(__xludf.DUMMYFUNCTION("""COMPUTED_VALUE"""),"P3_016")</f>
        <v>P3_016</v>
      </c>
      <c r="I1572" s="1" t="str">
        <f ca="1">IFERROR(__xludf.DUMMYFUNCTION("""COMPUTED_VALUE"""),"Jason")</f>
        <v>Jason</v>
      </c>
    </row>
    <row r="1573" spans="1:9" ht="12.7" x14ac:dyDescent="0.4">
      <c r="A1573" s="2">
        <f ca="1">IFERROR(__xludf.DUMMYFUNCTION("""COMPUTED_VALUE"""),46001.4293006365)</f>
        <v>46001.429300636497</v>
      </c>
      <c r="B1573" s="1" t="str">
        <f ca="1">IFERROR(__xludf.DUMMYFUNCTION("""COMPUTED_VALUE"""),"領料")</f>
        <v>領料</v>
      </c>
      <c r="C1573" s="1" t="str">
        <f ca="1">IFERROR(__xludf.DUMMYFUNCTION("""COMPUTED_VALUE"""),"AGT000000005")</f>
        <v>AGT000000005</v>
      </c>
      <c r="D1573" s="1" t="str">
        <f ca="1">IFERROR(__xludf.DUMMYFUNCTION("""COMPUTED_VALUE"""),"All/共用")</f>
        <v>All/共用</v>
      </c>
      <c r="E1573" s="1" t="str">
        <f ca="1">IFERROR(__xludf.DUMMYFUNCTION("""COMPUTED_VALUE"""),"p1/庫存")</f>
        <v>p1/庫存</v>
      </c>
      <c r="F1573" s="1">
        <f ca="1">IFERROR(__xludf.DUMMYFUNCTION("""COMPUTED_VALUE"""),1)</f>
        <v>1</v>
      </c>
      <c r="G1573" s="1"/>
      <c r="H1573" s="1" t="str">
        <f ca="1">IFERROR(__xludf.DUMMYFUNCTION("""COMPUTED_VALUE"""),"P3_4007")</f>
        <v>P3_4007</v>
      </c>
      <c r="I1573" s="1" t="str">
        <f ca="1">IFERROR(__xludf.DUMMYFUNCTION("""COMPUTED_VALUE"""),"Simon")</f>
        <v>Simon</v>
      </c>
    </row>
    <row r="1574" spans="1:9" ht="12.7" x14ac:dyDescent="0.4">
      <c r="A1574" s="2">
        <f ca="1">IFERROR(__xludf.DUMMYFUNCTION("""COMPUTED_VALUE"""),46001.5673602777)</f>
        <v>46001.567360277702</v>
      </c>
      <c r="B1574" s="1" t="str">
        <f ca="1">IFERROR(__xludf.DUMMYFUNCTION("""COMPUTED_VALUE"""),"領料")</f>
        <v>領料</v>
      </c>
      <c r="C1574" s="1" t="str">
        <f ca="1">IFERROR(__xludf.DUMMYFUNCTION("""COMPUTED_VALUE"""),"ME0120000230")</f>
        <v>ME0120000230</v>
      </c>
      <c r="D1574" s="1" t="str">
        <f ca="1">IFERROR(__xludf.DUMMYFUNCTION("""COMPUTED_VALUE"""),"All/共用")</f>
        <v>All/共用</v>
      </c>
      <c r="E1574" s="1" t="str">
        <f ca="1">IFERROR(__xludf.DUMMYFUNCTION("""COMPUTED_VALUE"""),"p2/庫存")</f>
        <v>p2/庫存</v>
      </c>
      <c r="F1574" s="1">
        <f ca="1">IFERROR(__xludf.DUMMYFUNCTION("""COMPUTED_VALUE"""),1)</f>
        <v>1</v>
      </c>
      <c r="G1574" s="1"/>
      <c r="H1574" s="1" t="str">
        <f ca="1">IFERROR(__xludf.DUMMYFUNCTION("""COMPUTED_VALUE"""),"P2_048")</f>
        <v>P2_048</v>
      </c>
      <c r="I1574" s="1" t="str">
        <f ca="1">IFERROR(__xludf.DUMMYFUNCTION("""COMPUTED_VALUE"""),"Simon")</f>
        <v>Simon</v>
      </c>
    </row>
    <row r="1575" spans="1:9" ht="12.7" x14ac:dyDescent="0.4">
      <c r="A1575" s="2">
        <f ca="1">IFERROR(__xludf.DUMMYFUNCTION("""COMPUTED_VALUE"""),46002.1793206134)</f>
        <v>46002.179320613403</v>
      </c>
      <c r="B1575" s="1" t="str">
        <f ca="1">IFERROR(__xludf.DUMMYFUNCTION("""COMPUTED_VALUE"""),"領料")</f>
        <v>領料</v>
      </c>
      <c r="C1575" s="1" t="str">
        <f ca="1">IFERROR(__xludf.DUMMYFUNCTION("""COMPUTED_VALUE"""),"ME0120000230")</f>
        <v>ME0120000230</v>
      </c>
      <c r="D1575" s="1" t="str">
        <f ca="1">IFERROR(__xludf.DUMMYFUNCTION("""COMPUTED_VALUE"""),"All/共用")</f>
        <v>All/共用</v>
      </c>
      <c r="E1575" s="1" t="str">
        <f ca="1">IFERROR(__xludf.DUMMYFUNCTION("""COMPUTED_VALUE"""),"p2/庫存")</f>
        <v>p2/庫存</v>
      </c>
      <c r="F1575" s="1">
        <f ca="1">IFERROR(__xludf.DUMMYFUNCTION("""COMPUTED_VALUE"""),1)</f>
        <v>1</v>
      </c>
      <c r="G1575" s="1"/>
      <c r="H1575" s="1" t="str">
        <f ca="1">IFERROR(__xludf.DUMMYFUNCTION("""COMPUTED_VALUE"""),"P2_053")</f>
        <v>P2_053</v>
      </c>
      <c r="I1575" s="1" t="str">
        <f ca="1">IFERROR(__xludf.DUMMYFUNCTION("""COMPUTED_VALUE"""),"Jason")</f>
        <v>Jason</v>
      </c>
    </row>
    <row r="1576" spans="1:9" ht="12.7" x14ac:dyDescent="0.4">
      <c r="A1576" s="2">
        <f ca="1">IFERROR(__xludf.DUMMYFUNCTION("""COMPUTED_VALUE"""),46002.2109260069)</f>
        <v>46002.210926006897</v>
      </c>
      <c r="B1576" s="1" t="str">
        <f ca="1">IFERROR(__xludf.DUMMYFUNCTION("""COMPUTED_VALUE"""),"領料")</f>
        <v>領料</v>
      </c>
      <c r="C1576" s="1" t="str">
        <f ca="1">IFERROR(__xludf.DUMMYFUNCTION("""COMPUTED_VALUE"""),"MM0260000077")</f>
        <v>MM0260000077</v>
      </c>
      <c r="D1576" s="1" t="str">
        <f ca="1">IFERROR(__xludf.DUMMYFUNCTION("""COMPUTED_VALUE"""),"All/BA")</f>
        <v>All/BA</v>
      </c>
      <c r="E1576" s="1" t="str">
        <f ca="1">IFERROR(__xludf.DUMMYFUNCTION("""COMPUTED_VALUE"""),"p2/庫存")</f>
        <v>p2/庫存</v>
      </c>
      <c r="F1576" s="1">
        <f ca="1">IFERROR(__xludf.DUMMYFUNCTION("""COMPUTED_VALUE"""),56)</f>
        <v>56</v>
      </c>
      <c r="G1576" s="1"/>
      <c r="H1576" s="1" t="str">
        <f ca="1">IFERROR(__xludf.DUMMYFUNCTION("""COMPUTED_VALUE"""),"P2_031~053，P2_2001~2005")</f>
        <v>P2_031~053，P2_2001~2005</v>
      </c>
      <c r="I1576" s="1" t="str">
        <f ca="1">IFERROR(__xludf.DUMMYFUNCTION("""COMPUTED_VALUE"""),"Jason")</f>
        <v>Jason</v>
      </c>
    </row>
    <row r="1577" spans="1:9" ht="12.7" x14ac:dyDescent="0.4">
      <c r="A1577" s="2">
        <f ca="1">IFERROR(__xludf.DUMMYFUNCTION("""COMPUTED_VALUE"""),46002.2117472338)</f>
        <v>46002.2117472338</v>
      </c>
      <c r="B1577" s="1" t="str">
        <f ca="1">IFERROR(__xludf.DUMMYFUNCTION("""COMPUTED_VALUE"""),"領料")</f>
        <v>領料</v>
      </c>
      <c r="C1577" s="1" t="str">
        <f ca="1">IFERROR(__xludf.DUMMYFUNCTION("""COMPUTED_VALUE"""),"MM0260000266")</f>
        <v>MM0260000266</v>
      </c>
      <c r="D1577" s="1" t="str">
        <f ca="1">IFERROR(__xludf.DUMMYFUNCTION("""COMPUTED_VALUE"""),"All/BA")</f>
        <v>All/BA</v>
      </c>
      <c r="E1577" s="1" t="str">
        <f ca="1">IFERROR(__xludf.DUMMYFUNCTION("""COMPUTED_VALUE"""),"p2/庫存")</f>
        <v>p2/庫存</v>
      </c>
      <c r="F1577" s="1">
        <f ca="1">IFERROR(__xludf.DUMMYFUNCTION("""COMPUTED_VALUE"""),10)</f>
        <v>10</v>
      </c>
      <c r="G1577" s="1"/>
      <c r="H1577" s="1" t="str">
        <f ca="1">IFERROR(__xludf.DUMMYFUNCTION("""COMPUTED_VALUE"""),"P2_11001，P2_11002")</f>
        <v>P2_11001，P2_11002</v>
      </c>
      <c r="I1577" s="1" t="str">
        <f ca="1">IFERROR(__xludf.DUMMYFUNCTION("""COMPUTED_VALUE"""),"Jason")</f>
        <v>Jason</v>
      </c>
    </row>
    <row r="1578" spans="1:9" ht="12.7" x14ac:dyDescent="0.4">
      <c r="A1578" s="2">
        <f ca="1">IFERROR(__xludf.DUMMYFUNCTION("""COMPUTED_VALUE"""),46003.2232471064)</f>
        <v>46003.223247106398</v>
      </c>
      <c r="B1578" s="1" t="str">
        <f ca="1">IFERROR(__xludf.DUMMYFUNCTION("""COMPUTED_VALUE"""),"領料")</f>
        <v>領料</v>
      </c>
      <c r="C1578" s="1" t="str">
        <f ca="1">IFERROR(__xludf.DUMMYFUNCTION("""COMPUTED_VALUE"""),"A00700000862")</f>
        <v>A00700000862</v>
      </c>
      <c r="D1578" s="1" t="str">
        <f ca="1">IFERROR(__xludf.DUMMYFUNCTION("""COMPUTED_VALUE"""),"All/SB")</f>
        <v>All/SB</v>
      </c>
      <c r="E1578" s="1" t="str">
        <f ca="1">IFERROR(__xludf.DUMMYFUNCTION("""COMPUTED_VALUE"""),"p1/庫存")</f>
        <v>p1/庫存</v>
      </c>
      <c r="F1578" s="1">
        <f ca="1">IFERROR(__xludf.DUMMYFUNCTION("""COMPUTED_VALUE"""),3)</f>
        <v>3</v>
      </c>
      <c r="G1578" s="1"/>
      <c r="H1578" s="1" t="str">
        <f ca="1">IFERROR(__xludf.DUMMYFUNCTION("""COMPUTED_VALUE"""),"P3_4007")</f>
        <v>P3_4007</v>
      </c>
      <c r="I1578" s="1" t="str">
        <f ca="1">IFERROR(__xludf.DUMMYFUNCTION("""COMPUTED_VALUE"""),"Nick")</f>
        <v>Nick</v>
      </c>
    </row>
    <row r="1579" spans="1:9" ht="12.7" x14ac:dyDescent="0.4">
      <c r="A1579" s="2">
        <f ca="1">IFERROR(__xludf.DUMMYFUNCTION("""COMPUTED_VALUE"""),46010.2535132754)</f>
        <v>46010.253513275398</v>
      </c>
      <c r="B1579" s="1" t="str">
        <f ca="1">IFERROR(__xludf.DUMMYFUNCTION("""COMPUTED_VALUE"""),"領料")</f>
        <v>領料</v>
      </c>
      <c r="C1579" s="1" t="str">
        <f ca="1">IFERROR(__xludf.DUMMYFUNCTION("""COMPUTED_VALUE"""),"MM0260000157 ")</f>
        <v xml:space="preserve">MM0260000157 </v>
      </c>
      <c r="D1579" s="1" t="str">
        <f ca="1">IFERROR(__xludf.DUMMYFUNCTION("""COMPUTED_VALUE"""),"All/BA")</f>
        <v>All/BA</v>
      </c>
      <c r="E1579" s="1" t="str">
        <f ca="1">IFERROR(__xludf.DUMMYFUNCTION("""COMPUTED_VALUE"""),"p2/庫存")</f>
        <v>p2/庫存</v>
      </c>
      <c r="F1579" s="1">
        <f ca="1">IFERROR(__xludf.DUMMYFUNCTION("""COMPUTED_VALUE"""),1)</f>
        <v>1</v>
      </c>
      <c r="G1579" s="1"/>
      <c r="H1579" s="1" t="str">
        <f ca="1">IFERROR(__xludf.DUMMYFUNCTION("""COMPUTED_VALUE"""),"P2_039")</f>
        <v>P2_039</v>
      </c>
      <c r="I1579" s="1" t="str">
        <f ca="1">IFERROR(__xludf.DUMMYFUNCTION("""COMPUTED_VALUE"""),"Jason")</f>
        <v>Jason</v>
      </c>
    </row>
    <row r="1580" spans="1:9" ht="12.7" x14ac:dyDescent="0.4">
      <c r="A1580" s="2">
        <f ca="1">IFERROR(__xludf.DUMMYFUNCTION("""COMPUTED_VALUE"""),46010.25467603)</f>
        <v>46010.254676030003</v>
      </c>
      <c r="B1580" s="1" t="str">
        <f ca="1">IFERROR(__xludf.DUMMYFUNCTION("""COMPUTED_VALUE"""),"領料")</f>
        <v>領料</v>
      </c>
      <c r="C1580" s="1" t="str">
        <f ca="1">IFERROR(__xludf.DUMMYFUNCTION("""COMPUTED_VALUE"""),"ME0070000140")</f>
        <v>ME0070000140</v>
      </c>
      <c r="D1580" s="1" t="str">
        <f ca="1">IFERROR(__xludf.DUMMYFUNCTION("""COMPUTED_VALUE"""),"All/BA")</f>
        <v>All/BA</v>
      </c>
      <c r="E1580" s="1" t="str">
        <f ca="1">IFERROR(__xludf.DUMMYFUNCTION("""COMPUTED_VALUE"""),"p2/庫存")</f>
        <v>p2/庫存</v>
      </c>
      <c r="F1580" s="1">
        <f ca="1">IFERROR(__xludf.DUMMYFUNCTION("""COMPUTED_VALUE"""),1)</f>
        <v>1</v>
      </c>
      <c r="G1580" s="1" t="str">
        <f ca="1">IFERROR(__xludf.DUMMYFUNCTION("""COMPUTED_VALUE"""),"100A-2524L0007-2512")</f>
        <v>100A-2524L0007-2512</v>
      </c>
      <c r="H1580" s="1" t="str">
        <f ca="1">IFERROR(__xludf.DUMMYFUNCTION("""COMPUTED_VALUE"""),"P2_039")</f>
        <v>P2_039</v>
      </c>
      <c r="I1580" s="1" t="str">
        <f ca="1">IFERROR(__xludf.DUMMYFUNCTION("""COMPUTED_VALUE"""),"Jason")</f>
        <v>Jason</v>
      </c>
    </row>
    <row r="1581" spans="1:9" ht="12.7" x14ac:dyDescent="0.4">
      <c r="A1581" s="2">
        <f ca="1">IFERROR(__xludf.DUMMYFUNCTION("""COMPUTED_VALUE"""),46010.2564186805)</f>
        <v>46010.256418680503</v>
      </c>
      <c r="B1581" s="1" t="str">
        <f ca="1">IFERROR(__xludf.DUMMYFUNCTION("""COMPUTED_VALUE"""),"料件上線時間")</f>
        <v>料件上線時間</v>
      </c>
      <c r="C1581" s="1" t="str">
        <f ca="1">IFERROR(__xludf.DUMMYFUNCTION("""COMPUTED_VALUE"""),"ME0070000140")</f>
        <v>ME0070000140</v>
      </c>
      <c r="D1581" s="1" t="str">
        <f ca="1">IFERROR(__xludf.DUMMYFUNCTION("""COMPUTED_VALUE"""),"All/BA")</f>
        <v>All/BA</v>
      </c>
      <c r="E1581" s="1" t="str">
        <f ca="1">IFERROR(__xludf.DUMMYFUNCTION("""COMPUTED_VALUE"""),"p2/庫存")</f>
        <v>p2/庫存</v>
      </c>
      <c r="F1581" s="1">
        <f ca="1">IFERROR(__xludf.DUMMYFUNCTION("""COMPUTED_VALUE"""),1)</f>
        <v>1</v>
      </c>
      <c r="G1581" s="1" t="str">
        <f ca="1">IFERROR(__xludf.DUMMYFUNCTION("""COMPUTED_VALUE"""),"100A-2524L0007-2512")</f>
        <v>100A-2524L0007-2512</v>
      </c>
      <c r="H1581" s="1" t="str">
        <f ca="1">IFERROR(__xludf.DUMMYFUNCTION("""COMPUTED_VALUE"""),"P2_039")</f>
        <v>P2_039</v>
      </c>
      <c r="I1581" s="1" t="str">
        <f ca="1">IFERROR(__xludf.DUMMYFUNCTION("""COMPUTED_VALUE"""),"Jason")</f>
        <v>Jason</v>
      </c>
    </row>
    <row r="1582" spans="1:9" ht="12.7" x14ac:dyDescent="0.4">
      <c r="A1582" s="2">
        <f ca="1">IFERROR(__xludf.DUMMYFUNCTION("""COMPUTED_VALUE"""),46017.2560367129)</f>
        <v>46017.256036712897</v>
      </c>
      <c r="B1582" s="1" t="str">
        <f ca="1">IFERROR(__xludf.DUMMYFUNCTION("""COMPUTED_VALUE"""),"領料")</f>
        <v>領料</v>
      </c>
      <c r="C1582" s="1" t="str">
        <f ca="1">IFERROR(__xludf.DUMMYFUNCTION("""COMPUTED_VALUE"""),"A00700000862")</f>
        <v>A00700000862</v>
      </c>
      <c r="D1582" s="1" t="str">
        <f ca="1">IFERROR(__xludf.DUMMYFUNCTION("""COMPUTED_VALUE"""),"All/SB")</f>
        <v>All/SB</v>
      </c>
      <c r="E1582" s="1" t="str">
        <f ca="1">IFERROR(__xludf.DUMMYFUNCTION("""COMPUTED_VALUE"""),"p2/庫存")</f>
        <v>p2/庫存</v>
      </c>
      <c r="F1582" s="1">
        <f ca="1">IFERROR(__xludf.DUMMYFUNCTION("""COMPUTED_VALUE"""),2)</f>
        <v>2</v>
      </c>
      <c r="G1582" s="1"/>
      <c r="H1582" s="1" t="str">
        <f ca="1">IFERROR(__xludf.DUMMYFUNCTION("""COMPUTED_VALUE"""),"P2_7002")</f>
        <v>P2_7002</v>
      </c>
      <c r="I1582" s="1" t="str">
        <f ca="1">IFERROR(__xludf.DUMMYFUNCTION("""COMPUTED_VALUE"""),"Jason")</f>
        <v>Jason</v>
      </c>
    </row>
    <row r="1583" spans="1:9" ht="12.7" x14ac:dyDescent="0.4">
      <c r="A1583" s="2">
        <f ca="1">IFERROR(__xludf.DUMMYFUNCTION("""COMPUTED_VALUE"""),46022.4468359722)</f>
        <v>46022.446835972201</v>
      </c>
      <c r="B1583" s="1" t="str">
        <f ca="1">IFERROR(__xludf.DUMMYFUNCTION("""COMPUTED_VALUE"""),"庫存調整")</f>
        <v>庫存調整</v>
      </c>
      <c r="C1583" s="1" t="str">
        <f ca="1">IFERROR(__xludf.DUMMYFUNCTION("""COMPUTED_VALUE"""),"A00100000731")</f>
        <v>A00100000731</v>
      </c>
      <c r="D1583" s="1" t="str">
        <f ca="1">IFERROR(__xludf.DUMMYFUNCTION("""COMPUTED_VALUE"""),"All/BA")</f>
        <v>All/BA</v>
      </c>
      <c r="E1583" s="1" t="str">
        <f ca="1">IFERROR(__xludf.DUMMYFUNCTION("""COMPUTED_VALUE"""),"p1/庫存")</f>
        <v>p1/庫存</v>
      </c>
      <c r="F1583" s="1">
        <f ca="1">IFERROR(__xludf.DUMMYFUNCTION("""COMPUTED_VALUE"""),1)</f>
        <v>1</v>
      </c>
      <c r="G1583" s="1"/>
      <c r="H1583" s="1" t="str">
        <f ca="1">IFERROR(__xludf.DUMMYFUNCTION("""COMPUTED_VALUE"""),"P3")</f>
        <v>P3</v>
      </c>
      <c r="I1583" s="1" t="str">
        <f ca="1">IFERROR(__xludf.DUMMYFUNCTION("""COMPUTED_VALUE"""),"Chiao Yu")</f>
        <v>Chiao Yu</v>
      </c>
    </row>
    <row r="1584" spans="1:9" ht="12.7" x14ac:dyDescent="0.4">
      <c r="A1584" s="2">
        <f ca="1">IFERROR(__xludf.DUMMYFUNCTION("""COMPUTED_VALUE"""),46022.4472886458)</f>
        <v>46022.447288645802</v>
      </c>
      <c r="B1584" s="1" t="str">
        <f ca="1">IFERROR(__xludf.DUMMYFUNCTION("""COMPUTED_VALUE"""),"庫存調整")</f>
        <v>庫存調整</v>
      </c>
      <c r="C1584" s="1" t="str">
        <f ca="1">IFERROR(__xludf.DUMMYFUNCTION("""COMPUTED_VALUE"""),"A00100000731")</f>
        <v>A00100000731</v>
      </c>
      <c r="D1584" s="1" t="str">
        <f ca="1">IFERROR(__xludf.DUMMYFUNCTION("""COMPUTED_VALUE"""),"All/BA")</f>
        <v>All/BA</v>
      </c>
      <c r="E1584" s="1" t="str">
        <f ca="1">IFERROR(__xludf.DUMMYFUNCTION("""COMPUTED_VALUE"""),"p2/庫存")</f>
        <v>p2/庫存</v>
      </c>
      <c r="F1584" s="1">
        <f ca="1">IFERROR(__xludf.DUMMYFUNCTION("""COMPUTED_VALUE"""),2)</f>
        <v>2</v>
      </c>
      <c r="G1584" s="1"/>
      <c r="H1584" s="1" t="str">
        <f ca="1">IFERROR(__xludf.DUMMYFUNCTION("""COMPUTED_VALUE"""),"P2")</f>
        <v>P2</v>
      </c>
      <c r="I1584" s="1" t="str">
        <f ca="1">IFERROR(__xludf.DUMMYFUNCTION("""COMPUTED_VALUE"""),"Chiao Yu")</f>
        <v>Chiao Yu</v>
      </c>
    </row>
    <row r="1585" spans="1:9" ht="12.7" x14ac:dyDescent="0.4">
      <c r="A1585" s="2">
        <f ca="1">IFERROR(__xludf.DUMMYFUNCTION("""COMPUTED_VALUE"""),46022.4517915393)</f>
        <v>46022.451791539301</v>
      </c>
      <c r="B1585" s="1" t="str">
        <f ca="1">IFERROR(__xludf.DUMMYFUNCTION("""COMPUTED_VALUE"""),"庫存調整")</f>
        <v>庫存調整</v>
      </c>
      <c r="C1585" s="1" t="str">
        <f ca="1">IFERROR(__xludf.DUMMYFUNCTION("""COMPUTED_VALUE"""),"A01100000092")</f>
        <v>A01100000092</v>
      </c>
      <c r="D1585" s="1" t="str">
        <f ca="1">IFERROR(__xludf.DUMMYFUNCTION("""COMPUTED_VALUE"""),"All/SB")</f>
        <v>All/SB</v>
      </c>
      <c r="E1585" s="1" t="str">
        <f ca="1">IFERROR(__xludf.DUMMYFUNCTION("""COMPUTED_VALUE"""),"p2/庫存")</f>
        <v>p2/庫存</v>
      </c>
      <c r="F1585" s="1">
        <f ca="1">IFERROR(__xludf.DUMMYFUNCTION("""COMPUTED_VALUE"""),-1)</f>
        <v>-1</v>
      </c>
      <c r="G1585" s="1"/>
      <c r="H1585" s="1" t="str">
        <f ca="1">IFERROR(__xludf.DUMMYFUNCTION("""COMPUTED_VALUE"""),"P2")</f>
        <v>P2</v>
      </c>
      <c r="I1585" s="1" t="str">
        <f ca="1">IFERROR(__xludf.DUMMYFUNCTION("""COMPUTED_VALUE"""),"Chiao Yu")</f>
        <v>Chiao Yu</v>
      </c>
    </row>
    <row r="1586" spans="1:9" ht="12.7" x14ac:dyDescent="0.4">
      <c r="A1586" s="2">
        <f ca="1">IFERROR(__xludf.DUMMYFUNCTION("""COMPUTED_VALUE"""),46022.4530171759)</f>
        <v>46022.453017175903</v>
      </c>
      <c r="B1586" s="1" t="str">
        <f ca="1">IFERROR(__xludf.DUMMYFUNCTION("""COMPUTED_VALUE"""),"庫存調整")</f>
        <v>庫存調整</v>
      </c>
      <c r="C1586" s="1" t="str">
        <f ca="1">IFERROR(__xludf.DUMMYFUNCTION("""COMPUTED_VALUE"""),"AGT000000006")</f>
        <v>AGT000000006</v>
      </c>
      <c r="D1586" s="1" t="str">
        <f ca="1">IFERROR(__xludf.DUMMYFUNCTION("""COMPUTED_VALUE"""),"All/共用")</f>
        <v>All/共用</v>
      </c>
      <c r="E1586" s="1" t="str">
        <f ca="1">IFERROR(__xludf.DUMMYFUNCTION("""COMPUTED_VALUE"""),"p1/庫存")</f>
        <v>p1/庫存</v>
      </c>
      <c r="F1586" s="1">
        <f ca="1">IFERROR(__xludf.DUMMYFUNCTION("""COMPUTED_VALUE"""),3)</f>
        <v>3</v>
      </c>
      <c r="G1586" s="1"/>
      <c r="H1586" s="1" t="str">
        <f ca="1">IFERROR(__xludf.DUMMYFUNCTION("""COMPUTED_VALUE"""),"P3")</f>
        <v>P3</v>
      </c>
      <c r="I1586" s="1" t="str">
        <f ca="1">IFERROR(__xludf.DUMMYFUNCTION("""COMPUTED_VALUE"""),"Chiao Yu")</f>
        <v>Chiao Yu</v>
      </c>
    </row>
    <row r="1587" spans="1:9" ht="12.7" x14ac:dyDescent="0.4">
      <c r="A1587" s="2">
        <f ca="1">IFERROR(__xludf.DUMMYFUNCTION("""COMPUTED_VALUE"""),46022.4545650231)</f>
        <v>46022.454565023101</v>
      </c>
      <c r="B1587" s="1" t="str">
        <f ca="1">IFERROR(__xludf.DUMMYFUNCTION("""COMPUTED_VALUE"""),"庫存調整")</f>
        <v>庫存調整</v>
      </c>
      <c r="C1587" s="1" t="str">
        <f ca="1">IFERROR(__xludf.DUMMYFUNCTION("""COMPUTED_VALUE"""),"BA-304")</f>
        <v>BA-304</v>
      </c>
      <c r="D1587" s="1" t="str">
        <f ca="1">IFERROR(__xludf.DUMMYFUNCTION("""COMPUTED_VALUE"""),"All/BA")</f>
        <v>All/BA</v>
      </c>
      <c r="E1587" s="1" t="str">
        <f ca="1">IFERROR(__xludf.DUMMYFUNCTION("""COMPUTED_VALUE"""),"p1/庫存")</f>
        <v>p1/庫存</v>
      </c>
      <c r="F1587" s="1">
        <f ca="1">IFERROR(__xludf.DUMMYFUNCTION("""COMPUTED_VALUE"""),-1)</f>
        <v>-1</v>
      </c>
      <c r="G1587" s="1"/>
      <c r="H1587" s="1" t="str">
        <f ca="1">IFERROR(__xludf.DUMMYFUNCTION("""COMPUTED_VALUE"""),"P3")</f>
        <v>P3</v>
      </c>
      <c r="I1587" s="1" t="str">
        <f ca="1">IFERROR(__xludf.DUMMYFUNCTION("""COMPUTED_VALUE"""),"Chiao Yu")</f>
        <v>Chiao Yu</v>
      </c>
    </row>
    <row r="1588" spans="1:9" ht="12.7" x14ac:dyDescent="0.4">
      <c r="A1588" s="2">
        <f ca="1">IFERROR(__xludf.DUMMYFUNCTION("""COMPUTED_VALUE"""),46022.4562476967)</f>
        <v>46022.456247696697</v>
      </c>
      <c r="B1588" s="1" t="str">
        <f ca="1">IFERROR(__xludf.DUMMYFUNCTION("""COMPUTED_VALUE"""),"庫存調整")</f>
        <v>庫存調整</v>
      </c>
      <c r="C1588" s="1" t="str">
        <f ca="1">IFERROR(__xludf.DUMMYFUNCTION("""COMPUTED_VALUE"""),"MC0060000118")</f>
        <v>MC0060000118</v>
      </c>
      <c r="D1588" s="1" t="str">
        <f ca="1">IFERROR(__xludf.DUMMYFUNCTION("""COMPUTED_VALUE"""),"All/BA")</f>
        <v>All/BA</v>
      </c>
      <c r="E1588" s="1" t="str">
        <f ca="1">IFERROR(__xludf.DUMMYFUNCTION("""COMPUTED_VALUE"""),"p1/庫存")</f>
        <v>p1/庫存</v>
      </c>
      <c r="F1588" s="1">
        <f ca="1">IFERROR(__xludf.DUMMYFUNCTION("""COMPUTED_VALUE"""),-1)</f>
        <v>-1</v>
      </c>
      <c r="G1588" s="1"/>
      <c r="H1588" s="1" t="str">
        <f ca="1">IFERROR(__xludf.DUMMYFUNCTION("""COMPUTED_VALUE"""),"P3")</f>
        <v>P3</v>
      </c>
      <c r="I1588" s="1" t="str">
        <f ca="1">IFERROR(__xludf.DUMMYFUNCTION("""COMPUTED_VALUE"""),"Chiao Yu")</f>
        <v>Chiao Yu</v>
      </c>
    </row>
    <row r="1589" spans="1:9" ht="12.7" x14ac:dyDescent="0.4">
      <c r="A1589" s="2">
        <f ca="1">IFERROR(__xludf.DUMMYFUNCTION("""COMPUTED_VALUE"""),46022.456606331)</f>
        <v>46022.456606330998</v>
      </c>
      <c r="B1589" s="1" t="str">
        <f ca="1">IFERROR(__xludf.DUMMYFUNCTION("""COMPUTED_VALUE"""),"庫存調整")</f>
        <v>庫存調整</v>
      </c>
      <c r="C1589" s="1" t="str">
        <f ca="1">IFERROR(__xludf.DUMMYFUNCTION("""COMPUTED_VALUE"""),"MC0060000119")</f>
        <v>MC0060000119</v>
      </c>
      <c r="D1589" s="1" t="str">
        <f ca="1">IFERROR(__xludf.DUMMYFUNCTION("""COMPUTED_VALUE"""),"All/BA")</f>
        <v>All/BA</v>
      </c>
      <c r="E1589" s="1" t="str">
        <f ca="1">IFERROR(__xludf.DUMMYFUNCTION("""COMPUTED_VALUE"""),"p1/庫存")</f>
        <v>p1/庫存</v>
      </c>
      <c r="F1589" s="1">
        <f ca="1">IFERROR(__xludf.DUMMYFUNCTION("""COMPUTED_VALUE"""),-1)</f>
        <v>-1</v>
      </c>
      <c r="G1589" s="1"/>
      <c r="H1589" s="1" t="str">
        <f ca="1">IFERROR(__xludf.DUMMYFUNCTION("""COMPUTED_VALUE"""),"P3")</f>
        <v>P3</v>
      </c>
      <c r="I1589" s="1" t="str">
        <f ca="1">IFERROR(__xludf.DUMMYFUNCTION("""COMPUTED_VALUE"""),"Chiao Yu")</f>
        <v>Chiao Yu</v>
      </c>
    </row>
    <row r="1590" spans="1:9" ht="12.7" x14ac:dyDescent="0.4">
      <c r="A1590" s="2">
        <f ca="1">IFERROR(__xludf.DUMMYFUNCTION("""COMPUTED_VALUE"""),46022.4569488773)</f>
        <v>46022.456948877298</v>
      </c>
      <c r="B1590" s="1" t="str">
        <f ca="1">IFERROR(__xludf.DUMMYFUNCTION("""COMPUTED_VALUE"""),"庫存調整")</f>
        <v>庫存調整</v>
      </c>
      <c r="C1590" s="1" t="str">
        <f ca="1">IFERROR(__xludf.DUMMYFUNCTION("""COMPUTED_VALUE"""),"MC0060000120")</f>
        <v>MC0060000120</v>
      </c>
      <c r="D1590" s="1" t="str">
        <f ca="1">IFERROR(__xludf.DUMMYFUNCTION("""COMPUTED_VALUE"""),"All/BA")</f>
        <v>All/BA</v>
      </c>
      <c r="E1590" s="1" t="str">
        <f ca="1">IFERROR(__xludf.DUMMYFUNCTION("""COMPUTED_VALUE"""),"p1/庫存")</f>
        <v>p1/庫存</v>
      </c>
      <c r="F1590" s="1">
        <f ca="1">IFERROR(__xludf.DUMMYFUNCTION("""COMPUTED_VALUE"""),-1)</f>
        <v>-1</v>
      </c>
      <c r="G1590" s="1"/>
      <c r="H1590" s="1" t="str">
        <f ca="1">IFERROR(__xludf.DUMMYFUNCTION("""COMPUTED_VALUE"""),"P3")</f>
        <v>P3</v>
      </c>
      <c r="I1590" s="1" t="str">
        <f ca="1">IFERROR(__xludf.DUMMYFUNCTION("""COMPUTED_VALUE"""),"Chiao Yu")</f>
        <v>Chiao Yu</v>
      </c>
    </row>
    <row r="1591" spans="1:9" ht="12.7" x14ac:dyDescent="0.4">
      <c r="A1591" s="2">
        <f ca="1">IFERROR(__xludf.DUMMYFUNCTION("""COMPUTED_VALUE"""),46022.4573197106)</f>
        <v>46022.4573197106</v>
      </c>
      <c r="B1591" s="1" t="str">
        <f ca="1">IFERROR(__xludf.DUMMYFUNCTION("""COMPUTED_VALUE"""),"庫存調整")</f>
        <v>庫存調整</v>
      </c>
      <c r="C1591" s="1" t="str">
        <f ca="1">IFERROR(__xludf.DUMMYFUNCTION("""COMPUTED_VALUE"""),"MC0060000121")</f>
        <v>MC0060000121</v>
      </c>
      <c r="D1591" s="1" t="str">
        <f ca="1">IFERROR(__xludf.DUMMYFUNCTION("""COMPUTED_VALUE"""),"All/BA")</f>
        <v>All/BA</v>
      </c>
      <c r="E1591" s="1" t="str">
        <f ca="1">IFERROR(__xludf.DUMMYFUNCTION("""COMPUTED_VALUE"""),"p1/庫存")</f>
        <v>p1/庫存</v>
      </c>
      <c r="F1591" s="1">
        <f ca="1">IFERROR(__xludf.DUMMYFUNCTION("""COMPUTED_VALUE"""),-1)</f>
        <v>-1</v>
      </c>
      <c r="G1591" s="1"/>
      <c r="H1591" s="1" t="str">
        <f ca="1">IFERROR(__xludf.DUMMYFUNCTION("""COMPUTED_VALUE"""),"P3")</f>
        <v>P3</v>
      </c>
      <c r="I1591" s="1" t="str">
        <f ca="1">IFERROR(__xludf.DUMMYFUNCTION("""COMPUTED_VALUE"""),"Chiao Yu")</f>
        <v>Chiao Yu</v>
      </c>
    </row>
    <row r="1592" spans="1:9" ht="12.7" x14ac:dyDescent="0.4">
      <c r="A1592" s="2">
        <f ca="1">IFERROR(__xludf.DUMMYFUNCTION("""COMPUTED_VALUE"""),46022.4589562731)</f>
        <v>46022.458956273098</v>
      </c>
      <c r="B1592" s="1" t="str">
        <f ca="1">IFERROR(__xludf.DUMMYFUNCTION("""COMPUTED_VALUE"""),"庫存調整")</f>
        <v>庫存調整</v>
      </c>
      <c r="C1592" s="1" t="str">
        <f ca="1">IFERROR(__xludf.DUMMYFUNCTION("""COMPUTED_VALUE"""),"ME0020000564")</f>
        <v>ME0020000564</v>
      </c>
      <c r="D1592" s="1" t="str">
        <f ca="1">IFERROR(__xludf.DUMMYFUNCTION("""COMPUTED_VALUE"""),"All/共用")</f>
        <v>All/共用</v>
      </c>
      <c r="E1592" s="1" t="str">
        <f ca="1">IFERROR(__xludf.DUMMYFUNCTION("""COMPUTED_VALUE"""),"p2/庫存")</f>
        <v>p2/庫存</v>
      </c>
      <c r="F1592" s="1">
        <f ca="1">IFERROR(__xludf.DUMMYFUNCTION("""COMPUTED_VALUE"""),1)</f>
        <v>1</v>
      </c>
      <c r="G1592" s="1"/>
      <c r="H1592" s="1" t="str">
        <f ca="1">IFERROR(__xludf.DUMMYFUNCTION("""COMPUTED_VALUE"""),"P2")</f>
        <v>P2</v>
      </c>
      <c r="I1592" s="1" t="str">
        <f ca="1">IFERROR(__xludf.DUMMYFUNCTION("""COMPUTED_VALUE"""),"Chiao Yu")</f>
        <v>Chiao Yu</v>
      </c>
    </row>
    <row r="1593" spans="1:9" ht="12.7" x14ac:dyDescent="0.4">
      <c r="A1593" s="2">
        <f ca="1">IFERROR(__xludf.DUMMYFUNCTION("""COMPUTED_VALUE"""),46022.4617182523)</f>
        <v>46022.4617182523</v>
      </c>
      <c r="B1593" s="1" t="str">
        <f ca="1">IFERROR(__xludf.DUMMYFUNCTION("""COMPUTED_VALUE"""),"庫存調整")</f>
        <v>庫存調整</v>
      </c>
      <c r="C1593" s="1" t="str">
        <f ca="1">IFERROR(__xludf.DUMMYFUNCTION("""COMPUTED_VALUE"""),"ME0060000278")</f>
        <v>ME0060000278</v>
      </c>
      <c r="D1593" s="1" t="str">
        <f ca="1">IFERROR(__xludf.DUMMYFUNCTION("""COMPUTED_VALUE"""),"All/共用")</f>
        <v>All/共用</v>
      </c>
      <c r="E1593" s="1" t="str">
        <f ca="1">IFERROR(__xludf.DUMMYFUNCTION("""COMPUTED_VALUE"""),"p1/庫存")</f>
        <v>p1/庫存</v>
      </c>
      <c r="F1593" s="1">
        <f ca="1">IFERROR(__xludf.DUMMYFUNCTION("""COMPUTED_VALUE"""),-2)</f>
        <v>-2</v>
      </c>
      <c r="G1593" s="1"/>
      <c r="H1593" s="1" t="str">
        <f ca="1">IFERROR(__xludf.DUMMYFUNCTION("""COMPUTED_VALUE"""),"P3")</f>
        <v>P3</v>
      </c>
      <c r="I1593" s="1" t="str">
        <f ca="1">IFERROR(__xludf.DUMMYFUNCTION("""COMPUTED_VALUE"""),"Chiao Yu")</f>
        <v>Chiao Yu</v>
      </c>
    </row>
    <row r="1594" spans="1:9" ht="12.7" x14ac:dyDescent="0.4">
      <c r="A1594" s="2">
        <f ca="1">IFERROR(__xludf.DUMMYFUNCTION("""COMPUTED_VALUE"""),46022.4660097569)</f>
        <v>46022.466009756899</v>
      </c>
      <c r="B1594" s="1" t="str">
        <f ca="1">IFERROR(__xludf.DUMMYFUNCTION("""COMPUTED_VALUE"""),"庫存調整")</f>
        <v>庫存調整</v>
      </c>
      <c r="C1594" s="1" t="str">
        <f ca="1">IFERROR(__xludf.DUMMYFUNCTION("""COMPUTED_VALUE"""),"ME0270001341")</f>
        <v>ME0270001341</v>
      </c>
      <c r="D1594" s="1" t="str">
        <f ca="1">IFERROR(__xludf.DUMMYFUNCTION("""COMPUTED_VALUE"""),"All/COLOR")</f>
        <v>All/COLOR</v>
      </c>
      <c r="E1594" s="1" t="str">
        <f ca="1">IFERROR(__xludf.DUMMYFUNCTION("""COMPUTED_VALUE"""),"p1/庫存")</f>
        <v>p1/庫存</v>
      </c>
      <c r="F1594" s="1">
        <f ca="1">IFERROR(__xludf.DUMMYFUNCTION("""COMPUTED_VALUE"""),1)</f>
        <v>1</v>
      </c>
      <c r="G1594" s="1"/>
      <c r="H1594" s="1" t="str">
        <f ca="1">IFERROR(__xludf.DUMMYFUNCTION("""COMPUTED_VALUE"""),"P3")</f>
        <v>P3</v>
      </c>
      <c r="I1594" s="1" t="str">
        <f ca="1">IFERROR(__xludf.DUMMYFUNCTION("""COMPUTED_VALUE"""),"Chiao Yu")</f>
        <v>Chiao Yu</v>
      </c>
    </row>
    <row r="1595" spans="1:9" ht="12.7" x14ac:dyDescent="0.4">
      <c r="A1595" s="2">
        <f ca="1">IFERROR(__xludf.DUMMYFUNCTION("""COMPUTED_VALUE"""),46022.4683189699)</f>
        <v>46022.468318969899</v>
      </c>
      <c r="B1595" s="1" t="str">
        <f ca="1">IFERROR(__xludf.DUMMYFUNCTION("""COMPUTED_VALUE"""),"庫存調整")</f>
        <v>庫存調整</v>
      </c>
      <c r="C1595" s="1" t="str">
        <f ca="1">IFERROR(__xludf.DUMMYFUNCTION("""COMPUTED_VALUE"""),"MM0090000047")</f>
        <v>MM0090000047</v>
      </c>
      <c r="D1595" s="1" t="str">
        <f ca="1">IFERROR(__xludf.DUMMYFUNCTION("""COMPUTED_VALUE"""),"All/BA")</f>
        <v>All/BA</v>
      </c>
      <c r="E1595" s="1" t="str">
        <f ca="1">IFERROR(__xludf.DUMMYFUNCTION("""COMPUTED_VALUE"""),"p1/庫存")</f>
        <v>p1/庫存</v>
      </c>
      <c r="F1595" s="1">
        <f ca="1">IFERROR(__xludf.DUMMYFUNCTION("""COMPUTED_VALUE"""),-26)</f>
        <v>-26</v>
      </c>
      <c r="G1595" s="1"/>
      <c r="H1595" s="1" t="str">
        <f ca="1">IFERROR(__xludf.DUMMYFUNCTION("""COMPUTED_VALUE"""),"P3")</f>
        <v>P3</v>
      </c>
      <c r="I1595" s="1" t="str">
        <f ca="1">IFERROR(__xludf.DUMMYFUNCTION("""COMPUTED_VALUE"""),"Chiao Yu")</f>
        <v>Chiao Yu</v>
      </c>
    </row>
    <row r="1596" spans="1:9" ht="12.7" x14ac:dyDescent="0.4">
      <c r="A1596" s="2">
        <f ca="1">IFERROR(__xludf.DUMMYFUNCTION("""COMPUTED_VALUE"""),46022.4688358333)</f>
        <v>46022.468835833301</v>
      </c>
      <c r="B1596" s="1" t="str">
        <f ca="1">IFERROR(__xludf.DUMMYFUNCTION("""COMPUTED_VALUE"""),"庫存調整")</f>
        <v>庫存調整</v>
      </c>
      <c r="C1596" s="1" t="str">
        <f ca="1">IFERROR(__xludf.DUMMYFUNCTION("""COMPUTED_VALUE"""),"MM0090000279")</f>
        <v>MM0090000279</v>
      </c>
      <c r="D1596" s="1" t="str">
        <f ca="1">IFERROR(__xludf.DUMMYFUNCTION("""COMPUTED_VALUE"""),"All/BA")</f>
        <v>All/BA</v>
      </c>
      <c r="E1596" s="1" t="str">
        <f ca="1">IFERROR(__xludf.DUMMYFUNCTION("""COMPUTED_VALUE"""),"p1/庫存")</f>
        <v>p1/庫存</v>
      </c>
      <c r="F1596" s="1">
        <f ca="1">IFERROR(__xludf.DUMMYFUNCTION("""COMPUTED_VALUE"""),3)</f>
        <v>3</v>
      </c>
      <c r="G1596" s="1"/>
      <c r="H1596" s="1" t="str">
        <f ca="1">IFERROR(__xludf.DUMMYFUNCTION("""COMPUTED_VALUE"""),"P3")</f>
        <v>P3</v>
      </c>
      <c r="I1596" s="1" t="str">
        <f ca="1">IFERROR(__xludf.DUMMYFUNCTION("""COMPUTED_VALUE"""),"Chiao Yu")</f>
        <v>Chiao Yu</v>
      </c>
    </row>
    <row r="1597" spans="1:9" ht="12.7" x14ac:dyDescent="0.4">
      <c r="A1597" s="2">
        <f ca="1">IFERROR(__xludf.DUMMYFUNCTION("""COMPUTED_VALUE"""),46022.4706398726)</f>
        <v>46022.470639872598</v>
      </c>
      <c r="B1597" s="1" t="str">
        <f ca="1">IFERROR(__xludf.DUMMYFUNCTION("""COMPUTED_VALUE"""),"庫存調整")</f>
        <v>庫存調整</v>
      </c>
      <c r="C1597" s="1" t="str">
        <f ca="1">IFERROR(__xludf.DUMMYFUNCTION("""COMPUTED_VALUE"""),"MM0260000259")</f>
        <v>MM0260000259</v>
      </c>
      <c r="D1597" s="1" t="str">
        <f ca="1">IFERROR(__xludf.DUMMYFUNCTION("""COMPUTED_VALUE"""),"All/SB")</f>
        <v>All/SB</v>
      </c>
      <c r="E1597" s="1" t="str">
        <f ca="1">IFERROR(__xludf.DUMMYFUNCTION("""COMPUTED_VALUE"""),"p1/庫存")</f>
        <v>p1/庫存</v>
      </c>
      <c r="F1597" s="1">
        <f ca="1">IFERROR(__xludf.DUMMYFUNCTION("""COMPUTED_VALUE"""),2)</f>
        <v>2</v>
      </c>
      <c r="G1597" s="1"/>
      <c r="H1597" s="1" t="str">
        <f ca="1">IFERROR(__xludf.DUMMYFUNCTION("""COMPUTED_VALUE"""),"P3")</f>
        <v>P3</v>
      </c>
      <c r="I1597" s="1" t="str">
        <f ca="1">IFERROR(__xludf.DUMMYFUNCTION("""COMPUTED_VALUE"""),"Chiao Yu")</f>
        <v>Chiao Yu</v>
      </c>
    </row>
    <row r="1598" spans="1:9" ht="12.7" x14ac:dyDescent="0.4">
      <c r="A1598" s="2">
        <f ca="1">IFERROR(__xludf.DUMMYFUNCTION("""COMPUTED_VALUE"""),46022.7151202662)</f>
        <v>46022.715120266199</v>
      </c>
      <c r="B1598" s="1" t="str">
        <f ca="1">IFERROR(__xludf.DUMMYFUNCTION("""COMPUTED_VALUE"""),"庫存調整")</f>
        <v>庫存調整</v>
      </c>
      <c r="C1598" s="1" t="str">
        <f ca="1">IFERROR(__xludf.DUMMYFUNCTION("""COMPUTED_VALUE"""),"ME0020000592")</f>
        <v>ME0020000592</v>
      </c>
      <c r="D1598" s="1" t="str">
        <f ca="1">IFERROR(__xludf.DUMMYFUNCTION("""COMPUTED_VALUE"""),"All/共用")</f>
        <v>All/共用</v>
      </c>
      <c r="E1598" s="1" t="str">
        <f ca="1">IFERROR(__xludf.DUMMYFUNCTION("""COMPUTED_VALUE"""),"p2/庫存")</f>
        <v>p2/庫存</v>
      </c>
      <c r="F1598" s="1">
        <f ca="1">IFERROR(__xludf.DUMMYFUNCTION("""COMPUTED_VALUE"""),1)</f>
        <v>1</v>
      </c>
      <c r="G1598" s="1"/>
      <c r="H1598" s="1" t="str">
        <f ca="1">IFERROR(__xludf.DUMMYFUNCTION("""COMPUTED_VALUE"""),"P2")</f>
        <v>P2</v>
      </c>
      <c r="I1598" s="1" t="str">
        <f ca="1">IFERROR(__xludf.DUMMYFUNCTION("""COMPUTED_VALUE"""),"Chiao Yu")</f>
        <v>Chiao Yu</v>
      </c>
    </row>
    <row r="1599" spans="1:9" ht="12.7" x14ac:dyDescent="0.4">
      <c r="A1599" s="2">
        <f ca="1">IFERROR(__xludf.DUMMYFUNCTION("""COMPUTED_VALUE"""),46022.7155610995)</f>
        <v>46022.715561099503</v>
      </c>
      <c r="B1599" s="1" t="str">
        <f ca="1">IFERROR(__xludf.DUMMYFUNCTION("""COMPUTED_VALUE"""),"庫存調整")</f>
        <v>庫存調整</v>
      </c>
      <c r="C1599" s="1" t="str">
        <f ca="1">IFERROR(__xludf.DUMMYFUNCTION("""COMPUTED_VALUE"""),"ME0020000622")</f>
        <v>ME0020000622</v>
      </c>
      <c r="D1599" s="1" t="str">
        <f ca="1">IFERROR(__xludf.DUMMYFUNCTION("""COMPUTED_VALUE"""),"All/共用")</f>
        <v>All/共用</v>
      </c>
      <c r="E1599" s="1" t="str">
        <f ca="1">IFERROR(__xludf.DUMMYFUNCTION("""COMPUTED_VALUE"""),"p2/庫存")</f>
        <v>p2/庫存</v>
      </c>
      <c r="F1599" s="1">
        <f ca="1">IFERROR(__xludf.DUMMYFUNCTION("""COMPUTED_VALUE"""),-1)</f>
        <v>-1</v>
      </c>
      <c r="G1599" s="1"/>
      <c r="H1599" s="1" t="str">
        <f ca="1">IFERROR(__xludf.DUMMYFUNCTION("""COMPUTED_VALUE"""),"P2")</f>
        <v>P2</v>
      </c>
      <c r="I1599" s="1" t="str">
        <f ca="1">IFERROR(__xludf.DUMMYFUNCTION("""COMPUTED_VALUE"""),"Chiao Yu")</f>
        <v>Chiao Yu</v>
      </c>
    </row>
    <row r="1600" spans="1:9" ht="12.7" x14ac:dyDescent="0.4">
      <c r="A1600" s="2">
        <f ca="1">IFERROR(__xludf.DUMMYFUNCTION("""COMPUTED_VALUE"""),46022.7163165046)</f>
        <v>46022.7163165046</v>
      </c>
      <c r="B1600" s="1" t="str">
        <f ca="1">IFERROR(__xludf.DUMMYFUNCTION("""COMPUTED_VALUE"""),"庫存調整")</f>
        <v>庫存調整</v>
      </c>
      <c r="C1600" s="1" t="str">
        <f ca="1">IFERROR(__xludf.DUMMYFUNCTION("""COMPUTED_VALUE"""),"MM0090000279")</f>
        <v>MM0090000279</v>
      </c>
      <c r="D1600" s="1" t="str">
        <f ca="1">IFERROR(__xludf.DUMMYFUNCTION("""COMPUTED_VALUE"""),"All/BA")</f>
        <v>All/BA</v>
      </c>
      <c r="E1600" s="1" t="str">
        <f ca="1">IFERROR(__xludf.DUMMYFUNCTION("""COMPUTED_VALUE"""),"p2/庫存")</f>
        <v>p2/庫存</v>
      </c>
      <c r="F1600" s="1">
        <f ca="1">IFERROR(__xludf.DUMMYFUNCTION("""COMPUTED_VALUE"""),-6)</f>
        <v>-6</v>
      </c>
      <c r="G1600" s="1"/>
      <c r="H1600" s="1" t="str">
        <f ca="1">IFERROR(__xludf.DUMMYFUNCTION("""COMPUTED_VALUE"""),"P2")</f>
        <v>P2</v>
      </c>
      <c r="I1600" s="1" t="str">
        <f ca="1">IFERROR(__xludf.DUMMYFUNCTION("""COMPUTED_VALUE"""),"Chiao Yu")</f>
        <v>Chiao Yu</v>
      </c>
    </row>
    <row r="1601" spans="1:9" ht="12.7" x14ac:dyDescent="0.4">
      <c r="A1601" s="2">
        <f ca="1">IFERROR(__xludf.DUMMYFUNCTION("""COMPUTED_VALUE"""),46022.7168565162)</f>
        <v>46022.716856516199</v>
      </c>
      <c r="B1601" s="1" t="str">
        <f ca="1">IFERROR(__xludf.DUMMYFUNCTION("""COMPUTED_VALUE"""),"庫存調整")</f>
        <v>庫存調整</v>
      </c>
      <c r="C1601" s="1" t="str">
        <f ca="1">IFERROR(__xludf.DUMMYFUNCTION("""COMPUTED_VALUE"""),"MM0220000039")</f>
        <v>MM0220000039</v>
      </c>
      <c r="D1601" s="1" t="str">
        <f ca="1">IFERROR(__xludf.DUMMYFUNCTION("""COMPUTED_VALUE"""),"All/共用")</f>
        <v>All/共用</v>
      </c>
      <c r="E1601" s="1" t="str">
        <f ca="1">IFERROR(__xludf.DUMMYFUNCTION("""COMPUTED_VALUE"""),"p2/庫存")</f>
        <v>p2/庫存</v>
      </c>
      <c r="F1601" s="1">
        <f ca="1">IFERROR(__xludf.DUMMYFUNCTION("""COMPUTED_VALUE"""),1)</f>
        <v>1</v>
      </c>
      <c r="G1601" s="1"/>
      <c r="H1601" s="1" t="str">
        <f ca="1">IFERROR(__xludf.DUMMYFUNCTION("""COMPUTED_VALUE"""),"P2")</f>
        <v>P2</v>
      </c>
      <c r="I1601" s="1" t="str">
        <f ca="1">IFERROR(__xludf.DUMMYFUNCTION("""COMPUTED_VALUE"""),"Chiao Yu")</f>
        <v>Chiao Yu</v>
      </c>
    </row>
    <row r="1602" spans="1:9" ht="12.7" x14ac:dyDescent="0.4">
      <c r="A1602" s="2">
        <f ca="1">IFERROR(__xludf.DUMMYFUNCTION("""COMPUTED_VALUE"""),46022.7172641898)</f>
        <v>46022.7172641898</v>
      </c>
      <c r="B1602" s="1" t="str">
        <f ca="1">IFERROR(__xludf.DUMMYFUNCTION("""COMPUTED_VALUE"""),"庫存調整")</f>
        <v>庫存調整</v>
      </c>
      <c r="C1602" s="1" t="str">
        <f ca="1">IFERROR(__xludf.DUMMYFUNCTION("""COMPUTED_VALUE"""),"MM0220000040")</f>
        <v>MM0220000040</v>
      </c>
      <c r="D1602" s="1" t="str">
        <f ca="1">IFERROR(__xludf.DUMMYFUNCTION("""COMPUTED_VALUE"""),"All/共用")</f>
        <v>All/共用</v>
      </c>
      <c r="E1602" s="1" t="str">
        <f ca="1">IFERROR(__xludf.DUMMYFUNCTION("""COMPUTED_VALUE"""),"p2/庫存")</f>
        <v>p2/庫存</v>
      </c>
      <c r="F1602" s="1">
        <f ca="1">IFERROR(__xludf.DUMMYFUNCTION("""COMPUTED_VALUE"""),1)</f>
        <v>1</v>
      </c>
      <c r="G1602" s="1"/>
      <c r="H1602" s="1" t="str">
        <f ca="1">IFERROR(__xludf.DUMMYFUNCTION("""COMPUTED_VALUE"""),"P2")</f>
        <v>P2</v>
      </c>
      <c r="I1602" s="1" t="str">
        <f ca="1">IFERROR(__xludf.DUMMYFUNCTION("""COMPUTED_VALUE"""),"Chiao Yu")</f>
        <v>Chiao Yu</v>
      </c>
    </row>
    <row r="1603" spans="1:9" ht="12.7" x14ac:dyDescent="0.4">
      <c r="A1603" s="2">
        <f ca="1">IFERROR(__xludf.DUMMYFUNCTION("""COMPUTED_VALUE"""),46022.7177184143)</f>
        <v>46022.7177184143</v>
      </c>
      <c r="B1603" s="1" t="str">
        <f ca="1">IFERROR(__xludf.DUMMYFUNCTION("""COMPUTED_VALUE"""),"庫存調整")</f>
        <v>庫存調整</v>
      </c>
      <c r="C1603" s="1" t="str">
        <f ca="1">IFERROR(__xludf.DUMMYFUNCTION("""COMPUTED_VALUE"""),"MM0220000042")</f>
        <v>MM0220000042</v>
      </c>
      <c r="D1603" s="1" t="str">
        <f ca="1">IFERROR(__xludf.DUMMYFUNCTION("""COMPUTED_VALUE"""),"All/共用")</f>
        <v>All/共用</v>
      </c>
      <c r="E1603" s="1" t="str">
        <f ca="1">IFERROR(__xludf.DUMMYFUNCTION("""COMPUTED_VALUE"""),"p2/庫存")</f>
        <v>p2/庫存</v>
      </c>
      <c r="F1603" s="1">
        <f ca="1">IFERROR(__xludf.DUMMYFUNCTION("""COMPUTED_VALUE"""),-2)</f>
        <v>-2</v>
      </c>
      <c r="G1603" s="1"/>
      <c r="H1603" s="1" t="str">
        <f ca="1">IFERROR(__xludf.DUMMYFUNCTION("""COMPUTED_VALUE"""),"P2")</f>
        <v>P2</v>
      </c>
      <c r="I1603" s="1" t="str">
        <f ca="1">IFERROR(__xludf.DUMMYFUNCTION("""COMPUTED_VALUE"""),"Chiao Yu")</f>
        <v>Chiao Yu</v>
      </c>
    </row>
    <row r="1604" spans="1:9" ht="12.7" x14ac:dyDescent="0.4">
      <c r="A1604" s="2">
        <f ca="1">IFERROR(__xludf.DUMMYFUNCTION("""COMPUTED_VALUE"""),46022.7186129745)</f>
        <v>46022.718612974502</v>
      </c>
      <c r="B1604" s="1" t="str">
        <f ca="1">IFERROR(__xludf.DUMMYFUNCTION("""COMPUTED_VALUE"""),"庫存調整")</f>
        <v>庫存調整</v>
      </c>
      <c r="C1604" s="1" t="str">
        <f ca="1">IFERROR(__xludf.DUMMYFUNCTION("""COMPUTED_VALUE"""),"MM0260000157")</f>
        <v>MM0260000157</v>
      </c>
      <c r="D1604" s="1" t="str">
        <f ca="1">IFERROR(__xludf.DUMMYFUNCTION("""COMPUTED_VALUE"""),"All/BA")</f>
        <v>All/BA</v>
      </c>
      <c r="E1604" s="1" t="str">
        <f ca="1">IFERROR(__xludf.DUMMYFUNCTION("""COMPUTED_VALUE"""),"p2/庫存")</f>
        <v>p2/庫存</v>
      </c>
      <c r="F1604" s="1">
        <f ca="1">IFERROR(__xludf.DUMMYFUNCTION("""COMPUTED_VALUE"""),-3)</f>
        <v>-3</v>
      </c>
      <c r="G1604" s="1"/>
      <c r="H1604" s="1" t="str">
        <f ca="1">IFERROR(__xludf.DUMMYFUNCTION("""COMPUTED_VALUE"""),"P2")</f>
        <v>P2</v>
      </c>
      <c r="I1604" s="1" t="str">
        <f ca="1">IFERROR(__xludf.DUMMYFUNCTION("""COMPUTED_VALUE"""),"Chiao Yu")</f>
        <v>Chiao Yu</v>
      </c>
    </row>
    <row r="1605" spans="1:9" ht="12.7" x14ac:dyDescent="0.4">
      <c r="A1605" s="2">
        <f ca="1">IFERROR(__xludf.DUMMYFUNCTION("""COMPUTED_VALUE"""),46022.7191474074)</f>
        <v>46022.719147407399</v>
      </c>
      <c r="B1605" s="1" t="str">
        <f ca="1">IFERROR(__xludf.DUMMYFUNCTION("""COMPUTED_VALUE"""),"庫存調整")</f>
        <v>庫存調整</v>
      </c>
      <c r="C1605" s="1" t="str">
        <f ca="1">IFERROR(__xludf.DUMMYFUNCTION("""COMPUTED_VALUE"""),"MM0260000266")</f>
        <v>MM0260000266</v>
      </c>
      <c r="D1605" s="1" t="str">
        <f ca="1">IFERROR(__xludf.DUMMYFUNCTION("""COMPUTED_VALUE"""),"All/BA")</f>
        <v>All/BA</v>
      </c>
      <c r="E1605" s="1" t="str">
        <f ca="1">IFERROR(__xludf.DUMMYFUNCTION("""COMPUTED_VALUE"""),"p2/庫存")</f>
        <v>p2/庫存</v>
      </c>
      <c r="F1605" s="1">
        <f ca="1">IFERROR(__xludf.DUMMYFUNCTION("""COMPUTED_VALUE"""),-2)</f>
        <v>-2</v>
      </c>
      <c r="G1605" s="1"/>
      <c r="H1605" s="1" t="str">
        <f ca="1">IFERROR(__xludf.DUMMYFUNCTION("""COMPUTED_VALUE"""),"P2")</f>
        <v>P2</v>
      </c>
      <c r="I1605" s="1" t="str">
        <f ca="1">IFERROR(__xludf.DUMMYFUNCTION("""COMPUTED_VALUE"""),"Chiao Yu")</f>
        <v>Chiao Yu</v>
      </c>
    </row>
    <row r="1606" spans="1:9" ht="12.7" x14ac:dyDescent="0.4">
      <c r="A1606" s="2">
        <f ca="1">IFERROR(__xludf.DUMMYFUNCTION("""COMPUTED_VALUE"""),46023.4832141666)</f>
        <v>46023.483214166597</v>
      </c>
      <c r="B1606" s="1" t="str">
        <f ca="1">IFERROR(__xludf.DUMMYFUNCTION("""COMPUTED_VALUE"""),"領料")</f>
        <v>領料</v>
      </c>
      <c r="C1606" s="1" t="str">
        <f ca="1">IFERROR(__xludf.DUMMYFUNCTION("""COMPUTED_VALUE"""),"ME0120000142")</f>
        <v>ME0120000142</v>
      </c>
      <c r="D1606" s="1" t="str">
        <f ca="1">IFERROR(__xludf.DUMMYFUNCTION("""COMPUTED_VALUE"""),"All/BA")</f>
        <v>All/BA</v>
      </c>
      <c r="E1606" s="1" t="str">
        <f ca="1">IFERROR(__xludf.DUMMYFUNCTION("""COMPUTED_VALUE"""),"p1/庫存")</f>
        <v>p1/庫存</v>
      </c>
      <c r="F1606" s="1">
        <f ca="1">IFERROR(__xludf.DUMMYFUNCTION("""COMPUTED_VALUE"""),1)</f>
        <v>1</v>
      </c>
      <c r="G1606" s="1"/>
      <c r="H1606" s="1" t="str">
        <f ca="1">IFERROR(__xludf.DUMMYFUNCTION("""COMPUTED_VALUE"""),"P3_13002")</f>
        <v>P3_13002</v>
      </c>
      <c r="I1606" s="1" t="str">
        <f ca="1">IFERROR(__xludf.DUMMYFUNCTION("""COMPUTED_VALUE"""),"Chiao Yu")</f>
        <v>Chiao Yu</v>
      </c>
    </row>
    <row r="1607" spans="1:9" ht="12.7" x14ac:dyDescent="0.4">
      <c r="A1607" s="2">
        <f ca="1">IFERROR(__xludf.DUMMYFUNCTION("""COMPUTED_VALUE"""),46023.4841523495)</f>
        <v>46023.484152349498</v>
      </c>
      <c r="B1607" s="1" t="str">
        <f ca="1">IFERROR(__xludf.DUMMYFUNCTION("""COMPUTED_VALUE"""),"領料")</f>
        <v>領料</v>
      </c>
      <c r="C1607" s="1" t="str">
        <f ca="1">IFERROR(__xludf.DUMMYFUNCTION("""COMPUTED_VALUE"""),"ME0160000101")</f>
        <v>ME0160000101</v>
      </c>
      <c r="D1607" s="1" t="str">
        <f ca="1">IFERROR(__xludf.DUMMYFUNCTION("""COMPUTED_VALUE"""),"All/BA")</f>
        <v>All/BA</v>
      </c>
      <c r="E1607" s="1" t="str">
        <f ca="1">IFERROR(__xludf.DUMMYFUNCTION("""COMPUTED_VALUE"""),"p1/庫存")</f>
        <v>p1/庫存</v>
      </c>
      <c r="F1607" s="1">
        <f ca="1">IFERROR(__xludf.DUMMYFUNCTION("""COMPUTED_VALUE"""),1)</f>
        <v>1</v>
      </c>
      <c r="G1607" s="1"/>
      <c r="H1607" s="1" t="str">
        <f ca="1">IFERROR(__xludf.DUMMYFUNCTION("""COMPUTED_VALUE"""),"P3_13002")</f>
        <v>P3_13002</v>
      </c>
      <c r="I1607" s="1" t="str">
        <f ca="1">IFERROR(__xludf.DUMMYFUNCTION("""COMPUTED_VALUE"""),"Chiao Yu")</f>
        <v>Chiao Yu</v>
      </c>
    </row>
    <row r="1608" spans="1:9" ht="12.7" x14ac:dyDescent="0.4">
      <c r="A1608" s="2">
        <f ca="1">IFERROR(__xludf.DUMMYFUNCTION("""COMPUTED_VALUE"""),46027.7051105902)</f>
        <v>46027.705110590199</v>
      </c>
      <c r="B1608" s="1" t="str">
        <f ca="1">IFERROR(__xludf.DUMMYFUNCTION("""COMPUTED_VALUE"""),"庫存調整")</f>
        <v>庫存調整</v>
      </c>
      <c r="C1608" s="1" t="str">
        <f ca="1">IFERROR(__xludf.DUMMYFUNCTION("""COMPUTED_VALUE"""),"ME0060000218")</f>
        <v>ME0060000218</v>
      </c>
      <c r="D1608" s="1" t="str">
        <f ca="1">IFERROR(__xludf.DUMMYFUNCTION("""COMPUTED_VALUE"""),"All/BA")</f>
        <v>All/BA</v>
      </c>
      <c r="E1608" s="1" t="str">
        <f ca="1">IFERROR(__xludf.DUMMYFUNCTION("""COMPUTED_VALUE"""),"p1/庫存")</f>
        <v>p1/庫存</v>
      </c>
      <c r="F1608" s="1">
        <f ca="1">IFERROR(__xludf.DUMMYFUNCTION("""COMPUTED_VALUE"""),-1)</f>
        <v>-1</v>
      </c>
      <c r="G1608" s="1"/>
      <c r="H1608" s="1" t="str">
        <f ca="1">IFERROR(__xludf.DUMMYFUNCTION("""COMPUTED_VALUE"""),"P3")</f>
        <v>P3</v>
      </c>
      <c r="I1608" s="1" t="str">
        <f ca="1">IFERROR(__xludf.DUMMYFUNCTION("""COMPUTED_VALUE"""),"Simon")</f>
        <v>Simon</v>
      </c>
    </row>
    <row r="1609" spans="1:9" ht="12.7" x14ac:dyDescent="0.4">
      <c r="A1609" s="2">
        <f ca="1">IFERROR(__xludf.DUMMYFUNCTION("""COMPUTED_VALUE"""),46027.7059124305)</f>
        <v>46027.705912430501</v>
      </c>
      <c r="B1609" s="1" t="str">
        <f ca="1">IFERROR(__xludf.DUMMYFUNCTION("""COMPUTED_VALUE"""),"庫存調整")</f>
        <v>庫存調整</v>
      </c>
      <c r="C1609" s="1" t="str">
        <f ca="1">IFERROR(__xludf.DUMMYFUNCTION("""COMPUTED_VALUE"""),"ME0270001245")</f>
        <v>ME0270001245</v>
      </c>
      <c r="D1609" s="1" t="str">
        <f ca="1">IFERROR(__xludf.DUMMYFUNCTION("""COMPUTED_VALUE"""),"All/BA")</f>
        <v>All/BA</v>
      </c>
      <c r="E1609" s="1" t="str">
        <f ca="1">IFERROR(__xludf.DUMMYFUNCTION("""COMPUTED_VALUE"""),"p1/庫存")</f>
        <v>p1/庫存</v>
      </c>
      <c r="F1609" s="1">
        <f ca="1">IFERROR(__xludf.DUMMYFUNCTION("""COMPUTED_VALUE"""),-1)</f>
        <v>-1</v>
      </c>
      <c r="G1609" s="1"/>
      <c r="H1609" s="1" t="str">
        <f ca="1">IFERROR(__xludf.DUMMYFUNCTION("""COMPUTED_VALUE"""),"P3")</f>
        <v>P3</v>
      </c>
      <c r="I1609" s="1" t="str">
        <f ca="1">IFERROR(__xludf.DUMMYFUNCTION("""COMPUTED_VALUE"""),"Simon")</f>
        <v>Simon</v>
      </c>
    </row>
    <row r="1610" spans="1:9" ht="12.7" x14ac:dyDescent="0.4">
      <c r="A1610" s="2">
        <f ca="1">IFERROR(__xludf.DUMMYFUNCTION("""COMPUTED_VALUE"""),46027.7066813194)</f>
        <v>46027.706681319403</v>
      </c>
      <c r="B1610" s="1" t="str">
        <f ca="1">IFERROR(__xludf.DUMMYFUNCTION("""COMPUTED_VALUE"""),"庫存調整")</f>
        <v>庫存調整</v>
      </c>
      <c r="C1610" s="1" t="str">
        <f ca="1">IFERROR(__xludf.DUMMYFUNCTION("""COMPUTED_VALUE"""),"MM0260000157")</f>
        <v>MM0260000157</v>
      </c>
      <c r="D1610" s="1" t="str">
        <f ca="1">IFERROR(__xludf.DUMMYFUNCTION("""COMPUTED_VALUE"""),"All/BA")</f>
        <v>All/BA</v>
      </c>
      <c r="E1610" s="1" t="str">
        <f ca="1">IFERROR(__xludf.DUMMYFUNCTION("""COMPUTED_VALUE"""),"p1/庫存")</f>
        <v>p1/庫存</v>
      </c>
      <c r="F1610" s="1">
        <f ca="1">IFERROR(__xludf.DUMMYFUNCTION("""COMPUTED_VALUE"""),-2)</f>
        <v>-2</v>
      </c>
      <c r="G1610" s="1"/>
      <c r="H1610" s="1" t="str">
        <f ca="1">IFERROR(__xludf.DUMMYFUNCTION("""COMPUTED_VALUE"""),"P3")</f>
        <v>P3</v>
      </c>
      <c r="I1610" s="1" t="str">
        <f ca="1">IFERROR(__xludf.DUMMYFUNCTION("""COMPUTED_VALUE"""),"Simon")</f>
        <v>Simon</v>
      </c>
    </row>
    <row r="1611" spans="1:9" ht="12.7" x14ac:dyDescent="0.4">
      <c r="A1611" s="2">
        <f ca="1">IFERROR(__xludf.DUMMYFUNCTION("""COMPUTED_VALUE"""),46027.7075206365)</f>
        <v>46027.707520636497</v>
      </c>
      <c r="B1611" s="1" t="str">
        <f ca="1">IFERROR(__xludf.DUMMYFUNCTION("""COMPUTED_VALUE"""),"庫存調整")</f>
        <v>庫存調整</v>
      </c>
      <c r="C1611" s="1" t="str">
        <f ca="1">IFERROR(__xludf.DUMMYFUNCTION("""COMPUTED_VALUE"""),"A00700000862")</f>
        <v>A00700000862</v>
      </c>
      <c r="D1611" s="1" t="str">
        <f ca="1">IFERROR(__xludf.DUMMYFUNCTION("""COMPUTED_VALUE"""),"All/SB")</f>
        <v>All/SB</v>
      </c>
      <c r="E1611" s="1" t="str">
        <f ca="1">IFERROR(__xludf.DUMMYFUNCTION("""COMPUTED_VALUE"""),"p1/庫存")</f>
        <v>p1/庫存</v>
      </c>
      <c r="F1611" s="1">
        <f ca="1">IFERROR(__xludf.DUMMYFUNCTION("""COMPUTED_VALUE"""),-3)</f>
        <v>-3</v>
      </c>
      <c r="G1611" s="1"/>
      <c r="H1611" s="1" t="str">
        <f ca="1">IFERROR(__xludf.DUMMYFUNCTION("""COMPUTED_VALUE"""),"P3")</f>
        <v>P3</v>
      </c>
      <c r="I1611" s="1" t="str">
        <f ca="1">IFERROR(__xludf.DUMMYFUNCTION("""COMPUTED_VALUE"""),"Simon")</f>
        <v>Simon</v>
      </c>
    </row>
    <row r="1612" spans="1:9" ht="12.7" x14ac:dyDescent="0.4">
      <c r="A1612" s="2">
        <f ca="1">IFERROR(__xludf.DUMMYFUNCTION("""COMPUTED_VALUE"""),46027.70869125)</f>
        <v>46027.708691250002</v>
      </c>
      <c r="B1612" s="1" t="str">
        <f ca="1">IFERROR(__xludf.DUMMYFUNCTION("""COMPUTED_VALUE"""),"庫存調整")</f>
        <v>庫存調整</v>
      </c>
      <c r="C1612" s="1" t="str">
        <f ca="1">IFERROR(__xludf.DUMMYFUNCTION("""COMPUTED_VALUE"""),"ME0060000277")</f>
        <v>ME0060000277</v>
      </c>
      <c r="D1612" s="1" t="str">
        <f ca="1">IFERROR(__xludf.DUMMYFUNCTION("""COMPUTED_VALUE"""),"All/共用")</f>
        <v>All/共用</v>
      </c>
      <c r="E1612" s="1" t="str">
        <f ca="1">IFERROR(__xludf.DUMMYFUNCTION("""COMPUTED_VALUE"""),"p1/庫存")</f>
        <v>p1/庫存</v>
      </c>
      <c r="F1612" s="1">
        <f ca="1">IFERROR(__xludf.DUMMYFUNCTION("""COMPUTED_VALUE"""),1)</f>
        <v>1</v>
      </c>
      <c r="G1612" s="1"/>
      <c r="H1612" s="1" t="str">
        <f ca="1">IFERROR(__xludf.DUMMYFUNCTION("""COMPUTED_VALUE"""),"P3")</f>
        <v>P3</v>
      </c>
      <c r="I1612" s="1" t="str">
        <f ca="1">IFERROR(__xludf.DUMMYFUNCTION("""COMPUTED_VALUE"""),"Simon")</f>
        <v>Simon</v>
      </c>
    </row>
    <row r="1613" spans="1:9" ht="12.7" x14ac:dyDescent="0.4">
      <c r="A1613" s="2">
        <f ca="1">IFERROR(__xludf.DUMMYFUNCTION("""COMPUTED_VALUE"""),46027.7096392824)</f>
        <v>46027.709639282402</v>
      </c>
      <c r="B1613" s="1" t="str">
        <f ca="1">IFERROR(__xludf.DUMMYFUNCTION("""COMPUTED_VALUE"""),"庫存調整")</f>
        <v>庫存調整</v>
      </c>
      <c r="C1613" s="1" t="str">
        <f ca="1">IFERROR(__xludf.DUMMYFUNCTION("""COMPUTED_VALUE"""),"ME0270001045")</f>
        <v>ME0270001045</v>
      </c>
      <c r="D1613" s="1" t="str">
        <f ca="1">IFERROR(__xludf.DUMMYFUNCTION("""COMPUTED_VALUE"""),"All/共用")</f>
        <v>All/共用</v>
      </c>
      <c r="E1613" s="1" t="str">
        <f ca="1">IFERROR(__xludf.DUMMYFUNCTION("""COMPUTED_VALUE"""),"p1/庫存")</f>
        <v>p1/庫存</v>
      </c>
      <c r="F1613" s="1">
        <f ca="1">IFERROR(__xludf.DUMMYFUNCTION("""COMPUTED_VALUE"""),2)</f>
        <v>2</v>
      </c>
      <c r="G1613" s="1"/>
      <c r="H1613" s="1" t="str">
        <f ca="1">IFERROR(__xludf.DUMMYFUNCTION("""COMPUTED_VALUE"""),"P3")</f>
        <v>P3</v>
      </c>
      <c r="I1613" s="1" t="str">
        <f ca="1">IFERROR(__xludf.DUMMYFUNCTION("""COMPUTED_VALUE"""),"Simon")</f>
        <v>Simon</v>
      </c>
    </row>
    <row r="1614" spans="1:9" ht="12.7" x14ac:dyDescent="0.4">
      <c r="A1614" s="2">
        <f ca="1">IFERROR(__xludf.DUMMYFUNCTION("""COMPUTED_VALUE"""),46027.7104286574)</f>
        <v>46027.710428657403</v>
      </c>
      <c r="B1614" s="1" t="str">
        <f ca="1">IFERROR(__xludf.DUMMYFUNCTION("""COMPUTED_VALUE"""),"庫存調整")</f>
        <v>庫存調整</v>
      </c>
      <c r="C1614" s="1" t="str">
        <f ca="1">IFERROR(__xludf.DUMMYFUNCTION("""COMPUTED_VALUE"""),"AGT000000005")</f>
        <v>AGT000000005</v>
      </c>
      <c r="D1614" s="1" t="str">
        <f ca="1">IFERROR(__xludf.DUMMYFUNCTION("""COMPUTED_VALUE"""),"All/共用")</f>
        <v>All/共用</v>
      </c>
      <c r="E1614" s="1" t="str">
        <f ca="1">IFERROR(__xludf.DUMMYFUNCTION("""COMPUTED_VALUE"""),"p1/庫存")</f>
        <v>p1/庫存</v>
      </c>
      <c r="F1614" s="1">
        <f ca="1">IFERROR(__xludf.DUMMYFUNCTION("""COMPUTED_VALUE"""),1)</f>
        <v>1</v>
      </c>
      <c r="G1614" s="1"/>
      <c r="H1614" s="1" t="str">
        <f ca="1">IFERROR(__xludf.DUMMYFUNCTION("""COMPUTED_VALUE"""),"P3")</f>
        <v>P3</v>
      </c>
      <c r="I1614" s="1" t="str">
        <f ca="1">IFERROR(__xludf.DUMMYFUNCTION("""COMPUTED_VALUE"""),"Simon")</f>
        <v>Simon</v>
      </c>
    </row>
    <row r="1615" spans="1:9" ht="12.7" x14ac:dyDescent="0.4">
      <c r="A1615" s="2">
        <f ca="1">IFERROR(__xludf.DUMMYFUNCTION("""COMPUTED_VALUE"""),46027.7113404282)</f>
        <v>46027.711340428199</v>
      </c>
      <c r="B1615" s="1" t="str">
        <f ca="1">IFERROR(__xludf.DUMMYFUNCTION("""COMPUTED_VALUE"""),"庫存調整")</f>
        <v>庫存調整</v>
      </c>
      <c r="C1615" s="1" t="str">
        <f ca="1">IFERROR(__xludf.DUMMYFUNCTION("""COMPUTED_VALUE"""),"ME0060000278")</f>
        <v>ME0060000278</v>
      </c>
      <c r="D1615" s="1" t="str">
        <f ca="1">IFERROR(__xludf.DUMMYFUNCTION("""COMPUTED_VALUE"""),"All/共用")</f>
        <v>All/共用</v>
      </c>
      <c r="E1615" s="1" t="str">
        <f ca="1">IFERROR(__xludf.DUMMYFUNCTION("""COMPUTED_VALUE"""),"p1/庫存")</f>
        <v>p1/庫存</v>
      </c>
      <c r="F1615" s="1">
        <f ca="1">IFERROR(__xludf.DUMMYFUNCTION("""COMPUTED_VALUE"""),1)</f>
        <v>1</v>
      </c>
      <c r="G1615" s="1"/>
      <c r="H1615" s="1" t="str">
        <f ca="1">IFERROR(__xludf.DUMMYFUNCTION("""COMPUTED_VALUE"""),"P3")</f>
        <v>P3</v>
      </c>
      <c r="I1615" s="1" t="str">
        <f ca="1">IFERROR(__xludf.DUMMYFUNCTION("""COMPUTED_VALUE"""),"Simon")</f>
        <v>Simon</v>
      </c>
    </row>
    <row r="1616" spans="1:9" ht="12.7" x14ac:dyDescent="0.4">
      <c r="A1616" s="2">
        <f ca="1">IFERROR(__xludf.DUMMYFUNCTION("""COMPUTED_VALUE"""),46027.7128507986)</f>
        <v>46027.712850798598</v>
      </c>
      <c r="B1616" s="1" t="str">
        <f ca="1">IFERROR(__xludf.DUMMYFUNCTION("""COMPUTED_VALUE"""),"庫存調整")</f>
        <v>庫存調整</v>
      </c>
      <c r="C1616" s="1" t="str">
        <f ca="1">IFERROR(__xludf.DUMMYFUNCTION("""COMPUTED_VALUE"""),"ME0050000183")</f>
        <v>ME0050000183</v>
      </c>
      <c r="D1616" s="1" t="str">
        <f ca="1">IFERROR(__xludf.DUMMYFUNCTION("""COMPUTED_VALUE"""),"All/共用")</f>
        <v>All/共用</v>
      </c>
      <c r="E1616" s="1" t="str">
        <f ca="1">IFERROR(__xludf.DUMMYFUNCTION("""COMPUTED_VALUE"""),"p1/庫存")</f>
        <v>p1/庫存</v>
      </c>
      <c r="F1616" s="1">
        <f ca="1">IFERROR(__xludf.DUMMYFUNCTION("""COMPUTED_VALUE"""),1)</f>
        <v>1</v>
      </c>
      <c r="G1616" s="1"/>
      <c r="H1616" s="1" t="str">
        <f ca="1">IFERROR(__xludf.DUMMYFUNCTION("""COMPUTED_VALUE"""),"P3")</f>
        <v>P3</v>
      </c>
      <c r="I1616" s="1" t="str">
        <f ca="1">IFERROR(__xludf.DUMMYFUNCTION("""COMPUTED_VALUE"""),"Simon")</f>
        <v>Simon</v>
      </c>
    </row>
    <row r="1617" spans="1:9" ht="12.7" x14ac:dyDescent="0.4">
      <c r="A1617" s="2">
        <f ca="1">IFERROR(__xludf.DUMMYFUNCTION("""COMPUTED_VALUE"""),46027.7135310995)</f>
        <v>46027.7135310995</v>
      </c>
      <c r="B1617" s="1" t="str">
        <f ca="1">IFERROR(__xludf.DUMMYFUNCTION("""COMPUTED_VALUE"""),"庫存調整")</f>
        <v>庫存調整</v>
      </c>
      <c r="C1617" s="1" t="str">
        <f ca="1">IFERROR(__xludf.DUMMYFUNCTION("""COMPUTED_VALUE"""),"ME0270000789")</f>
        <v>ME0270000789</v>
      </c>
      <c r="D1617" s="1" t="str">
        <f ca="1">IFERROR(__xludf.DUMMYFUNCTION("""COMPUTED_VALUE"""),"All/共用")</f>
        <v>All/共用</v>
      </c>
      <c r="E1617" s="1" t="str">
        <f ca="1">IFERROR(__xludf.DUMMYFUNCTION("""COMPUTED_VALUE"""),"p1/庫存")</f>
        <v>p1/庫存</v>
      </c>
      <c r="F1617" s="1">
        <f ca="1">IFERROR(__xludf.DUMMYFUNCTION("""COMPUTED_VALUE"""),1)</f>
        <v>1</v>
      </c>
      <c r="G1617" s="1"/>
      <c r="H1617" s="1" t="str">
        <f ca="1">IFERROR(__xludf.DUMMYFUNCTION("""COMPUTED_VALUE"""),"P3")</f>
        <v>P3</v>
      </c>
      <c r="I1617" s="1" t="str">
        <f ca="1">IFERROR(__xludf.DUMMYFUNCTION("""COMPUTED_VALUE"""),"Simon")</f>
        <v>Simon</v>
      </c>
    </row>
    <row r="1618" spans="1:9" ht="12.7" x14ac:dyDescent="0.4">
      <c r="A1618" s="2">
        <f ca="1">IFERROR(__xludf.DUMMYFUNCTION("""COMPUTED_VALUE"""),46027.7146170023)</f>
        <v>46027.714617002297</v>
      </c>
      <c r="B1618" s="1" t="str">
        <f ca="1">IFERROR(__xludf.DUMMYFUNCTION("""COMPUTED_VALUE"""),"庫存調整")</f>
        <v>庫存調整</v>
      </c>
      <c r="C1618" s="1" t="str">
        <f ca="1">IFERROR(__xludf.DUMMYFUNCTION("""COMPUTED_VALUE"""),"AGT000000011")</f>
        <v>AGT000000011</v>
      </c>
      <c r="D1618" s="1" t="str">
        <f ca="1">IFERROR(__xludf.DUMMYFUNCTION("""COMPUTED_VALUE"""),"All/共用")</f>
        <v>All/共用</v>
      </c>
      <c r="E1618" s="1" t="str">
        <f ca="1">IFERROR(__xludf.DUMMYFUNCTION("""COMPUTED_VALUE"""),"p1/庫存")</f>
        <v>p1/庫存</v>
      </c>
      <c r="F1618" s="1">
        <f ca="1">IFERROR(__xludf.DUMMYFUNCTION("""COMPUTED_VALUE"""),1)</f>
        <v>1</v>
      </c>
      <c r="G1618" s="1"/>
      <c r="H1618" s="1" t="str">
        <f ca="1">IFERROR(__xludf.DUMMYFUNCTION("""COMPUTED_VALUE"""),"P3")</f>
        <v>P3</v>
      </c>
      <c r="I1618" s="1" t="str">
        <f ca="1">IFERROR(__xludf.DUMMYFUNCTION("""COMPUTED_VALUE"""),"Simon")</f>
        <v>Simon</v>
      </c>
    </row>
    <row r="1619" spans="1:9" ht="12.7" x14ac:dyDescent="0.4">
      <c r="A1619" s="2">
        <f ca="1">IFERROR(__xludf.DUMMYFUNCTION("""COMPUTED_VALUE"""),46027.7155351273)</f>
        <v>46027.715535127303</v>
      </c>
      <c r="B1619" s="1" t="str">
        <f ca="1">IFERROR(__xludf.DUMMYFUNCTION("""COMPUTED_VALUE"""),"庫存調整")</f>
        <v>庫存調整</v>
      </c>
      <c r="C1619" s="1" t="str">
        <f ca="1">IFERROR(__xludf.DUMMYFUNCTION("""COMPUTED_VALUE"""),"ME0020000527")</f>
        <v>ME0020000527</v>
      </c>
      <c r="D1619" s="1" t="str">
        <f ca="1">IFERROR(__xludf.DUMMYFUNCTION("""COMPUTED_VALUE"""),"All/共用")</f>
        <v>All/共用</v>
      </c>
      <c r="E1619" s="1" t="str">
        <f ca="1">IFERROR(__xludf.DUMMYFUNCTION("""COMPUTED_VALUE"""),"p1/庫存")</f>
        <v>p1/庫存</v>
      </c>
      <c r="F1619" s="1">
        <f ca="1">IFERROR(__xludf.DUMMYFUNCTION("""COMPUTED_VALUE"""),1)</f>
        <v>1</v>
      </c>
      <c r="G1619" s="1"/>
      <c r="H1619" s="1" t="str">
        <f ca="1">IFERROR(__xludf.DUMMYFUNCTION("""COMPUTED_VALUE"""),"P3")</f>
        <v>P3</v>
      </c>
      <c r="I1619" s="1" t="str">
        <f ca="1">IFERROR(__xludf.DUMMYFUNCTION("""COMPUTED_VALUE"""),"Simon")</f>
        <v>Simon</v>
      </c>
    </row>
    <row r="1620" spans="1:9" ht="12.7" x14ac:dyDescent="0.4">
      <c r="A1620" s="2">
        <f ca="1">IFERROR(__xludf.DUMMYFUNCTION("""COMPUTED_VALUE"""),46027.716163125)</f>
        <v>46027.716163124998</v>
      </c>
      <c r="B1620" s="1" t="str">
        <f ca="1">IFERROR(__xludf.DUMMYFUNCTION("""COMPUTED_VALUE"""),"庫存調整")</f>
        <v>庫存調整</v>
      </c>
      <c r="C1620" s="1" t="str">
        <f ca="1">IFERROR(__xludf.DUMMYFUNCTION("""COMPUTED_VALUE"""),"ME0120000207")</f>
        <v>ME0120000207</v>
      </c>
      <c r="D1620" s="1" t="str">
        <f ca="1">IFERROR(__xludf.DUMMYFUNCTION("""COMPUTED_VALUE"""),"All/共用")</f>
        <v>All/共用</v>
      </c>
      <c r="E1620" s="1" t="str">
        <f ca="1">IFERROR(__xludf.DUMMYFUNCTION("""COMPUTED_VALUE"""),"p1/庫存")</f>
        <v>p1/庫存</v>
      </c>
      <c r="F1620" s="1">
        <f ca="1">IFERROR(__xludf.DUMMYFUNCTION("""COMPUTED_VALUE"""),1)</f>
        <v>1</v>
      </c>
      <c r="G1620" s="1"/>
      <c r="H1620" s="1" t="str">
        <f ca="1">IFERROR(__xludf.DUMMYFUNCTION("""COMPUTED_VALUE"""),"P3")</f>
        <v>P3</v>
      </c>
      <c r="I1620" s="1" t="str">
        <f ca="1">IFERROR(__xludf.DUMMYFUNCTION("""COMPUTED_VALUE"""),"Simon")</f>
        <v>Simon</v>
      </c>
    </row>
    <row r="1621" spans="1:9" ht="12.7" x14ac:dyDescent="0.4">
      <c r="A1621" s="2">
        <f ca="1">IFERROR(__xludf.DUMMYFUNCTION("""COMPUTED_VALUE"""),46031.6286330555)</f>
        <v>46031.628633055501</v>
      </c>
      <c r="B1621" s="1" t="str">
        <f ca="1">IFERROR(__xludf.DUMMYFUNCTION("""COMPUTED_VALUE"""),"送修")</f>
        <v>送修</v>
      </c>
      <c r="C1621" s="1" t="str">
        <f ca="1">IFERROR(__xludf.DUMMYFUNCTION("""COMPUTED_VALUE"""),"A00100000731")</f>
        <v>A00100000731</v>
      </c>
      <c r="D1621" s="1" t="str">
        <f ca="1">IFERROR(__xludf.DUMMYFUNCTION("""COMPUTED_VALUE"""),"All/BA")</f>
        <v>All/BA</v>
      </c>
      <c r="E1621" s="1" t="str">
        <f ca="1">IFERROR(__xludf.DUMMYFUNCTION("""COMPUTED_VALUE"""),"p2/庫存")</f>
        <v>p2/庫存</v>
      </c>
      <c r="F1621" s="1">
        <f ca="1">IFERROR(__xludf.DUMMYFUNCTION("""COMPUTED_VALUE"""),1)</f>
        <v>1</v>
      </c>
      <c r="G1621" s="1" t="str">
        <f ca="1">IFERROR(__xludf.DUMMYFUNCTION("""COMPUTED_VALUE"""),"08F249")</f>
        <v>08F249</v>
      </c>
      <c r="H1621" s="1" t="str">
        <f ca="1">IFERROR(__xludf.DUMMYFUNCTION("""COMPUTED_VALUE"""),"P2_38")</f>
        <v>P2_38</v>
      </c>
      <c r="I1621" s="1" t="str">
        <f ca="1">IFERROR(__xludf.DUMMYFUNCTION("""COMPUTED_VALUE"""),"Chiao Yu")</f>
        <v>Chiao Yu</v>
      </c>
    </row>
    <row r="1622" spans="1:9" ht="12.7" x14ac:dyDescent="0.4">
      <c r="A1622" s="2">
        <f ca="1">IFERROR(__xludf.DUMMYFUNCTION("""COMPUTED_VALUE"""),46031.6293682523)</f>
        <v>46031.629368252303</v>
      </c>
      <c r="B1622" s="1" t="str">
        <f ca="1">IFERROR(__xludf.DUMMYFUNCTION("""COMPUTED_VALUE"""),"送修")</f>
        <v>送修</v>
      </c>
      <c r="C1622" s="1" t="str">
        <f ca="1">IFERROR(__xludf.DUMMYFUNCTION("""COMPUTED_VALUE"""),"A00100000731")</f>
        <v>A00100000731</v>
      </c>
      <c r="D1622" s="1" t="str">
        <f ca="1">IFERROR(__xludf.DUMMYFUNCTION("""COMPUTED_VALUE"""),"All/BA")</f>
        <v>All/BA</v>
      </c>
      <c r="E1622" s="1" t="str">
        <f ca="1">IFERROR(__xludf.DUMMYFUNCTION("""COMPUTED_VALUE"""),"p1/庫存")</f>
        <v>p1/庫存</v>
      </c>
      <c r="F1622" s="1">
        <f ca="1">IFERROR(__xludf.DUMMYFUNCTION("""COMPUTED_VALUE"""),1)</f>
        <v>1</v>
      </c>
      <c r="G1622" s="1" t="str">
        <f ca="1">IFERROR(__xludf.DUMMYFUNCTION("""COMPUTED_VALUE"""),"06F337")</f>
        <v>06F337</v>
      </c>
      <c r="H1622" s="1" t="str">
        <f ca="1">IFERROR(__xludf.DUMMYFUNCTION("""COMPUTED_VALUE"""),"P3_24")</f>
        <v>P3_24</v>
      </c>
      <c r="I1622" s="1" t="str">
        <f ca="1">IFERROR(__xludf.DUMMYFUNCTION("""COMPUTED_VALUE"""),"Chiao Yu")</f>
        <v>Chiao Yu</v>
      </c>
    </row>
    <row r="1623" spans="1:9" ht="12.7" x14ac:dyDescent="0.4">
      <c r="A1623" s="2">
        <f ca="1">IFERROR(__xludf.DUMMYFUNCTION("""COMPUTED_VALUE"""),46035.6003942245)</f>
        <v>46035.600394224501</v>
      </c>
      <c r="B1623" s="1" t="str">
        <f ca="1">IFERROR(__xludf.DUMMYFUNCTION("""COMPUTED_VALUE"""),"進貨")</f>
        <v>進貨</v>
      </c>
      <c r="C1623" s="1" t="str">
        <f ca="1">IFERROR(__xludf.DUMMYFUNCTION("""COMPUTED_VALUE"""),"A00700000875")</f>
        <v>A00700000875</v>
      </c>
      <c r="D1623" s="1" t="str">
        <f ca="1">IFERROR(__xludf.DUMMYFUNCTION("""COMPUTED_VALUE"""),"All/SB")</f>
        <v>All/SB</v>
      </c>
      <c r="E1623" s="1" t="str">
        <f ca="1">IFERROR(__xludf.DUMMYFUNCTION("""COMPUTED_VALUE"""),"p1/庫存")</f>
        <v>p1/庫存</v>
      </c>
      <c r="F1623" s="1">
        <f ca="1">IFERROR(__xludf.DUMMYFUNCTION("""COMPUTED_VALUE"""),4)</f>
        <v>4</v>
      </c>
      <c r="G1623" s="1"/>
      <c r="H1623" s="1" t="str">
        <f ca="1">IFERROR(__xludf.DUMMYFUNCTION("""COMPUTED_VALUE"""),"P3")</f>
        <v>P3</v>
      </c>
      <c r="I1623" s="1" t="str">
        <f ca="1">IFERROR(__xludf.DUMMYFUNCTION("""COMPUTED_VALUE"""),"Chiao Yu")</f>
        <v>Chiao Yu</v>
      </c>
    </row>
    <row r="1624" spans="1:9" ht="12.7" x14ac:dyDescent="0.4">
      <c r="A1624" s="2">
        <f ca="1">IFERROR(__xludf.DUMMYFUNCTION("""COMPUTED_VALUE"""),46035.600755324)</f>
        <v>46035.600755323998</v>
      </c>
      <c r="B1624" s="1" t="str">
        <f ca="1">IFERROR(__xludf.DUMMYFUNCTION("""COMPUTED_VALUE"""),"進貨")</f>
        <v>進貨</v>
      </c>
      <c r="C1624" s="1" t="str">
        <f ca="1">IFERROR(__xludf.DUMMYFUNCTION("""COMPUTED_VALUE"""),"A00700000875")</f>
        <v>A00700000875</v>
      </c>
      <c r="D1624" s="1" t="str">
        <f ca="1">IFERROR(__xludf.DUMMYFUNCTION("""COMPUTED_VALUE"""),"All/SB")</f>
        <v>All/SB</v>
      </c>
      <c r="E1624" s="1" t="str">
        <f ca="1">IFERROR(__xludf.DUMMYFUNCTION("""COMPUTED_VALUE"""),"p2/庫存")</f>
        <v>p2/庫存</v>
      </c>
      <c r="F1624" s="1">
        <f ca="1">IFERROR(__xludf.DUMMYFUNCTION("""COMPUTED_VALUE"""),8)</f>
        <v>8</v>
      </c>
      <c r="G1624" s="1"/>
      <c r="H1624" s="1" t="str">
        <f ca="1">IFERROR(__xludf.DUMMYFUNCTION("""COMPUTED_VALUE"""),"P2")</f>
        <v>P2</v>
      </c>
      <c r="I1624" s="1" t="str">
        <f ca="1">IFERROR(__xludf.DUMMYFUNCTION("""COMPUTED_VALUE"""),"Chiao Yu")</f>
        <v>Chiao Yu</v>
      </c>
    </row>
    <row r="1625" spans="1:9" ht="12.7" x14ac:dyDescent="0.4">
      <c r="A1625" s="2">
        <f ca="1">IFERROR(__xludf.DUMMYFUNCTION("""COMPUTED_VALUE"""),46038.7386389004)</f>
        <v>46038.738638900402</v>
      </c>
      <c r="B1625" s="1" t="str">
        <f ca="1">IFERROR(__xludf.DUMMYFUNCTION("""COMPUTED_VALUE"""),"領料")</f>
        <v>領料</v>
      </c>
      <c r="C1625" s="1" t="str">
        <f ca="1">IFERROR(__xludf.DUMMYFUNCTION("""COMPUTED_VALUE"""),"A00700000875")</f>
        <v>A00700000875</v>
      </c>
      <c r="D1625" s="1" t="str">
        <f ca="1">IFERROR(__xludf.DUMMYFUNCTION("""COMPUTED_VALUE"""),"All/SB")</f>
        <v>All/SB</v>
      </c>
      <c r="E1625" s="1" t="str">
        <f ca="1">IFERROR(__xludf.DUMMYFUNCTION("""COMPUTED_VALUE"""),"p2/庫存")</f>
        <v>p2/庫存</v>
      </c>
      <c r="F1625" s="1">
        <f ca="1">IFERROR(__xludf.DUMMYFUNCTION("""COMPUTED_VALUE"""),0)</f>
        <v>0</v>
      </c>
      <c r="G1625" s="1"/>
      <c r="H1625" s="1" t="str">
        <f ca="1">IFERROR(__xludf.DUMMYFUNCTION("""COMPUTED_VALUE"""),"P2_9002")</f>
        <v>P2_9002</v>
      </c>
      <c r="I1625" s="1" t="str">
        <f ca="1">IFERROR(__xludf.DUMMYFUNCTION("""COMPUTED_VALUE"""),"Chiao Yu")</f>
        <v>Chiao Yu</v>
      </c>
    </row>
    <row r="1626" spans="1:9" ht="12.7" x14ac:dyDescent="0.4">
      <c r="A1626" s="2">
        <f ca="1">IFERROR(__xludf.DUMMYFUNCTION("""COMPUTED_VALUE"""),46039.5661157407)</f>
        <v>46039.566115740701</v>
      </c>
      <c r="B1626" s="1" t="str">
        <f ca="1">IFERROR(__xludf.DUMMYFUNCTION("""COMPUTED_VALUE"""),"領料")</f>
        <v>領料</v>
      </c>
      <c r="C1626" s="1" t="str">
        <f ca="1">IFERROR(__xludf.DUMMYFUNCTION("""COMPUTED_VALUE"""),"ME0120000048")</f>
        <v>ME0120000048</v>
      </c>
      <c r="D1626" s="1" t="str">
        <f ca="1">IFERROR(__xludf.DUMMYFUNCTION("""COMPUTED_VALUE"""),"All/共用")</f>
        <v>All/共用</v>
      </c>
      <c r="E1626" s="1" t="str">
        <f ca="1">IFERROR(__xludf.DUMMYFUNCTION("""COMPUTED_VALUE"""),"p2/庫存")</f>
        <v>p2/庫存</v>
      </c>
      <c r="F1626" s="1">
        <f ca="1">IFERROR(__xludf.DUMMYFUNCTION("""COMPUTED_VALUE"""),1)</f>
        <v>1</v>
      </c>
      <c r="G1626" s="1"/>
      <c r="H1626" s="1" t="str">
        <f ca="1">IFERROR(__xludf.DUMMYFUNCTION("""COMPUTED_VALUE"""),"P2")</f>
        <v>P2</v>
      </c>
      <c r="I1626" s="1" t="str">
        <f ca="1">IFERROR(__xludf.DUMMYFUNCTION("""COMPUTED_VALUE"""),"Simon")</f>
        <v>Simon</v>
      </c>
    </row>
    <row r="1627" spans="1:9" ht="12.7" x14ac:dyDescent="0.4">
      <c r="A1627" s="2">
        <f ca="1">IFERROR(__xludf.DUMMYFUNCTION("""COMPUTED_VALUE"""),46041.4246198495)</f>
        <v>46041.424619849502</v>
      </c>
      <c r="B1627" s="1" t="str">
        <f ca="1">IFERROR(__xludf.DUMMYFUNCTION("""COMPUTED_VALUE"""),"庫存調整")</f>
        <v>庫存調整</v>
      </c>
      <c r="C1627" s="1" t="str">
        <f ca="1">IFERROR(__xludf.DUMMYFUNCTION("""COMPUTED_VALUE"""),"ME0120000230")</f>
        <v>ME0120000230</v>
      </c>
      <c r="D1627" s="1" t="str">
        <f ca="1">IFERROR(__xludf.DUMMYFUNCTION("""COMPUTED_VALUE"""),"All/共用")</f>
        <v>All/共用</v>
      </c>
      <c r="E1627" s="1" t="str">
        <f ca="1">IFERROR(__xludf.DUMMYFUNCTION("""COMPUTED_VALUE"""),"p1/庫存")</f>
        <v>p1/庫存</v>
      </c>
      <c r="F1627" s="1">
        <f ca="1">IFERROR(__xludf.DUMMYFUNCTION("""COMPUTED_VALUE"""),4)</f>
        <v>4</v>
      </c>
      <c r="G1627" s="1"/>
      <c r="H1627" s="1" t="str">
        <f ca="1">IFERROR(__xludf.DUMMYFUNCTION("""COMPUTED_VALUE"""),"P3")</f>
        <v>P3</v>
      </c>
      <c r="I1627" s="1" t="str">
        <f ca="1">IFERROR(__xludf.DUMMYFUNCTION("""COMPUTED_VALUE"""),"Chiao Yu")</f>
        <v>Chiao Yu</v>
      </c>
    </row>
    <row r="1628" spans="1:9" ht="12.7" x14ac:dyDescent="0.4">
      <c r="A1628" s="2">
        <f ca="1">IFERROR(__xludf.DUMMYFUNCTION("""COMPUTED_VALUE"""),46041.7389051504)</f>
        <v>46041.7389051504</v>
      </c>
      <c r="B1628" s="1" t="str">
        <f ca="1">IFERROR(__xludf.DUMMYFUNCTION("""COMPUTED_VALUE"""),"庫存調整")</f>
        <v>庫存調整</v>
      </c>
      <c r="C1628" s="1" t="str">
        <f ca="1">IFERROR(__xludf.DUMMYFUNCTION("""COMPUTED_VALUE"""),"ME0120000230")</f>
        <v>ME0120000230</v>
      </c>
      <c r="D1628" s="1" t="str">
        <f ca="1">IFERROR(__xludf.DUMMYFUNCTION("""COMPUTED_VALUE"""),"All/共用")</f>
        <v>All/共用</v>
      </c>
      <c r="E1628" s="1" t="str">
        <f ca="1">IFERROR(__xludf.DUMMYFUNCTION("""COMPUTED_VALUE"""),"p2/庫存")</f>
        <v>p2/庫存</v>
      </c>
      <c r="F1628" s="1">
        <f ca="1">IFERROR(__xludf.DUMMYFUNCTION("""COMPUTED_VALUE"""),14)</f>
        <v>14</v>
      </c>
      <c r="G1628" s="1"/>
      <c r="H1628" s="1" t="str">
        <f ca="1">IFERROR(__xludf.DUMMYFUNCTION("""COMPUTED_VALUE"""),"P2")</f>
        <v>P2</v>
      </c>
      <c r="I1628" s="1" t="str">
        <f ca="1">IFERROR(__xludf.DUMMYFUNCTION("""COMPUTED_VALUE"""),"Chiao Yu")</f>
        <v>Chiao Yu</v>
      </c>
    </row>
    <row r="1629" spans="1:9" ht="12.7" x14ac:dyDescent="0.4">
      <c r="A1629" s="2">
        <f ca="1">IFERROR(__xludf.DUMMYFUNCTION("""COMPUTED_VALUE"""),46041.7396830671)</f>
        <v>46041.739683067099</v>
      </c>
      <c r="B1629" s="1" t="str">
        <f ca="1">IFERROR(__xludf.DUMMYFUNCTION("""COMPUTED_VALUE"""),"庫存調整")</f>
        <v>庫存調整</v>
      </c>
      <c r="C1629" s="1" t="str">
        <f ca="1">IFERROR(__xludf.DUMMYFUNCTION("""COMPUTED_VALUE"""),"ME0010000383")</f>
        <v>ME0010000383</v>
      </c>
      <c r="D1629" s="1" t="str">
        <f ca="1">IFERROR(__xludf.DUMMYFUNCTION("""COMPUTED_VALUE"""),"All/共用")</f>
        <v>All/共用</v>
      </c>
      <c r="E1629" s="1" t="str">
        <f ca="1">IFERROR(__xludf.DUMMYFUNCTION("""COMPUTED_VALUE"""),"p1/庫存")</f>
        <v>p1/庫存</v>
      </c>
      <c r="F1629" s="1">
        <f ca="1">IFERROR(__xludf.DUMMYFUNCTION("""COMPUTED_VALUE"""),34)</f>
        <v>34</v>
      </c>
      <c r="G1629" s="1"/>
      <c r="H1629" s="1" t="str">
        <f ca="1">IFERROR(__xludf.DUMMYFUNCTION("""COMPUTED_VALUE"""),"P3")</f>
        <v>P3</v>
      </c>
      <c r="I1629" s="1" t="str">
        <f ca="1">IFERROR(__xludf.DUMMYFUNCTION("""COMPUTED_VALUE"""),"Chiao Yu")</f>
        <v>Chiao Yu</v>
      </c>
    </row>
    <row r="1630" spans="1:9" ht="12.7" x14ac:dyDescent="0.4">
      <c r="A1630" s="2">
        <f ca="1">IFERROR(__xludf.DUMMYFUNCTION("""COMPUTED_VALUE"""),46041.7399458564)</f>
        <v>46041.739945856403</v>
      </c>
      <c r="B1630" s="1" t="str">
        <f ca="1">IFERROR(__xludf.DUMMYFUNCTION("""COMPUTED_VALUE"""),"庫存調整")</f>
        <v>庫存調整</v>
      </c>
      <c r="C1630" s="1" t="str">
        <f ca="1">IFERROR(__xludf.DUMMYFUNCTION("""COMPUTED_VALUE"""),"ME0010000383")</f>
        <v>ME0010000383</v>
      </c>
      <c r="D1630" s="1" t="str">
        <f ca="1">IFERROR(__xludf.DUMMYFUNCTION("""COMPUTED_VALUE"""),"All/共用")</f>
        <v>All/共用</v>
      </c>
      <c r="E1630" s="1" t="str">
        <f ca="1">IFERROR(__xludf.DUMMYFUNCTION("""COMPUTED_VALUE"""),"p2/庫存")</f>
        <v>p2/庫存</v>
      </c>
      <c r="F1630" s="1">
        <f ca="1">IFERROR(__xludf.DUMMYFUNCTION("""COMPUTED_VALUE"""),40)</f>
        <v>40</v>
      </c>
      <c r="G1630" s="1"/>
      <c r="H1630" s="1" t="str">
        <f ca="1">IFERROR(__xludf.DUMMYFUNCTION("""COMPUTED_VALUE"""),"P2")</f>
        <v>P2</v>
      </c>
      <c r="I1630" s="1" t="str">
        <f ca="1">IFERROR(__xludf.DUMMYFUNCTION("""COMPUTED_VALUE"""),"Chiao Yu")</f>
        <v>Chiao Yu</v>
      </c>
    </row>
    <row r="1631" spans="1:9" ht="12.7" x14ac:dyDescent="0.4">
      <c r="A1631" s="2">
        <f ca="1">IFERROR(__xludf.DUMMYFUNCTION("""COMPUTED_VALUE"""),46041.7406837847)</f>
        <v>46041.740683784701</v>
      </c>
      <c r="B1631" s="1" t="str">
        <f ca="1">IFERROR(__xludf.DUMMYFUNCTION("""COMPUTED_VALUE"""),"庫存調整")</f>
        <v>庫存調整</v>
      </c>
      <c r="C1631" s="1" t="str">
        <f ca="1">IFERROR(__xludf.DUMMYFUNCTION("""COMPUTED_VALUE"""),"ME0020000622")</f>
        <v>ME0020000622</v>
      </c>
      <c r="D1631" s="1" t="str">
        <f ca="1">IFERROR(__xludf.DUMMYFUNCTION("""COMPUTED_VALUE"""),"All/共用")</f>
        <v>All/共用</v>
      </c>
      <c r="E1631" s="1" t="str">
        <f ca="1">IFERROR(__xludf.DUMMYFUNCTION("""COMPUTED_VALUE"""),"p1/庫存")</f>
        <v>p1/庫存</v>
      </c>
      <c r="F1631" s="1">
        <f ca="1">IFERROR(__xludf.DUMMYFUNCTION("""COMPUTED_VALUE"""),4)</f>
        <v>4</v>
      </c>
      <c r="G1631" s="1"/>
      <c r="H1631" s="1" t="str">
        <f ca="1">IFERROR(__xludf.DUMMYFUNCTION("""COMPUTED_VALUE"""),"P3")</f>
        <v>P3</v>
      </c>
      <c r="I1631" s="1" t="str">
        <f ca="1">IFERROR(__xludf.DUMMYFUNCTION("""COMPUTED_VALUE"""),"Chiao Yu")</f>
        <v>Chiao Yu</v>
      </c>
    </row>
    <row r="1632" spans="1:9" ht="12.7" x14ac:dyDescent="0.4">
      <c r="A1632" s="2">
        <f ca="1">IFERROR(__xludf.DUMMYFUNCTION("""COMPUTED_VALUE"""),46041.7411088194)</f>
        <v>46041.741108819399</v>
      </c>
      <c r="B1632" s="1" t="str">
        <f ca="1">IFERROR(__xludf.DUMMYFUNCTION("""COMPUTED_VALUE"""),"庫存調整")</f>
        <v>庫存調整</v>
      </c>
      <c r="C1632" s="1" t="str">
        <f ca="1">IFERROR(__xludf.DUMMYFUNCTION("""COMPUTED_VALUE"""),"ME0020000622")</f>
        <v>ME0020000622</v>
      </c>
      <c r="D1632" s="1" t="str">
        <f ca="1">IFERROR(__xludf.DUMMYFUNCTION("""COMPUTED_VALUE"""),"All/共用")</f>
        <v>All/共用</v>
      </c>
      <c r="E1632" s="1" t="str">
        <f ca="1">IFERROR(__xludf.DUMMYFUNCTION("""COMPUTED_VALUE"""),"p2/庫存")</f>
        <v>p2/庫存</v>
      </c>
      <c r="F1632" s="1">
        <f ca="1">IFERROR(__xludf.DUMMYFUNCTION("""COMPUTED_VALUE"""),10)</f>
        <v>10</v>
      </c>
      <c r="G1632" s="1"/>
      <c r="H1632" s="1" t="str">
        <f ca="1">IFERROR(__xludf.DUMMYFUNCTION("""COMPUTED_VALUE"""),"P2")</f>
        <v>P2</v>
      </c>
      <c r="I1632" s="1" t="str">
        <f ca="1">IFERROR(__xludf.DUMMYFUNCTION("""COMPUTED_VALUE"""),"Chiao Yu")</f>
        <v>Chiao Yu</v>
      </c>
    </row>
    <row r="1633" spans="1:9" ht="12.7" x14ac:dyDescent="0.4">
      <c r="A1633" s="2">
        <f ca="1">IFERROR(__xludf.DUMMYFUNCTION("""COMPUTED_VALUE"""),46041.7416186342)</f>
        <v>46041.741618634202</v>
      </c>
      <c r="B1633" s="1" t="str">
        <f ca="1">IFERROR(__xludf.DUMMYFUNCTION("""COMPUTED_VALUE"""),"庫存調整")</f>
        <v>庫存調整</v>
      </c>
      <c r="C1633" s="1" t="str">
        <f ca="1">IFERROR(__xludf.DUMMYFUNCTION("""COMPUTED_VALUE"""),"ME0020000592")</f>
        <v>ME0020000592</v>
      </c>
      <c r="D1633" s="1" t="str">
        <f ca="1">IFERROR(__xludf.DUMMYFUNCTION("""COMPUTED_VALUE"""),"All/共用")</f>
        <v>All/共用</v>
      </c>
      <c r="E1633" s="1" t="str">
        <f ca="1">IFERROR(__xludf.DUMMYFUNCTION("""COMPUTED_VALUE"""),"p1/庫存")</f>
        <v>p1/庫存</v>
      </c>
      <c r="F1633" s="1">
        <f ca="1">IFERROR(__xludf.DUMMYFUNCTION("""COMPUTED_VALUE"""),30)</f>
        <v>30</v>
      </c>
      <c r="G1633" s="1"/>
      <c r="H1633" s="1" t="str">
        <f ca="1">IFERROR(__xludf.DUMMYFUNCTION("""COMPUTED_VALUE"""),"P3")</f>
        <v>P3</v>
      </c>
      <c r="I1633" s="1" t="str">
        <f ca="1">IFERROR(__xludf.DUMMYFUNCTION("""COMPUTED_VALUE"""),"Chiao Yu")</f>
        <v>Chiao Yu</v>
      </c>
    </row>
    <row r="1634" spans="1:9" ht="12.7" x14ac:dyDescent="0.4">
      <c r="A1634" s="2">
        <f ca="1">IFERROR(__xludf.DUMMYFUNCTION("""COMPUTED_VALUE"""),46041.7419836689)</f>
        <v>46041.741983668901</v>
      </c>
      <c r="B1634" s="1" t="str">
        <f ca="1">IFERROR(__xludf.DUMMYFUNCTION("""COMPUTED_VALUE"""),"庫存調整")</f>
        <v>庫存調整</v>
      </c>
      <c r="C1634" s="1" t="str">
        <f ca="1">IFERROR(__xludf.DUMMYFUNCTION("""COMPUTED_VALUE"""),"ME0020000592")</f>
        <v>ME0020000592</v>
      </c>
      <c r="D1634" s="1" t="str">
        <f ca="1">IFERROR(__xludf.DUMMYFUNCTION("""COMPUTED_VALUE"""),"All/共用")</f>
        <v>All/共用</v>
      </c>
      <c r="E1634" s="1" t="str">
        <f ca="1">IFERROR(__xludf.DUMMYFUNCTION("""COMPUTED_VALUE"""),"p2/庫存")</f>
        <v>p2/庫存</v>
      </c>
      <c r="F1634" s="1">
        <f ca="1">IFERROR(__xludf.DUMMYFUNCTION("""COMPUTED_VALUE"""),33)</f>
        <v>33</v>
      </c>
      <c r="G1634" s="1"/>
      <c r="H1634" s="1" t="str">
        <f ca="1">IFERROR(__xludf.DUMMYFUNCTION("""COMPUTED_VALUE"""),"P2")</f>
        <v>P2</v>
      </c>
      <c r="I1634" s="1" t="str">
        <f ca="1">IFERROR(__xludf.DUMMYFUNCTION("""COMPUTED_VALUE"""),"Chiao Yu")</f>
        <v>Chiao Yu</v>
      </c>
    </row>
    <row r="1635" spans="1:9" ht="12.7" x14ac:dyDescent="0.4">
      <c r="A1635" s="2">
        <f ca="1">IFERROR(__xludf.DUMMYFUNCTION("""COMPUTED_VALUE"""),46043.0494344444)</f>
        <v>46043.049434444401</v>
      </c>
      <c r="B1635" s="1" t="str">
        <f ca="1">IFERROR(__xludf.DUMMYFUNCTION("""COMPUTED_VALUE"""),"送修")</f>
        <v>送修</v>
      </c>
      <c r="C1635" s="1" t="str">
        <f ca="1">IFERROR(__xludf.DUMMYFUNCTION("""COMPUTED_VALUE"""),"ME0160000073")</f>
        <v>ME0160000073</v>
      </c>
      <c r="D1635" s="1" t="str">
        <f ca="1">IFERROR(__xludf.DUMMYFUNCTION("""COMPUTED_VALUE"""),"All/BA")</f>
        <v>All/BA</v>
      </c>
      <c r="E1635" s="1" t="str">
        <f ca="1">IFERROR(__xludf.DUMMYFUNCTION("""COMPUTED_VALUE"""),"p2/庫存")</f>
        <v>p2/庫存</v>
      </c>
      <c r="F1635" s="1">
        <f ca="1">IFERROR(__xludf.DUMMYFUNCTION("""COMPUTED_VALUE"""),0)</f>
        <v>0</v>
      </c>
      <c r="G1635" s="1" t="str">
        <f ca="1">IFERROR(__xludf.DUMMYFUNCTION("""COMPUTED_VALUE"""),"B2211410")</f>
        <v>B2211410</v>
      </c>
      <c r="H1635" s="1" t="str">
        <f ca="1">IFERROR(__xludf.DUMMYFUNCTION("""COMPUTED_VALUE"""),"P2_034")</f>
        <v>P2_034</v>
      </c>
      <c r="I1635" s="1" t="str">
        <f ca="1">IFERROR(__xludf.DUMMYFUNCTION("""COMPUTED_VALUE"""),"Jason")</f>
        <v>Jason</v>
      </c>
    </row>
    <row r="1636" spans="1:9" ht="12.7" x14ac:dyDescent="0.4">
      <c r="A1636" s="2">
        <f ca="1">IFERROR(__xludf.DUMMYFUNCTION("""COMPUTED_VALUE"""),46043.0500935069)</f>
        <v>46043.050093506899</v>
      </c>
      <c r="B1636" s="1" t="str">
        <f ca="1">IFERROR(__xludf.DUMMYFUNCTION("""COMPUTED_VALUE"""),"料件上線時間")</f>
        <v>料件上線時間</v>
      </c>
      <c r="C1636" s="1" t="str">
        <f ca="1">IFERROR(__xludf.DUMMYFUNCTION("""COMPUTED_VALUE"""),"ME0160000073")</f>
        <v>ME0160000073</v>
      </c>
      <c r="D1636" s="1" t="str">
        <f ca="1">IFERROR(__xludf.DUMMYFUNCTION("""COMPUTED_VALUE"""),"All/BA")</f>
        <v>All/BA</v>
      </c>
      <c r="E1636" s="1" t="str">
        <f ca="1">IFERROR(__xludf.DUMMYFUNCTION("""COMPUTED_VALUE"""),"p2/庫存")</f>
        <v>p2/庫存</v>
      </c>
      <c r="F1636" s="1">
        <f ca="1">IFERROR(__xludf.DUMMYFUNCTION("""COMPUTED_VALUE"""),1)</f>
        <v>1</v>
      </c>
      <c r="G1636" s="1" t="str">
        <f ca="1">IFERROR(__xludf.DUMMYFUNCTION("""COMPUTED_VALUE"""),"B2211410")</f>
        <v>B2211410</v>
      </c>
      <c r="H1636" s="1" t="str">
        <f ca="1">IFERROR(__xludf.DUMMYFUNCTION("""COMPUTED_VALUE"""),"P2_034")</f>
        <v>P2_034</v>
      </c>
      <c r="I1636" s="1" t="str">
        <f ca="1">IFERROR(__xludf.DUMMYFUNCTION("""COMPUTED_VALUE"""),"Jason")</f>
        <v>Jason</v>
      </c>
    </row>
    <row r="1637" spans="1:9" ht="12.7" x14ac:dyDescent="0.4">
      <c r="A1637" s="2">
        <f ca="1">IFERROR(__xludf.DUMMYFUNCTION("""COMPUTED_VALUE"""),46043.050825949)</f>
        <v>46043.050825949002</v>
      </c>
      <c r="B1637" s="1" t="str">
        <f ca="1">IFERROR(__xludf.DUMMYFUNCTION("""COMPUTED_VALUE"""),"料件上線時間")</f>
        <v>料件上線時間</v>
      </c>
      <c r="C1637" s="1" t="str">
        <f ca="1">IFERROR(__xludf.DUMMYFUNCTION("""COMPUTED_VALUE"""),"ME0160000073")</f>
        <v>ME0160000073</v>
      </c>
      <c r="D1637" s="1" t="str">
        <f ca="1">IFERROR(__xludf.DUMMYFUNCTION("""COMPUTED_VALUE"""),"All/BA")</f>
        <v>All/BA</v>
      </c>
      <c r="E1637" s="1" t="str">
        <f ca="1">IFERROR(__xludf.DUMMYFUNCTION("""COMPUTED_VALUE"""),"p2/庫存")</f>
        <v>p2/庫存</v>
      </c>
      <c r="F1637" s="1">
        <f ca="1">IFERROR(__xludf.DUMMYFUNCTION("""COMPUTED_VALUE"""),1)</f>
        <v>1</v>
      </c>
      <c r="G1637" s="1" t="str">
        <f ca="1">IFERROR(__xludf.DUMMYFUNCTION("""COMPUTED_VALUE"""),"B2206366")</f>
        <v>B2206366</v>
      </c>
      <c r="H1637" s="1" t="str">
        <f ca="1">IFERROR(__xludf.DUMMYFUNCTION("""COMPUTED_VALUE"""),"P2_034")</f>
        <v>P2_034</v>
      </c>
      <c r="I1637" s="1" t="str">
        <f ca="1">IFERROR(__xludf.DUMMYFUNCTION("""COMPUTED_VALUE"""),"Jason")</f>
        <v>Jason</v>
      </c>
    </row>
    <row r="1638" spans="1:9" ht="12.7" x14ac:dyDescent="0.4">
      <c r="A1638" s="2">
        <f ca="1">IFERROR(__xludf.DUMMYFUNCTION("""COMPUTED_VALUE"""),46043.2100503472)</f>
        <v>46043.210050347203</v>
      </c>
      <c r="B1638" s="1" t="str">
        <f ca="1">IFERROR(__xludf.DUMMYFUNCTION("""COMPUTED_VALUE"""),"領料")</f>
        <v>領料</v>
      </c>
      <c r="C1638" s="1" t="str">
        <f ca="1">IFERROR(__xludf.DUMMYFUNCTION("""COMPUTED_VALUE"""),"A00700000862")</f>
        <v>A00700000862</v>
      </c>
      <c r="D1638" s="1" t="str">
        <f ca="1">IFERROR(__xludf.DUMMYFUNCTION("""COMPUTED_VALUE"""),"All/SB")</f>
        <v>All/SB</v>
      </c>
      <c r="E1638" s="1" t="str">
        <f ca="1">IFERROR(__xludf.DUMMYFUNCTION("""COMPUTED_VALUE"""),"p2/庫存")</f>
        <v>p2/庫存</v>
      </c>
      <c r="F1638" s="1">
        <f ca="1">IFERROR(__xludf.DUMMYFUNCTION("""COMPUTED_VALUE"""),6)</f>
        <v>6</v>
      </c>
      <c r="G1638" s="1"/>
      <c r="H1638" s="1" t="str">
        <f ca="1">IFERROR(__xludf.DUMMYFUNCTION("""COMPUTED_VALUE"""),"P2_4001，P2_4002")</f>
        <v>P2_4001，P2_4002</v>
      </c>
      <c r="I1638" s="1" t="str">
        <f ca="1">IFERROR(__xludf.DUMMYFUNCTION("""COMPUTED_VALUE"""),"Jason")</f>
        <v>Jason</v>
      </c>
    </row>
    <row r="1639" spans="1:9" ht="12.7" x14ac:dyDescent="0.4">
      <c r="A1639" s="2">
        <f ca="1">IFERROR(__xludf.DUMMYFUNCTION("""COMPUTED_VALUE"""),46043.2105053703)</f>
        <v>46043.210505370298</v>
      </c>
      <c r="B1639" s="1" t="str">
        <f ca="1">IFERROR(__xludf.DUMMYFUNCTION("""COMPUTED_VALUE"""),"領料")</f>
        <v>領料</v>
      </c>
      <c r="C1639" s="1" t="str">
        <f ca="1">IFERROR(__xludf.DUMMYFUNCTION("""COMPUTED_VALUE"""),"A00700000862")</f>
        <v>A00700000862</v>
      </c>
      <c r="D1639" s="1" t="str">
        <f ca="1">IFERROR(__xludf.DUMMYFUNCTION("""COMPUTED_VALUE"""),"All/SB")</f>
        <v>All/SB</v>
      </c>
      <c r="E1639" s="1" t="str">
        <f ca="1">IFERROR(__xludf.DUMMYFUNCTION("""COMPUTED_VALUE"""),"p1/庫存")</f>
        <v>p1/庫存</v>
      </c>
      <c r="F1639" s="1">
        <f ca="1">IFERROR(__xludf.DUMMYFUNCTION("""COMPUTED_VALUE"""),3)</f>
        <v>3</v>
      </c>
      <c r="G1639" s="1"/>
      <c r="H1639" s="1" t="str">
        <f ca="1">IFERROR(__xludf.DUMMYFUNCTION("""COMPUTED_VALUE"""),"P3_4006")</f>
        <v>P3_4006</v>
      </c>
      <c r="I1639" s="1" t="str">
        <f ca="1">IFERROR(__xludf.DUMMYFUNCTION("""COMPUTED_VALUE"""),"Jason")</f>
        <v>Jason</v>
      </c>
    </row>
    <row r="1640" spans="1:9" ht="12.7" x14ac:dyDescent="0.4">
      <c r="A1640" s="2">
        <f ca="1">IFERROR(__xludf.DUMMYFUNCTION("""COMPUTED_VALUE"""),46048.4311580671)</f>
        <v>46048.431158067098</v>
      </c>
      <c r="B1640" s="1" t="str">
        <f ca="1">IFERROR(__xludf.DUMMYFUNCTION("""COMPUTED_VALUE"""),"送修")</f>
        <v>送修</v>
      </c>
      <c r="C1640" s="1" t="str">
        <f ca="1">IFERROR(__xludf.DUMMYFUNCTION("""COMPUTED_VALUE"""),"A00900000618")</f>
        <v>A00900000618</v>
      </c>
      <c r="D1640" s="1" t="str">
        <f ca="1">IFERROR(__xludf.DUMMYFUNCTION("""COMPUTED_VALUE"""),"All/共用")</f>
        <v>All/共用</v>
      </c>
      <c r="E1640" s="1" t="str">
        <f ca="1">IFERROR(__xludf.DUMMYFUNCTION("""COMPUTED_VALUE"""),"p2/庫存")</f>
        <v>p2/庫存</v>
      </c>
      <c r="F1640" s="1">
        <f ca="1">IFERROR(__xludf.DUMMYFUNCTION("""COMPUTED_VALUE"""),1)</f>
        <v>1</v>
      </c>
      <c r="G1640" s="1"/>
      <c r="H1640" s="1" t="str">
        <f ca="1">IFERROR(__xludf.DUMMYFUNCTION("""COMPUTED_VALUE"""),"P2_032")</f>
        <v>P2_032</v>
      </c>
      <c r="I1640" s="1" t="str">
        <f ca="1">IFERROR(__xludf.DUMMYFUNCTION("""COMPUTED_VALUE"""),"Chiao Yu")</f>
        <v>Chiao Yu</v>
      </c>
    </row>
    <row r="1641" spans="1:9" ht="12.7" x14ac:dyDescent="0.4">
      <c r="A1641" s="2">
        <f ca="1">IFERROR(__xludf.DUMMYFUNCTION("""COMPUTED_VALUE"""),46048.4398202314)</f>
        <v>46048.439820231397</v>
      </c>
      <c r="B1641" s="1" t="str">
        <f ca="1">IFERROR(__xludf.DUMMYFUNCTION("""COMPUTED_VALUE"""),"庫存調整")</f>
        <v>庫存調整</v>
      </c>
      <c r="C1641" s="1" t="str">
        <f ca="1">IFERROR(__xludf.DUMMYFUNCTION("""COMPUTED_VALUE"""),"A00900000618")</f>
        <v>A00900000618</v>
      </c>
      <c r="D1641" s="1" t="str">
        <f ca="1">IFERROR(__xludf.DUMMYFUNCTION("""COMPUTED_VALUE"""),"All/共用")</f>
        <v>All/共用</v>
      </c>
      <c r="E1641" s="1" t="str">
        <f ca="1">IFERROR(__xludf.DUMMYFUNCTION("""COMPUTED_VALUE"""),"p1/庫存")</f>
        <v>p1/庫存</v>
      </c>
      <c r="F1641" s="1">
        <f ca="1">IFERROR(__xludf.DUMMYFUNCTION("""COMPUTED_VALUE"""),-1)</f>
        <v>-1</v>
      </c>
      <c r="G1641" s="1"/>
      <c r="H1641" s="1" t="str">
        <f ca="1">IFERROR(__xludf.DUMMYFUNCTION("""COMPUTED_VALUE"""),"P3")</f>
        <v>P3</v>
      </c>
      <c r="I1641" s="1" t="str">
        <f ca="1">IFERROR(__xludf.DUMMYFUNCTION("""COMPUTED_VALUE"""),"Chiao Yu")</f>
        <v>Chiao Yu</v>
      </c>
    </row>
    <row r="1642" spans="1:9" ht="12.7" x14ac:dyDescent="0.4">
      <c r="A1642" s="2">
        <f ca="1">IFERROR(__xludf.DUMMYFUNCTION("""COMPUTED_VALUE"""),46049.3303542708)</f>
        <v>46049.330354270802</v>
      </c>
      <c r="B1642" s="1" t="str">
        <f ca="1">IFERROR(__xludf.DUMMYFUNCTION("""COMPUTED_VALUE"""),"領料")</f>
        <v>領料</v>
      </c>
      <c r="C1642" s="1" t="str">
        <f ca="1">IFERROR(__xludf.DUMMYFUNCTION("""COMPUTED_VALUE"""),"A00700000837")</f>
        <v>A00700000837</v>
      </c>
      <c r="D1642" s="1" t="str">
        <f ca="1">IFERROR(__xludf.DUMMYFUNCTION("""COMPUTED_VALUE"""),"All/COLOR")</f>
        <v>All/COLOR</v>
      </c>
      <c r="E1642" s="1" t="str">
        <f ca="1">IFERROR(__xludf.DUMMYFUNCTION("""COMPUTED_VALUE"""),"p2/庫存")</f>
        <v>p2/庫存</v>
      </c>
      <c r="F1642" s="1">
        <f ca="1">IFERROR(__xludf.DUMMYFUNCTION("""COMPUTED_VALUE"""),3)</f>
        <v>3</v>
      </c>
      <c r="G1642" s="1"/>
      <c r="H1642" s="1" t="str">
        <f ca="1">IFERROR(__xludf.DUMMYFUNCTION("""COMPUTED_VALUE"""),"P2_3003")</f>
        <v>P2_3003</v>
      </c>
      <c r="I1642" s="1" t="str">
        <f ca="1">IFERROR(__xludf.DUMMYFUNCTION("""COMPUTED_VALUE"""),"Jason")</f>
        <v>Jason</v>
      </c>
    </row>
    <row r="1643" spans="1:9" ht="12.7" x14ac:dyDescent="0.4">
      <c r="A1643" s="2">
        <f ca="1">IFERROR(__xludf.DUMMYFUNCTION("""COMPUTED_VALUE"""),46056.4091007986)</f>
        <v>46056.409100798599</v>
      </c>
      <c r="B1643" s="1" t="str">
        <f ca="1">IFERROR(__xludf.DUMMYFUNCTION("""COMPUTED_VALUE"""),"進貨")</f>
        <v>進貨</v>
      </c>
      <c r="C1643" s="1" t="str">
        <f ca="1">IFERROR(__xludf.DUMMYFUNCTION("""COMPUTED_VALUE"""),"ME0270001341")</f>
        <v>ME0270001341</v>
      </c>
      <c r="D1643" s="1" t="str">
        <f ca="1">IFERROR(__xludf.DUMMYFUNCTION("""COMPUTED_VALUE"""),"All/COLOR")</f>
        <v>All/COLOR</v>
      </c>
      <c r="E1643" s="1" t="str">
        <f ca="1">IFERROR(__xludf.DUMMYFUNCTION("""COMPUTED_VALUE"""),"p2/庫存")</f>
        <v>p2/庫存</v>
      </c>
      <c r="F1643" s="1">
        <f ca="1">IFERROR(__xludf.DUMMYFUNCTION("""COMPUTED_VALUE"""),1)</f>
        <v>1</v>
      </c>
      <c r="G1643" s="1"/>
      <c r="H1643" s="1" t="str">
        <f ca="1">IFERROR(__xludf.DUMMYFUNCTION("""COMPUTED_VALUE"""),"P2")</f>
        <v>P2</v>
      </c>
      <c r="I1643" s="1" t="str">
        <f ca="1">IFERROR(__xludf.DUMMYFUNCTION("""COMPUTED_VALUE"""),"Chiao Yu")</f>
        <v>Chiao Yu</v>
      </c>
    </row>
    <row r="1644" spans="1:9" ht="12.7" x14ac:dyDescent="0.4">
      <c r="A1644" s="2">
        <f ca="1">IFERROR(__xludf.DUMMYFUNCTION("""COMPUTED_VALUE"""),46057.3504966782)</f>
        <v>46057.350496678198</v>
      </c>
      <c r="B1644" s="1" t="str">
        <f ca="1">IFERROR(__xludf.DUMMYFUNCTION("""COMPUTED_VALUE"""),"領料")</f>
        <v>領料</v>
      </c>
      <c r="C1644" s="1" t="str">
        <f ca="1">IFERROR(__xludf.DUMMYFUNCTION("""COMPUTED_VALUE"""),"MM0260000249")</f>
        <v>MM0260000249</v>
      </c>
      <c r="D1644" s="1" t="str">
        <f ca="1">IFERROR(__xludf.DUMMYFUNCTION("""COMPUTED_VALUE"""),"All/RL")</f>
        <v>All/RL</v>
      </c>
      <c r="E1644" s="1" t="str">
        <f ca="1">IFERROR(__xludf.DUMMYFUNCTION("""COMPUTED_VALUE"""),"p2/庫存")</f>
        <v>p2/庫存</v>
      </c>
      <c r="F1644" s="1">
        <f ca="1">IFERROR(__xludf.DUMMYFUNCTION("""COMPUTED_VALUE"""),4)</f>
        <v>4</v>
      </c>
      <c r="G1644" s="1"/>
      <c r="H1644" s="1" t="str">
        <f ca="1">IFERROR(__xludf.DUMMYFUNCTION("""COMPUTED_VALUE"""),"P2_1003~1006")</f>
        <v>P2_1003~1006</v>
      </c>
      <c r="I1644" s="1" t="str">
        <f ca="1">IFERROR(__xludf.DUMMYFUNCTION("""COMPUTED_VALUE"""),"Barry")</f>
        <v>Barry</v>
      </c>
    </row>
    <row r="1645" spans="1:9" ht="12.7" x14ac:dyDescent="0.4">
      <c r="A1645" s="2">
        <f ca="1">IFERROR(__xludf.DUMMYFUNCTION("""COMPUTED_VALUE"""),46058.1696435879)</f>
        <v>46058.169643587898</v>
      </c>
      <c r="B1645" s="1" t="str">
        <f ca="1">IFERROR(__xludf.DUMMYFUNCTION("""COMPUTED_VALUE"""),"領料")</f>
        <v>領料</v>
      </c>
      <c r="C1645" s="1" t="str">
        <f ca="1">IFERROR(__xludf.DUMMYFUNCTION("""COMPUTED_VALUE"""),"A00700000875")</f>
        <v>A00700000875</v>
      </c>
      <c r="D1645" s="1" t="str">
        <f ca="1">IFERROR(__xludf.DUMMYFUNCTION("""COMPUTED_VALUE"""),"All/共用")</f>
        <v>All/共用</v>
      </c>
      <c r="E1645" s="1" t="str">
        <f ca="1">IFERROR(__xludf.DUMMYFUNCTION("""COMPUTED_VALUE"""),"p1/庫存")</f>
        <v>p1/庫存</v>
      </c>
      <c r="F1645" s="1">
        <f ca="1">IFERROR(__xludf.DUMMYFUNCTION("""COMPUTED_VALUE"""),4)</f>
        <v>4</v>
      </c>
      <c r="G1645" s="1"/>
      <c r="H1645" s="1" t="str">
        <f ca="1">IFERROR(__xludf.DUMMYFUNCTION("""COMPUTED_VALUE"""),"P3_9003")</f>
        <v>P3_9003</v>
      </c>
      <c r="I1645" s="1" t="str">
        <f ca="1">IFERROR(__xludf.DUMMYFUNCTION("""COMPUTED_VALUE"""),"Jason")</f>
        <v>Jason</v>
      </c>
    </row>
    <row r="1646" spans="1:9" ht="12.7" x14ac:dyDescent="0.4">
      <c r="A1646" s="2">
        <f ca="1">IFERROR(__xludf.DUMMYFUNCTION("""COMPUTED_VALUE"""),46058.3973139467)</f>
        <v>46058.397313946698</v>
      </c>
      <c r="B1646" s="1" t="str">
        <f ca="1">IFERROR(__xludf.DUMMYFUNCTION("""COMPUTED_VALUE"""),"領料")</f>
        <v>領料</v>
      </c>
      <c r="C1646" s="1" t="str">
        <f ca="1">IFERROR(__xludf.DUMMYFUNCTION("""COMPUTED_VALUE"""),"MM0260000249")</f>
        <v>MM0260000249</v>
      </c>
      <c r="D1646" s="1" t="str">
        <f ca="1">IFERROR(__xludf.DUMMYFUNCTION("""COMPUTED_VALUE"""),"All/RL")</f>
        <v>All/RL</v>
      </c>
      <c r="E1646" s="1" t="str">
        <f ca="1">IFERROR(__xludf.DUMMYFUNCTION("""COMPUTED_VALUE"""),"p1/庫存")</f>
        <v>p1/庫存</v>
      </c>
      <c r="F1646" s="1">
        <f ca="1">IFERROR(__xludf.DUMMYFUNCTION("""COMPUTED_VALUE"""),1)</f>
        <v>1</v>
      </c>
      <c r="G1646" s="1"/>
      <c r="H1646" s="1" t="str">
        <f ca="1">IFERROR(__xludf.DUMMYFUNCTION("""COMPUTED_VALUE"""),"P3_1002")</f>
        <v>P3_1002</v>
      </c>
      <c r="I1646" s="1" t="str">
        <f ca="1">IFERROR(__xludf.DUMMYFUNCTION("""COMPUTED_VALUE"""),"Chiao Yu")</f>
        <v>Chiao Yu</v>
      </c>
    </row>
    <row r="1647" spans="1:9" ht="12.7" x14ac:dyDescent="0.4">
      <c r="A1647" s="2">
        <f ca="1">IFERROR(__xludf.DUMMYFUNCTION("""COMPUTED_VALUE"""),46059.2727428703)</f>
        <v>46059.2727428703</v>
      </c>
      <c r="B1647" s="1" t="str">
        <f ca="1">IFERROR(__xludf.DUMMYFUNCTION("""COMPUTED_VALUE"""),"領料")</f>
        <v>領料</v>
      </c>
      <c r="C1647" s="1" t="str">
        <f ca="1">IFERROR(__xludf.DUMMYFUNCTION("""COMPUTED_VALUE"""),"A00700000875")</f>
        <v>A00700000875</v>
      </c>
      <c r="D1647" s="1" t="str">
        <f ca="1">IFERROR(__xludf.DUMMYFUNCTION("""COMPUTED_VALUE"""),"All/共用")</f>
        <v>All/共用</v>
      </c>
      <c r="E1647" s="1" t="str">
        <f ca="1">IFERROR(__xludf.DUMMYFUNCTION("""COMPUTED_VALUE"""),"p2/庫存")</f>
        <v>p2/庫存</v>
      </c>
      <c r="F1647" s="1">
        <f ca="1">IFERROR(__xludf.DUMMYFUNCTION("""COMPUTED_VALUE"""),4)</f>
        <v>4</v>
      </c>
      <c r="G1647" s="1"/>
      <c r="H1647" s="1" t="str">
        <f ca="1">IFERROR(__xludf.DUMMYFUNCTION("""COMPUTED_VALUE"""),"P2_9001")</f>
        <v>P2_9001</v>
      </c>
      <c r="I1647" s="1" t="str">
        <f ca="1">IFERROR(__xludf.DUMMYFUNCTION("""COMPUTED_VALUE"""),"Jason")</f>
        <v>Jason</v>
      </c>
    </row>
    <row r="1648" spans="1:9" ht="12.7" x14ac:dyDescent="0.4">
      <c r="A1648" s="2">
        <f ca="1">IFERROR(__xludf.DUMMYFUNCTION("""COMPUTED_VALUE"""),46065.2764698263)</f>
        <v>46065.276469826298</v>
      </c>
      <c r="B1648" s="1" t="str">
        <f ca="1">IFERROR(__xludf.DUMMYFUNCTION("""COMPUTED_VALUE"""),"領料")</f>
        <v>領料</v>
      </c>
      <c r="C1648" s="1" t="str">
        <f ca="1">IFERROR(__xludf.DUMMYFUNCTION("""COMPUTED_VALUE"""),"MM0260000259")</f>
        <v>MM0260000259</v>
      </c>
      <c r="D1648" s="1" t="str">
        <f ca="1">IFERROR(__xludf.DUMMYFUNCTION("""COMPUTED_VALUE"""),"All/SB")</f>
        <v>All/SB</v>
      </c>
      <c r="E1648" s="1" t="str">
        <f ca="1">IFERROR(__xludf.DUMMYFUNCTION("""COMPUTED_VALUE"""),"p2/庫存")</f>
        <v>p2/庫存</v>
      </c>
      <c r="F1648" s="1">
        <f ca="1">IFERROR(__xludf.DUMMYFUNCTION("""COMPUTED_VALUE"""),1)</f>
        <v>1</v>
      </c>
      <c r="G1648" s="1"/>
      <c r="H1648" s="1" t="str">
        <f ca="1">IFERROR(__xludf.DUMMYFUNCTION("""COMPUTED_VALUE"""),"P2_4005")</f>
        <v>P2_4005</v>
      </c>
      <c r="I1648" s="1" t="str">
        <f ca="1">IFERROR(__xludf.DUMMYFUNCTION("""COMPUTED_VALUE"""),"Jason")</f>
        <v>Jason</v>
      </c>
    </row>
    <row r="1649" spans="1:9" ht="12.7" x14ac:dyDescent="0.4">
      <c r="A1649" s="2">
        <f ca="1">IFERROR(__xludf.DUMMYFUNCTION("""COMPUTED_VALUE"""),46070.3495353125)</f>
        <v>46070.349535312504</v>
      </c>
      <c r="B1649" s="1" t="str">
        <f ca="1">IFERROR(__xludf.DUMMYFUNCTION("""COMPUTED_VALUE"""),"庫存調整")</f>
        <v>庫存調整</v>
      </c>
      <c r="C1649" s="1" t="str">
        <f ca="1">IFERROR(__xludf.DUMMYFUNCTION("""COMPUTED_VALUE"""),"ME0020000564")</f>
        <v>ME0020000564</v>
      </c>
      <c r="D1649" s="1" t="str">
        <f ca="1">IFERROR(__xludf.DUMMYFUNCTION("""COMPUTED_VALUE"""),"All/共用")</f>
        <v>All/共用</v>
      </c>
      <c r="E1649" s="1" t="str">
        <f ca="1">IFERROR(__xludf.DUMMYFUNCTION("""COMPUTED_VALUE"""),"p2/庫存")</f>
        <v>p2/庫存</v>
      </c>
      <c r="F1649" s="1">
        <f ca="1">IFERROR(__xludf.DUMMYFUNCTION("""COMPUTED_VALUE"""),-1)</f>
        <v>-1</v>
      </c>
      <c r="G1649" s="1"/>
      <c r="H1649" s="1" t="str">
        <f ca="1">IFERROR(__xludf.DUMMYFUNCTION("""COMPUTED_VALUE"""),"P2")</f>
        <v>P2</v>
      </c>
      <c r="I1649" s="1" t="str">
        <f ca="1">IFERROR(__xludf.DUMMYFUNCTION("""COMPUTED_VALUE"""),"Chiao Yu")</f>
        <v>Chiao Yu</v>
      </c>
    </row>
    <row r="1650" spans="1:9" ht="12.7" x14ac:dyDescent="0.4">
      <c r="A1650" s="2">
        <f ca="1">IFERROR(__xludf.DUMMYFUNCTION("""COMPUTED_VALUE"""),46071.7751617129)</f>
        <v>46071.775161712903</v>
      </c>
      <c r="B1650" s="1" t="str">
        <f ca="1">IFERROR(__xludf.DUMMYFUNCTION("""COMPUTED_VALUE"""),"領料")</f>
        <v>領料</v>
      </c>
      <c r="C1650" s="1" t="str">
        <f ca="1">IFERROR(__xludf.DUMMYFUNCTION("""COMPUTED_VALUE"""),"ME0140000042")</f>
        <v>ME0140000042</v>
      </c>
      <c r="D1650" s="1" t="str">
        <f ca="1">IFERROR(__xludf.DUMMYFUNCTION("""COMPUTED_VALUE"""),"All/BA")</f>
        <v>All/BA</v>
      </c>
      <c r="E1650" s="1" t="str">
        <f ca="1">IFERROR(__xludf.DUMMYFUNCTION("""COMPUTED_VALUE"""),"p1/庫存")</f>
        <v>p1/庫存</v>
      </c>
      <c r="F1650" s="1">
        <f ca="1">IFERROR(__xludf.DUMMYFUNCTION("""COMPUTED_VALUE"""),1)</f>
        <v>1</v>
      </c>
      <c r="G1650" s="1"/>
      <c r="H1650" s="1" t="str">
        <f ca="1">IFERROR(__xludf.DUMMYFUNCTION("""COMPUTED_VALUE"""),"P3_13001")</f>
        <v>P3_13001</v>
      </c>
      <c r="I1650" s="1" t="str">
        <f ca="1">IFERROR(__xludf.DUMMYFUNCTION("""COMPUTED_VALUE"""),"Chiao Yu")</f>
        <v>Chiao Yu</v>
      </c>
    </row>
    <row r="1651" spans="1:9" ht="12.7" x14ac:dyDescent="0.4">
      <c r="A1651" s="2">
        <f ca="1">IFERROR(__xludf.DUMMYFUNCTION("""COMPUTED_VALUE"""),46071.7763279745)</f>
        <v>46071.776327974498</v>
      </c>
      <c r="B1651" s="1" t="str">
        <f ca="1">IFERROR(__xludf.DUMMYFUNCTION("""COMPUTED_VALUE"""),"領料")</f>
        <v>領料</v>
      </c>
      <c r="C1651" s="1" t="str">
        <f ca="1">IFERROR(__xludf.DUMMYFUNCTION("""COMPUTED_VALUE"""),"MM0090000047")</f>
        <v>MM0090000047</v>
      </c>
      <c r="D1651" s="1" t="str">
        <f ca="1">IFERROR(__xludf.DUMMYFUNCTION("""COMPUTED_VALUE"""),"All/BA")</f>
        <v>All/BA</v>
      </c>
      <c r="E1651" s="1" t="str">
        <f ca="1">IFERROR(__xludf.DUMMYFUNCTION("""COMPUTED_VALUE"""),"p1/庫存")</f>
        <v>p1/庫存</v>
      </c>
      <c r="F1651" s="1">
        <f ca="1">IFERROR(__xludf.DUMMYFUNCTION("""COMPUTED_VALUE"""),4)</f>
        <v>4</v>
      </c>
      <c r="G1651" s="1"/>
      <c r="H1651" s="1" t="str">
        <f ca="1">IFERROR(__xludf.DUMMYFUNCTION("""COMPUTED_VALUE"""),"P3_13001")</f>
        <v>P3_13001</v>
      </c>
      <c r="I1651" s="1" t="str">
        <f ca="1">IFERROR(__xludf.DUMMYFUNCTION("""COMPUTED_VALUE"""),"Chiao Yu")</f>
        <v>Chiao Yu</v>
      </c>
    </row>
    <row r="1652" spans="1:9" ht="12.7" x14ac:dyDescent="0.4">
      <c r="A1652" s="2">
        <f ca="1">IFERROR(__xludf.DUMMYFUNCTION("""COMPUTED_VALUE"""),46072.0085318287)</f>
        <v>46072.008531828702</v>
      </c>
      <c r="B1652" s="1" t="str">
        <f ca="1">IFERROR(__xludf.DUMMYFUNCTION("""COMPUTED_VALUE"""),"領料")</f>
        <v>領料</v>
      </c>
      <c r="C1652" s="1" t="str">
        <f ca="1">IFERROR(__xludf.DUMMYFUNCTION("""COMPUTED_VALUE"""),"MM0260000266")</f>
        <v>MM0260000266</v>
      </c>
      <c r="D1652" s="1" t="str">
        <f ca="1">IFERROR(__xludf.DUMMYFUNCTION("""COMPUTED_VALUE"""),"All/BA")</f>
        <v>All/BA</v>
      </c>
      <c r="E1652" s="1" t="str">
        <f ca="1">IFERROR(__xludf.DUMMYFUNCTION("""COMPUTED_VALUE"""),"p1/庫存")</f>
        <v>p1/庫存</v>
      </c>
      <c r="F1652" s="1">
        <f ca="1">IFERROR(__xludf.DUMMYFUNCTION("""COMPUTED_VALUE"""),3)</f>
        <v>3</v>
      </c>
      <c r="G1652" s="1"/>
      <c r="H1652" s="1" t="str">
        <f ca="1">IFERROR(__xludf.DUMMYFUNCTION("""COMPUTED_VALUE"""),"P3_13001")</f>
        <v>P3_13001</v>
      </c>
      <c r="I1652" s="1" t="str">
        <f ca="1">IFERROR(__xludf.DUMMYFUNCTION("""COMPUTED_VALUE"""),"Jason")</f>
        <v>Jason</v>
      </c>
    </row>
    <row r="1653" spans="1:9" ht="12.7" x14ac:dyDescent="0.4">
      <c r="A1653" s="2">
        <f ca="1">IFERROR(__xludf.DUMMYFUNCTION("""COMPUTED_VALUE"""),46072.3686995254)</f>
        <v>46072.368699525403</v>
      </c>
      <c r="B1653" s="1" t="str">
        <f ca="1">IFERROR(__xludf.DUMMYFUNCTION("""COMPUTED_VALUE"""),"領料")</f>
        <v>領料</v>
      </c>
      <c r="C1653" s="1" t="str">
        <f ca="1">IFERROR(__xludf.DUMMYFUNCTION("""COMPUTED_VALUE"""),"ME0020000637")</f>
        <v>ME0020000637</v>
      </c>
      <c r="D1653" s="1" t="str">
        <f ca="1">IFERROR(__xludf.DUMMYFUNCTION("""COMPUTED_VALUE"""),"All/共用")</f>
        <v>All/共用</v>
      </c>
      <c r="E1653" s="1" t="str">
        <f ca="1">IFERROR(__xludf.DUMMYFUNCTION("""COMPUTED_VALUE"""),"p1/庫存")</f>
        <v>p1/庫存</v>
      </c>
      <c r="F1653" s="1">
        <f ca="1">IFERROR(__xludf.DUMMYFUNCTION("""COMPUTED_VALUE"""),1)</f>
        <v>1</v>
      </c>
      <c r="G1653" s="1" t="str">
        <f ca="1">IFERROR(__xludf.DUMMYFUNCTION("""COMPUTED_VALUE"""),"42B0A0K6FEHE ")</f>
        <v xml:space="preserve">42B0A0K6FEHE </v>
      </c>
      <c r="H1653" s="1" t="str">
        <f ca="1">IFERROR(__xludf.DUMMYFUNCTION("""COMPUTED_VALUE"""),"P3")</f>
        <v>P3</v>
      </c>
      <c r="I1653" s="1" t="str">
        <f ca="1">IFERROR(__xludf.DUMMYFUNCTION("""COMPUTED_VALUE"""),"Chiao Yu")</f>
        <v>Chiao Yu</v>
      </c>
    </row>
    <row r="1654" spans="1:9" ht="12.7" x14ac:dyDescent="0.4">
      <c r="A1654" s="2">
        <f ca="1">IFERROR(__xludf.DUMMYFUNCTION("""COMPUTED_VALUE"""),46072.3698322106)</f>
        <v>46072.369832210599</v>
      </c>
      <c r="B1654" s="1" t="str">
        <f ca="1">IFERROR(__xludf.DUMMYFUNCTION("""COMPUTED_VALUE"""),"領料")</f>
        <v>領料</v>
      </c>
      <c r="C1654" s="1" t="str">
        <f ca="1">IFERROR(__xludf.DUMMYFUNCTION("""COMPUTED_VALUE"""),"ME0020000637")</f>
        <v>ME0020000637</v>
      </c>
      <c r="D1654" s="1" t="str">
        <f ca="1">IFERROR(__xludf.DUMMYFUNCTION("""COMPUTED_VALUE"""),"All/共用")</f>
        <v>All/共用</v>
      </c>
      <c r="E1654" s="1" t="str">
        <f ca="1">IFERROR(__xludf.DUMMYFUNCTION("""COMPUTED_VALUE"""),"p1/庫存")</f>
        <v>p1/庫存</v>
      </c>
      <c r="F1654" s="1">
        <f ca="1">IFERROR(__xludf.DUMMYFUNCTION("""COMPUTED_VALUE"""),1)</f>
        <v>1</v>
      </c>
      <c r="G1654" s="1" t="str">
        <f ca="1">IFERROR(__xludf.DUMMYFUNCTION("""COMPUTED_VALUE"""),"42W0A036FEHE")</f>
        <v>42W0A036FEHE</v>
      </c>
      <c r="H1654" s="1" t="str">
        <f ca="1">IFERROR(__xludf.DUMMYFUNCTION("""COMPUTED_VALUE"""),"P3")</f>
        <v>P3</v>
      </c>
      <c r="I1654" s="1" t="str">
        <f ca="1">IFERROR(__xludf.DUMMYFUNCTION("""COMPUTED_VALUE"""),"Chiao Yu")</f>
        <v>Chiao Yu</v>
      </c>
    </row>
    <row r="1655" spans="1:9" ht="12.7" x14ac:dyDescent="0.4">
      <c r="A1655" s="2">
        <f ca="1">IFERROR(__xludf.DUMMYFUNCTION("""COMPUTED_VALUE"""),46077.2737099537)</f>
        <v>46077.273709953697</v>
      </c>
      <c r="B1655" s="1" t="str">
        <f ca="1">IFERROR(__xludf.DUMMYFUNCTION("""COMPUTED_VALUE"""),"領料")</f>
        <v>領料</v>
      </c>
      <c r="C1655" s="1" t="str">
        <f ca="1">IFERROR(__xludf.DUMMYFUNCTION("""COMPUTED_VALUE"""),"A00700000837")</f>
        <v>A00700000837</v>
      </c>
      <c r="D1655" s="1" t="str">
        <f ca="1">IFERROR(__xludf.DUMMYFUNCTION("""COMPUTED_VALUE"""),"All/COLOR")</f>
        <v>All/COLOR</v>
      </c>
      <c r="E1655" s="1" t="str">
        <f ca="1">IFERROR(__xludf.DUMMYFUNCTION("""COMPUTED_VALUE"""),"p1/庫存")</f>
        <v>p1/庫存</v>
      </c>
      <c r="F1655" s="1">
        <f ca="1">IFERROR(__xludf.DUMMYFUNCTION("""COMPUTED_VALUE"""),3)</f>
        <v>3</v>
      </c>
      <c r="G1655" s="1"/>
      <c r="H1655" s="1" t="str">
        <f ca="1">IFERROR(__xludf.DUMMYFUNCTION("""COMPUTED_VALUE"""),"P3_3001")</f>
        <v>P3_3001</v>
      </c>
      <c r="I1655" s="1" t="str">
        <f ca="1">IFERROR(__xludf.DUMMYFUNCTION("""COMPUTED_VALUE"""),"Jason")</f>
        <v>Jason</v>
      </c>
    </row>
    <row r="1656" spans="1:9" ht="12.7" x14ac:dyDescent="0.4">
      <c r="A1656" s="2">
        <f ca="1">IFERROR(__xludf.DUMMYFUNCTION("""COMPUTED_VALUE"""),46078.2113962963)</f>
        <v>46078.211396296298</v>
      </c>
      <c r="B1656" s="1" t="str">
        <f ca="1">IFERROR(__xludf.DUMMYFUNCTION("""COMPUTED_VALUE"""),"領料")</f>
        <v>領料</v>
      </c>
      <c r="C1656" s="1" t="str">
        <f ca="1">IFERROR(__xludf.DUMMYFUNCTION("""COMPUTED_VALUE"""),"A00700000837")</f>
        <v>A00700000837</v>
      </c>
      <c r="D1656" s="1" t="str">
        <f ca="1">IFERROR(__xludf.DUMMYFUNCTION("""COMPUTED_VALUE"""),"All/COLOR")</f>
        <v>All/COLOR</v>
      </c>
      <c r="E1656" s="1" t="str">
        <f ca="1">IFERROR(__xludf.DUMMYFUNCTION("""COMPUTED_VALUE"""),"p2/庫存")</f>
        <v>p2/庫存</v>
      </c>
      <c r="F1656" s="1">
        <f ca="1">IFERROR(__xludf.DUMMYFUNCTION("""COMPUTED_VALUE"""),3)</f>
        <v>3</v>
      </c>
      <c r="G1656" s="1"/>
      <c r="H1656" s="1" t="str">
        <f ca="1">IFERROR(__xludf.DUMMYFUNCTION("""COMPUTED_VALUE"""),"P2_3002")</f>
        <v>P2_3002</v>
      </c>
      <c r="I1656" s="1" t="str">
        <f ca="1">IFERROR(__xludf.DUMMYFUNCTION("""COMPUTED_VALUE"""),"Jason")</f>
        <v>Jason</v>
      </c>
    </row>
    <row r="1657" spans="1:9" ht="12.7" x14ac:dyDescent="0.4">
      <c r="A1657" s="2">
        <f ca="1">IFERROR(__xludf.DUMMYFUNCTION("""COMPUTED_VALUE"""),46078.2443300347)</f>
        <v>46078.2443300347</v>
      </c>
      <c r="B1657" s="1" t="str">
        <f ca="1">IFERROR(__xludf.DUMMYFUNCTION("""COMPUTED_VALUE"""),"領料")</f>
        <v>領料</v>
      </c>
      <c r="C1657" s="1" t="str">
        <f ca="1">IFERROR(__xludf.DUMMYFUNCTION("""COMPUTED_VALUE"""),"MM0260000259")</f>
        <v>MM0260000259</v>
      </c>
      <c r="D1657" s="1" t="str">
        <f ca="1">IFERROR(__xludf.DUMMYFUNCTION("""COMPUTED_VALUE"""),"All/共用")</f>
        <v>All/共用</v>
      </c>
      <c r="E1657" s="1" t="str">
        <f ca="1">IFERROR(__xludf.DUMMYFUNCTION("""COMPUTED_VALUE"""),"p2/庫存")</f>
        <v>p2/庫存</v>
      </c>
      <c r="F1657" s="1">
        <f ca="1">IFERROR(__xludf.DUMMYFUNCTION("""COMPUTED_VALUE"""),1)</f>
        <v>1</v>
      </c>
      <c r="G1657" s="1"/>
      <c r="H1657" s="1" t="str">
        <f ca="1">IFERROR(__xludf.DUMMYFUNCTION("""COMPUTED_VALUE"""),"P2_9001,P2_9002")</f>
        <v>P2_9001,P2_9002</v>
      </c>
      <c r="I1657" s="1" t="str">
        <f ca="1">IFERROR(__xludf.DUMMYFUNCTION("""COMPUTED_VALUE"""),"Jason")</f>
        <v>Jason</v>
      </c>
    </row>
    <row r="1658" spans="1:9" ht="12.7" x14ac:dyDescent="0.4">
      <c r="A1658" s="2">
        <f ca="1">IFERROR(__xludf.DUMMYFUNCTION("""COMPUTED_VALUE"""),46078.7143841666)</f>
        <v>46078.714384166597</v>
      </c>
      <c r="B1658" s="1" t="str">
        <f ca="1">IFERROR(__xludf.DUMMYFUNCTION("""COMPUTED_VALUE"""),"進貨")</f>
        <v>進貨</v>
      </c>
      <c r="C1658" s="1" t="str">
        <f ca="1">IFERROR(__xludf.DUMMYFUNCTION("""COMPUTED_VALUE"""),"ME0270001357")</f>
        <v>ME0270001357</v>
      </c>
      <c r="D1658" s="1" t="str">
        <f ca="1">IFERROR(__xludf.DUMMYFUNCTION("""COMPUTED_VALUE"""),"All/COLOR")</f>
        <v>All/COLOR</v>
      </c>
      <c r="E1658" s="1" t="str">
        <f ca="1">IFERROR(__xludf.DUMMYFUNCTION("""COMPUTED_VALUE"""),"p1/庫存")</f>
        <v>p1/庫存</v>
      </c>
      <c r="F1658" s="1">
        <f ca="1">IFERROR(__xludf.DUMMYFUNCTION("""COMPUTED_VALUE"""),1)</f>
        <v>1</v>
      </c>
      <c r="G1658" s="1"/>
      <c r="H1658" s="1" t="str">
        <f ca="1">IFERROR(__xludf.DUMMYFUNCTION("""COMPUTED_VALUE"""),"P3")</f>
        <v>P3</v>
      </c>
      <c r="I1658" s="1" t="str">
        <f ca="1">IFERROR(__xludf.DUMMYFUNCTION("""COMPUTED_VALUE"""),"Chiao Yu")</f>
        <v>Chiao Yu</v>
      </c>
    </row>
    <row r="1659" spans="1:9" ht="12.7" x14ac:dyDescent="0.4">
      <c r="A1659" s="2">
        <f ca="1">IFERROR(__xludf.DUMMYFUNCTION("""COMPUTED_VALUE"""),46078.7147972569)</f>
        <v>46078.7147972569</v>
      </c>
      <c r="B1659" s="1" t="str">
        <f ca="1">IFERROR(__xludf.DUMMYFUNCTION("""COMPUTED_VALUE"""),"進貨")</f>
        <v>進貨</v>
      </c>
      <c r="C1659" s="1" t="str">
        <f ca="1">IFERROR(__xludf.DUMMYFUNCTION("""COMPUTED_VALUE"""),"ME0270001357")</f>
        <v>ME0270001357</v>
      </c>
      <c r="D1659" s="1" t="str">
        <f ca="1">IFERROR(__xludf.DUMMYFUNCTION("""COMPUTED_VALUE"""),"All/COLOR")</f>
        <v>All/COLOR</v>
      </c>
      <c r="E1659" s="1" t="str">
        <f ca="1">IFERROR(__xludf.DUMMYFUNCTION("""COMPUTED_VALUE"""),"p2/庫存")</f>
        <v>p2/庫存</v>
      </c>
      <c r="F1659" s="1">
        <f ca="1">IFERROR(__xludf.DUMMYFUNCTION("""COMPUTED_VALUE"""),1)</f>
        <v>1</v>
      </c>
      <c r="G1659" s="1"/>
      <c r="H1659" s="1" t="str">
        <f ca="1">IFERROR(__xludf.DUMMYFUNCTION("""COMPUTED_VALUE"""),"P2")</f>
        <v>P2</v>
      </c>
      <c r="I1659" s="1" t="str">
        <f ca="1">IFERROR(__xludf.DUMMYFUNCTION("""COMPUTED_VALUE"""),"Chiao Yu")</f>
        <v>Chiao Yu</v>
      </c>
    </row>
    <row r="1660" spans="1:9" ht="12.7" x14ac:dyDescent="0.4">
      <c r="A1660" s="2">
        <f ca="1">IFERROR(__xludf.DUMMYFUNCTION("""COMPUTED_VALUE"""),46078.7157813888)</f>
        <v>46078.715781388797</v>
      </c>
      <c r="B1660" s="1" t="str">
        <f ca="1">IFERROR(__xludf.DUMMYFUNCTION("""COMPUTED_VALUE"""),"進貨")</f>
        <v>進貨</v>
      </c>
      <c r="C1660" s="1" t="str">
        <f ca="1">IFERROR(__xludf.DUMMYFUNCTION("""COMPUTED_VALUE"""),"ME0120000142")</f>
        <v>ME0120000142</v>
      </c>
      <c r="D1660" s="1" t="str">
        <f ca="1">IFERROR(__xludf.DUMMYFUNCTION("""COMPUTED_VALUE"""),"All/BA")</f>
        <v>All/BA</v>
      </c>
      <c r="E1660" s="1" t="str">
        <f ca="1">IFERROR(__xludf.DUMMYFUNCTION("""COMPUTED_VALUE"""),"p1/庫存")</f>
        <v>p1/庫存</v>
      </c>
      <c r="F1660" s="1">
        <f ca="1">IFERROR(__xludf.DUMMYFUNCTION("""COMPUTED_VALUE"""),1)</f>
        <v>1</v>
      </c>
      <c r="G1660" s="1"/>
      <c r="H1660" s="1" t="str">
        <f ca="1">IFERROR(__xludf.DUMMYFUNCTION("""COMPUTED_VALUE"""),"P3")</f>
        <v>P3</v>
      </c>
      <c r="I1660" s="1" t="str">
        <f ca="1">IFERROR(__xludf.DUMMYFUNCTION("""COMPUTED_VALUE"""),"Chiao Yu")</f>
        <v>Chiao Yu</v>
      </c>
    </row>
    <row r="1661" spans="1:9" ht="12.7" x14ac:dyDescent="0.4">
      <c r="A1661" s="2">
        <f ca="1">IFERROR(__xludf.DUMMYFUNCTION("""COMPUTED_VALUE"""),46078.7164918287)</f>
        <v>46078.716491828702</v>
      </c>
      <c r="B1661" s="1" t="str">
        <f ca="1">IFERROR(__xludf.DUMMYFUNCTION("""COMPUTED_VALUE"""),"進貨")</f>
        <v>進貨</v>
      </c>
      <c r="C1661" s="1" t="str">
        <f ca="1">IFERROR(__xludf.DUMMYFUNCTION("""COMPUTED_VALUE"""),"MM0260000266")</f>
        <v>MM0260000266</v>
      </c>
      <c r="D1661" s="1" t="str">
        <f ca="1">IFERROR(__xludf.DUMMYFUNCTION("""COMPUTED_VALUE"""),"All/BA")</f>
        <v>All/BA</v>
      </c>
      <c r="E1661" s="1" t="str">
        <f ca="1">IFERROR(__xludf.DUMMYFUNCTION("""COMPUTED_VALUE"""),"p1/庫存")</f>
        <v>p1/庫存</v>
      </c>
      <c r="F1661" s="1">
        <f ca="1">IFERROR(__xludf.DUMMYFUNCTION("""COMPUTED_VALUE"""),6)</f>
        <v>6</v>
      </c>
      <c r="G1661" s="1"/>
      <c r="H1661" s="1" t="str">
        <f ca="1">IFERROR(__xludf.DUMMYFUNCTION("""COMPUTED_VALUE"""),"P3")</f>
        <v>P3</v>
      </c>
      <c r="I1661" s="1" t="str">
        <f ca="1">IFERROR(__xludf.DUMMYFUNCTION("""COMPUTED_VALUE"""),"Chiao Yu")</f>
        <v>Chiao Yu</v>
      </c>
    </row>
    <row r="1662" spans="1:9" ht="12.7" x14ac:dyDescent="0.4">
      <c r="A1662" s="2">
        <f ca="1">IFERROR(__xludf.DUMMYFUNCTION("""COMPUTED_VALUE"""),46078.7174658796)</f>
        <v>46078.717465879599</v>
      </c>
      <c r="B1662" s="1" t="str">
        <f ca="1">IFERROR(__xludf.DUMMYFUNCTION("""COMPUTED_VALUE"""),"進貨")</f>
        <v>進貨</v>
      </c>
      <c r="C1662" s="1" t="str">
        <f ca="1">IFERROR(__xludf.DUMMYFUNCTION("""COMPUTED_VALUE"""),"MM0260000077")</f>
        <v>MM0260000077</v>
      </c>
      <c r="D1662" s="1" t="str">
        <f ca="1">IFERROR(__xludf.DUMMYFUNCTION("""COMPUTED_VALUE"""),"All/BA")</f>
        <v>All/BA</v>
      </c>
      <c r="E1662" s="1" t="str">
        <f ca="1">IFERROR(__xludf.DUMMYFUNCTION("""COMPUTED_VALUE"""),"p1/庫存")</f>
        <v>p1/庫存</v>
      </c>
      <c r="F1662" s="1">
        <f ca="1">IFERROR(__xludf.DUMMYFUNCTION("""COMPUTED_VALUE"""),60)</f>
        <v>60</v>
      </c>
      <c r="G1662" s="1"/>
      <c r="H1662" s="1" t="str">
        <f ca="1">IFERROR(__xludf.DUMMYFUNCTION("""COMPUTED_VALUE"""),"P3")</f>
        <v>P3</v>
      </c>
      <c r="I1662" s="1" t="str">
        <f ca="1">IFERROR(__xludf.DUMMYFUNCTION("""COMPUTED_VALUE"""),"Chiao Yu")</f>
        <v>Chiao Yu</v>
      </c>
    </row>
    <row r="1663" spans="1:9" ht="12.7" x14ac:dyDescent="0.4">
      <c r="A1663" s="2">
        <f ca="1">IFERROR(__xludf.DUMMYFUNCTION("""COMPUTED_VALUE"""),46078.7185830439)</f>
        <v>46078.718583043898</v>
      </c>
      <c r="B1663" s="1" t="str">
        <f ca="1">IFERROR(__xludf.DUMMYFUNCTION("""COMPUTED_VALUE"""),"進貨")</f>
        <v>進貨</v>
      </c>
      <c r="C1663" s="1" t="str">
        <f ca="1">IFERROR(__xludf.DUMMYFUNCTION("""COMPUTED_VALUE"""),"MM0260000259")</f>
        <v>MM0260000259</v>
      </c>
      <c r="D1663" s="1" t="str">
        <f ca="1">IFERROR(__xludf.DUMMYFUNCTION("""COMPUTED_VALUE"""),"All/SB")</f>
        <v>All/SB</v>
      </c>
      <c r="E1663" s="1" t="str">
        <f ca="1">IFERROR(__xludf.DUMMYFUNCTION("""COMPUTED_VALUE"""),"p2/庫存")</f>
        <v>p2/庫存</v>
      </c>
      <c r="F1663" s="1">
        <f ca="1">IFERROR(__xludf.DUMMYFUNCTION("""COMPUTED_VALUE"""),6)</f>
        <v>6</v>
      </c>
      <c r="G1663" s="1"/>
      <c r="H1663" s="1" t="str">
        <f ca="1">IFERROR(__xludf.DUMMYFUNCTION("""COMPUTED_VALUE"""),"P2")</f>
        <v>P2</v>
      </c>
      <c r="I1663" s="1" t="str">
        <f ca="1">IFERROR(__xludf.DUMMYFUNCTION("""COMPUTED_VALUE"""),"Chiao Yu")</f>
        <v>Chiao Yu</v>
      </c>
    </row>
    <row r="1664" spans="1:9" ht="12.7" x14ac:dyDescent="0.4">
      <c r="A1664" s="2">
        <f ca="1">IFERROR(__xludf.DUMMYFUNCTION("""COMPUTED_VALUE"""),46081.4697626504)</f>
        <v>46081.469762650398</v>
      </c>
      <c r="B1664" s="1" t="str">
        <f ca="1">IFERROR(__xludf.DUMMYFUNCTION("""COMPUTED_VALUE"""),"領料")</f>
        <v>領料</v>
      </c>
      <c r="C1664" s="1" t="str">
        <f ca="1">IFERROR(__xludf.DUMMYFUNCTION("""COMPUTED_VALUE"""),"AGT000000005")</f>
        <v>AGT000000005</v>
      </c>
      <c r="D1664" s="1" t="str">
        <f ca="1">IFERROR(__xludf.DUMMYFUNCTION("""COMPUTED_VALUE"""),"All/SB")</f>
        <v>All/SB</v>
      </c>
      <c r="E1664" s="1" t="str">
        <f ca="1">IFERROR(__xludf.DUMMYFUNCTION("""COMPUTED_VALUE"""),"p1/庫存")</f>
        <v>p1/庫存</v>
      </c>
      <c r="F1664" s="1">
        <f ca="1">IFERROR(__xludf.DUMMYFUNCTION("""COMPUTED_VALUE"""),1)</f>
        <v>1</v>
      </c>
      <c r="G1664" s="1"/>
      <c r="H1664" s="1" t="str">
        <f ca="1">IFERROR(__xludf.DUMMYFUNCTION("""COMPUTED_VALUE"""),"P3_4007")</f>
        <v>P3_4007</v>
      </c>
      <c r="I1664" s="1" t="str">
        <f ca="1">IFERROR(__xludf.DUMMYFUNCTION("""COMPUTED_VALUE"""),"Chiao Yu")</f>
        <v>Chiao Yu</v>
      </c>
    </row>
    <row r="1665" spans="1:9" ht="12.7" x14ac:dyDescent="0.4">
      <c r="A1665" s="2">
        <f ca="1">IFERROR(__xludf.DUMMYFUNCTION("""COMPUTED_VALUE"""),46094.2747556944)</f>
        <v>46094.274755694401</v>
      </c>
      <c r="B1665" s="1" t="str">
        <f ca="1">IFERROR(__xludf.DUMMYFUNCTION("""COMPUTED_VALUE"""),"領料")</f>
        <v>領料</v>
      </c>
      <c r="C1665" s="1" t="str">
        <f ca="1">IFERROR(__xludf.DUMMYFUNCTION("""COMPUTED_VALUE"""),"MM0260000077")</f>
        <v>MM0260000077</v>
      </c>
      <c r="D1665" s="1" t="str">
        <f ca="1">IFERROR(__xludf.DUMMYFUNCTION("""COMPUTED_VALUE"""),"All/BA")</f>
        <v>All/BA</v>
      </c>
      <c r="E1665" s="1" t="str">
        <f ca="1">IFERROR(__xludf.DUMMYFUNCTION("""COMPUTED_VALUE"""),"p1/庫存")</f>
        <v>p1/庫存</v>
      </c>
      <c r="F1665" s="1">
        <f ca="1">IFERROR(__xludf.DUMMYFUNCTION("""COMPUTED_VALUE"""),58)</f>
        <v>58</v>
      </c>
      <c r="G1665" s="1"/>
      <c r="H1665" s="1" t="str">
        <f ca="1">IFERROR(__xludf.DUMMYFUNCTION("""COMPUTED_VALUE"""),"P1_001~P1_029")</f>
        <v>P1_001~P1_029</v>
      </c>
      <c r="I1665" s="1" t="str">
        <f ca="1">IFERROR(__xludf.DUMMYFUNCTION("""COMPUTED_VALUE"""),"Jason")</f>
        <v>Jason</v>
      </c>
    </row>
    <row r="1666" spans="1:9" ht="12.7" x14ac:dyDescent="0.4">
      <c r="A1666" s="2">
        <f ca="1">IFERROR(__xludf.DUMMYFUNCTION("""COMPUTED_VALUE"""),46094.2757312268)</f>
        <v>46094.2757312268</v>
      </c>
      <c r="B1666" s="1" t="str">
        <f ca="1">IFERROR(__xludf.DUMMYFUNCTION("""COMPUTED_VALUE"""),"領料")</f>
        <v>領料</v>
      </c>
      <c r="C1666" s="1" t="str">
        <f ca="1">IFERROR(__xludf.DUMMYFUNCTION("""COMPUTED_VALUE"""),"MM0260000266")</f>
        <v>MM0260000266</v>
      </c>
      <c r="D1666" s="1" t="str">
        <f ca="1">IFERROR(__xludf.DUMMYFUNCTION("""COMPUTED_VALUE"""),"All/BA")</f>
        <v>All/BA</v>
      </c>
      <c r="E1666" s="1" t="str">
        <f ca="1">IFERROR(__xludf.DUMMYFUNCTION("""COMPUTED_VALUE"""),"p1/庫存")</f>
        <v>p1/庫存</v>
      </c>
      <c r="F1666" s="1">
        <f ca="1">IFERROR(__xludf.DUMMYFUNCTION("""COMPUTED_VALUE"""),3)</f>
        <v>3</v>
      </c>
      <c r="G1666" s="1"/>
      <c r="H1666" s="1" t="str">
        <f ca="1">IFERROR(__xludf.DUMMYFUNCTION("""COMPUTED_VALUE"""),"P1_13002")</f>
        <v>P1_13002</v>
      </c>
      <c r="I1666" s="1" t="str">
        <f ca="1">IFERROR(__xludf.DUMMYFUNCTION("""COMPUTED_VALUE"""),"Jason")</f>
        <v>Jason</v>
      </c>
    </row>
    <row r="1667" spans="1:9" ht="12.7" x14ac:dyDescent="0.4">
      <c r="A1667" s="2">
        <f ca="1">IFERROR(__xludf.DUMMYFUNCTION("""COMPUTED_VALUE"""),46094.2773341319)</f>
        <v>46094.277334131897</v>
      </c>
      <c r="B1667" s="1" t="str">
        <f ca="1">IFERROR(__xludf.DUMMYFUNCTION("""COMPUTED_VALUE"""),"料件上線時間")</f>
        <v>料件上線時間</v>
      </c>
      <c r="C1667" s="1" t="str">
        <f ca="1">IFERROR(__xludf.DUMMYFUNCTION("""COMPUTED_VALUE"""),"ME0070000140")</f>
        <v>ME0070000140</v>
      </c>
      <c r="D1667" s="1" t="str">
        <f ca="1">IFERROR(__xludf.DUMMYFUNCTION("""COMPUTED_VALUE"""),"All/BA")</f>
        <v>All/BA</v>
      </c>
      <c r="E1667" s="1" t="str">
        <f ca="1">IFERROR(__xludf.DUMMYFUNCTION("""COMPUTED_VALUE"""),"p1/庫存")</f>
        <v>p1/庫存</v>
      </c>
      <c r="F1667" s="1">
        <f ca="1">IFERROR(__xludf.DUMMYFUNCTION("""COMPUTED_VALUE"""),1)</f>
        <v>1</v>
      </c>
      <c r="G1667" s="1" t="str">
        <f ca="1">IFERROR(__xludf.DUMMYFUNCTION("""COMPUTED_VALUE"""),"100A-25/24L004-2507 ")</f>
        <v xml:space="preserve">100A-25/24L004-2507 </v>
      </c>
      <c r="H1667" s="1" t="str">
        <f ca="1">IFERROR(__xludf.DUMMYFUNCTION("""COMPUTED_VALUE"""),"P1_027")</f>
        <v>P1_027</v>
      </c>
      <c r="I1667" s="1" t="str">
        <f ca="1">IFERROR(__xludf.DUMMYFUNCTION("""COMPUTED_VALUE"""),"Jason")</f>
        <v>Jason</v>
      </c>
    </row>
    <row r="1668" spans="1:9" ht="12.7" x14ac:dyDescent="0.4">
      <c r="A1668" s="2">
        <f ca="1">IFERROR(__xludf.DUMMYFUNCTION("""COMPUTED_VALUE"""),46094.4686947338)</f>
        <v>46094.468694733798</v>
      </c>
      <c r="B1668" s="1" t="str">
        <f ca="1">IFERROR(__xludf.DUMMYFUNCTION("""COMPUTED_VALUE"""),"領料")</f>
        <v>領料</v>
      </c>
      <c r="C1668" s="1" t="str">
        <f ca="1">IFERROR(__xludf.DUMMYFUNCTION("""COMPUTED_VALUE"""),"ME0070000140")</f>
        <v>ME0070000140</v>
      </c>
      <c r="D1668" s="1" t="str">
        <f ca="1">IFERROR(__xludf.DUMMYFUNCTION("""COMPUTED_VALUE"""),"All/BA")</f>
        <v>All/BA</v>
      </c>
      <c r="E1668" s="1" t="str">
        <f ca="1">IFERROR(__xludf.DUMMYFUNCTION("""COMPUTED_VALUE"""),"p1/庫存")</f>
        <v>p1/庫存</v>
      </c>
      <c r="F1668" s="1">
        <f ca="1">IFERROR(__xludf.DUMMYFUNCTION("""COMPUTED_VALUE"""),1)</f>
        <v>1</v>
      </c>
      <c r="G1668" s="1" t="str">
        <f ca="1">IFERROR(__xludf.DUMMYFUNCTION("""COMPUTED_VALUE"""),"100A-2522C0030-2204")</f>
        <v>100A-2522C0030-2204</v>
      </c>
      <c r="H1668" s="1" t="str">
        <f ca="1">IFERROR(__xludf.DUMMYFUNCTION("""COMPUTED_VALUE"""),"P3_027")</f>
        <v>P3_027</v>
      </c>
      <c r="I1668" s="1" t="str">
        <f ca="1">IFERROR(__xludf.DUMMYFUNCTION("""COMPUTED_VALUE"""),"Jason")</f>
        <v>Jason</v>
      </c>
    </row>
    <row r="1669" spans="1:9" ht="12.7" x14ac:dyDescent="0.4">
      <c r="A1669" s="2">
        <f ca="1">IFERROR(__xludf.DUMMYFUNCTION("""COMPUTED_VALUE"""),46094.4797671875)</f>
        <v>46094.479767187499</v>
      </c>
      <c r="B1669" s="1" t="str">
        <f ca="1">IFERROR(__xludf.DUMMYFUNCTION("""COMPUTED_VALUE"""),"返修")</f>
        <v>返修</v>
      </c>
      <c r="C1669" s="1" t="str">
        <f ca="1">IFERROR(__xludf.DUMMYFUNCTION("""COMPUTED_VALUE"""),"A00900000618")</f>
        <v>A00900000618</v>
      </c>
      <c r="D1669" s="1" t="str">
        <f ca="1">IFERROR(__xludf.DUMMYFUNCTION("""COMPUTED_VALUE"""),"All/共用")</f>
        <v>All/共用</v>
      </c>
      <c r="E1669" s="1" t="str">
        <f ca="1">IFERROR(__xludf.DUMMYFUNCTION("""COMPUTED_VALUE"""),"p2/庫存")</f>
        <v>p2/庫存</v>
      </c>
      <c r="F1669" s="1">
        <f ca="1">IFERROR(__xludf.DUMMYFUNCTION("""COMPUTED_VALUE"""),1)</f>
        <v>1</v>
      </c>
      <c r="G1669" s="1"/>
      <c r="H1669" s="1" t="str">
        <f ca="1">IFERROR(__xludf.DUMMYFUNCTION("""COMPUTED_VALUE"""),"P2_032")</f>
        <v>P2_032</v>
      </c>
      <c r="I1669" s="1" t="str">
        <f ca="1">IFERROR(__xludf.DUMMYFUNCTION("""COMPUTED_VALUE"""),"Simon")</f>
        <v>Simon</v>
      </c>
    </row>
    <row r="1670" spans="1:9" ht="12.7" x14ac:dyDescent="0.4">
      <c r="A1670" s="2">
        <f ca="1">IFERROR(__xludf.DUMMYFUNCTION("""COMPUTED_VALUE"""),46098.2368403819)</f>
        <v>46098.236840381898</v>
      </c>
      <c r="B1670" s="1" t="str">
        <f ca="1">IFERROR(__xludf.DUMMYFUNCTION("""COMPUTED_VALUE"""),"領料")</f>
        <v>領料</v>
      </c>
      <c r="C1670" s="1" t="str">
        <f ca="1">IFERROR(__xludf.DUMMYFUNCTION("""COMPUTED_VALUE"""),"MM0260000259")</f>
        <v>MM0260000259</v>
      </c>
      <c r="D1670" s="1" t="str">
        <f ca="1">IFERROR(__xludf.DUMMYFUNCTION("""COMPUTED_VALUE"""),"All/SB")</f>
        <v>All/SB</v>
      </c>
      <c r="E1670" s="1" t="str">
        <f ca="1">IFERROR(__xludf.DUMMYFUNCTION("""COMPUTED_VALUE"""),"p1/庫存")</f>
        <v>p1/庫存</v>
      </c>
      <c r="F1670" s="1">
        <f ca="1">IFERROR(__xludf.DUMMYFUNCTION("""COMPUTED_VALUE"""),3)</f>
        <v>3</v>
      </c>
      <c r="G1670" s="1"/>
      <c r="H1670" s="1" t="str">
        <f ca="1">IFERROR(__xludf.DUMMYFUNCTION("""COMPUTED_VALUE"""),"P3_4006,P3_4007,P3_9003")</f>
        <v>P3_4006,P3_4007,P3_9003</v>
      </c>
      <c r="I1670" s="1" t="str">
        <f ca="1">IFERROR(__xludf.DUMMYFUNCTION("""COMPUTED_VALUE"""),"Nick")</f>
        <v>Nick</v>
      </c>
    </row>
    <row r="1671" spans="1:9" ht="12.7" x14ac:dyDescent="0.4">
      <c r="A1671" s="2">
        <f ca="1">IFERROR(__xludf.DUMMYFUNCTION("""COMPUTED_VALUE"""),46100.2002512615)</f>
        <v>46100.2002512615</v>
      </c>
      <c r="B1671" s="1" t="str">
        <f ca="1">IFERROR(__xludf.DUMMYFUNCTION("""COMPUTED_VALUE"""),"領料")</f>
        <v>領料</v>
      </c>
      <c r="C1671" s="1" t="str">
        <f ca="1">IFERROR(__xludf.DUMMYFUNCTION("""COMPUTED_VALUE"""),"MM0260000259")</f>
        <v>MM0260000259</v>
      </c>
      <c r="D1671" s="1" t="str">
        <f ca="1">IFERROR(__xludf.DUMMYFUNCTION("""COMPUTED_VALUE"""),"All/SB")</f>
        <v>All/SB</v>
      </c>
      <c r="E1671" s="1" t="str">
        <f ca="1">IFERROR(__xludf.DUMMYFUNCTION("""COMPUTED_VALUE"""),"p2/庫存")</f>
        <v>p2/庫存</v>
      </c>
      <c r="F1671" s="1">
        <f ca="1">IFERROR(__xludf.DUMMYFUNCTION("""COMPUTED_VALUE"""),7)</f>
        <v>7</v>
      </c>
      <c r="G1671" s="1"/>
      <c r="H1671" s="1" t="str">
        <f ca="1">IFERROR(__xludf.DUMMYFUNCTION("""COMPUTED_VALUE"""),"P2_4001，P2_4002，P2_4003，P2_4004，P2_7001，P2_7002，P2_7003，")</f>
        <v>P2_4001，P2_4002，P2_4003，P2_4004，P2_7001，P2_7002，P2_7003，</v>
      </c>
      <c r="I1671" s="1" t="str">
        <f ca="1">IFERROR(__xludf.DUMMYFUNCTION("""COMPUTED_VALUE"""),"Jason")</f>
        <v>Jason</v>
      </c>
    </row>
    <row r="1672" spans="1:9" ht="12.7" x14ac:dyDescent="0.4">
      <c r="A1672" s="2">
        <f ca="1">IFERROR(__xludf.DUMMYFUNCTION("""COMPUTED_VALUE"""),46100.2011385879)</f>
        <v>46100.201138587901</v>
      </c>
      <c r="B1672" s="1" t="str">
        <f ca="1">IFERROR(__xludf.DUMMYFUNCTION("""COMPUTED_VALUE"""),"領料")</f>
        <v>領料</v>
      </c>
      <c r="C1672" s="1" t="str">
        <f ca="1">IFERROR(__xludf.DUMMYFUNCTION("""COMPUTED_VALUE"""),"A00700000862")</f>
        <v>A00700000862</v>
      </c>
      <c r="D1672" s="1" t="str">
        <f ca="1">IFERROR(__xludf.DUMMYFUNCTION("""COMPUTED_VALUE"""),"All/SB")</f>
        <v>All/SB</v>
      </c>
      <c r="E1672" s="1" t="str">
        <f ca="1">IFERROR(__xludf.DUMMYFUNCTION("""COMPUTED_VALUE"""),"p2/庫存")</f>
        <v>p2/庫存</v>
      </c>
      <c r="F1672" s="1">
        <f ca="1">IFERROR(__xludf.DUMMYFUNCTION("""COMPUTED_VALUE"""),3)</f>
        <v>3</v>
      </c>
      <c r="G1672" s="1"/>
      <c r="H1672" s="1" t="str">
        <f ca="1">IFERROR(__xludf.DUMMYFUNCTION("""COMPUTED_VALUE"""),"P2_4005")</f>
        <v>P2_4005</v>
      </c>
      <c r="I1672" s="1" t="str">
        <f ca="1">IFERROR(__xludf.DUMMYFUNCTION("""COMPUTED_VALUE"""),"Jason")</f>
        <v>Jason</v>
      </c>
    </row>
    <row r="1673" spans="1:9" ht="12.7" x14ac:dyDescent="0.4">
      <c r="A1673" s="2">
        <f ca="1">IFERROR(__xludf.DUMMYFUNCTION("""COMPUTED_VALUE"""),46106.4698421412)</f>
        <v>46106.469842141203</v>
      </c>
      <c r="B1673" s="1" t="str">
        <f ca="1">IFERROR(__xludf.DUMMYFUNCTION("""COMPUTED_VALUE"""),"送修")</f>
        <v>送修</v>
      </c>
      <c r="C1673" s="1" t="str">
        <f ca="1">IFERROR(__xludf.DUMMYFUNCTION("""COMPUTED_VALUE"""),"ME0020000562")</f>
        <v>ME0020000562</v>
      </c>
      <c r="D1673" s="1" t="str">
        <f ca="1">IFERROR(__xludf.DUMMYFUNCTION("""COMPUTED_VALUE"""),"All/共用")</f>
        <v>All/共用</v>
      </c>
      <c r="E1673" s="1" t="str">
        <f ca="1">IFERROR(__xludf.DUMMYFUNCTION("""COMPUTED_VALUE"""),"p1/庫存")</f>
        <v>p1/庫存</v>
      </c>
      <c r="F1673" s="1">
        <f ca="1">IFERROR(__xludf.DUMMYFUNCTION("""COMPUTED_VALUE"""),1)</f>
        <v>1</v>
      </c>
      <c r="G1673" s="1" t="str">
        <f ca="1">IFERROR(__xludf.DUMMYFUNCTION("""COMPUTED_VALUE"""),"2H96NQ3")</f>
        <v>2H96NQ3</v>
      </c>
      <c r="H1673" s="1" t="str">
        <f ca="1">IFERROR(__xludf.DUMMYFUNCTION("""COMPUTED_VALUE"""),"P3")</f>
        <v>P3</v>
      </c>
      <c r="I1673" s="1" t="str">
        <f ca="1">IFERROR(__xludf.DUMMYFUNCTION("""COMPUTED_VALUE"""),"Chiao Yu")</f>
        <v>Chiao Yu</v>
      </c>
    </row>
    <row r="1674" spans="1:9" ht="12.7" x14ac:dyDescent="0.4">
      <c r="A1674" s="2">
        <f ca="1">IFERROR(__xludf.DUMMYFUNCTION("""COMPUTED_VALUE"""),46106.6330252662)</f>
        <v>46106.633025266201</v>
      </c>
      <c r="B1674" s="1" t="str">
        <f ca="1">IFERROR(__xludf.DUMMYFUNCTION("""COMPUTED_VALUE"""),"領料")</f>
        <v>領料</v>
      </c>
      <c r="C1674" s="1" t="str">
        <f ca="1">IFERROR(__xludf.DUMMYFUNCTION("""COMPUTED_VALUE"""),"A00700000836")</f>
        <v>A00700000836</v>
      </c>
      <c r="D1674" s="1" t="str">
        <f ca="1">IFERROR(__xludf.DUMMYFUNCTION("""COMPUTED_VALUE"""),"All/SB")</f>
        <v>All/SB</v>
      </c>
      <c r="E1674" s="1" t="str">
        <f ca="1">IFERROR(__xludf.DUMMYFUNCTION("""COMPUTED_VALUE"""),"p1/庫存")</f>
        <v>p1/庫存</v>
      </c>
      <c r="F1674" s="1">
        <f ca="1">IFERROR(__xludf.DUMMYFUNCTION("""COMPUTED_VALUE"""),1)</f>
        <v>1</v>
      </c>
      <c r="G1674" s="1"/>
      <c r="H1674" s="1" t="str">
        <f ca="1">IFERROR(__xludf.DUMMYFUNCTION("""COMPUTED_VALUE"""),"P3_4006")</f>
        <v>P3_4006</v>
      </c>
      <c r="I1674" s="1" t="str">
        <f ca="1">IFERROR(__xludf.DUMMYFUNCTION("""COMPUTED_VALUE"""),"Chiao Yu")</f>
        <v>Chiao Yu</v>
      </c>
    </row>
    <row r="1675" spans="1:9" ht="12.7" x14ac:dyDescent="0.4">
      <c r="A1675" s="2">
        <f ca="1">IFERROR(__xludf.DUMMYFUNCTION("""COMPUTED_VALUE"""),46112.5692771412)</f>
        <v>46112.5692771412</v>
      </c>
      <c r="B1675" s="1" t="str">
        <f ca="1">IFERROR(__xludf.DUMMYFUNCTION("""COMPUTED_VALUE"""),"領料")</f>
        <v>領料</v>
      </c>
      <c r="C1675" s="1" t="str">
        <f ca="1">IFERROR(__xludf.DUMMYFUNCTION("""COMPUTED_VALUE"""),"ME0070000140")</f>
        <v>ME0070000140</v>
      </c>
      <c r="D1675" s="1" t="str">
        <f ca="1">IFERROR(__xludf.DUMMYFUNCTION("""COMPUTED_VALUE"""),"All/BA")</f>
        <v>All/BA</v>
      </c>
      <c r="E1675" s="1" t="str">
        <f ca="1">IFERROR(__xludf.DUMMYFUNCTION("""COMPUTED_VALUE"""),"p2/庫存")</f>
        <v>p2/庫存</v>
      </c>
      <c r="F1675" s="1">
        <f ca="1">IFERROR(__xludf.DUMMYFUNCTION("""COMPUTED_VALUE"""),2)</f>
        <v>2</v>
      </c>
      <c r="G1675" s="1" t="str">
        <f ca="1">IFERROR(__xludf.DUMMYFUNCTION("""COMPUTED_VALUE"""),"100A-2523D0004-2307
100A-2523D0019-2307")</f>
        <v>100A-2523D0004-2307
100A-2523D0019-2307</v>
      </c>
      <c r="H1675" s="1" t="str">
        <f ca="1">IFERROR(__xludf.DUMMYFUNCTION("""COMPUTED_VALUE"""),"P2_054")</f>
        <v>P2_054</v>
      </c>
      <c r="I1675" s="1" t="str">
        <f ca="1">IFERROR(__xludf.DUMMYFUNCTION("""COMPUTED_VALUE"""),"Chiao Yu")</f>
        <v>Chiao Yu</v>
      </c>
    </row>
    <row r="1676" spans="1:9" ht="12.7" x14ac:dyDescent="0.4">
      <c r="A1676" s="2">
        <f ca="1">IFERROR(__xludf.DUMMYFUNCTION("""COMPUTED_VALUE"""),46112.5734834259)</f>
        <v>46112.573483425898</v>
      </c>
      <c r="B1676" s="1" t="str">
        <f ca="1">IFERROR(__xludf.DUMMYFUNCTION("""COMPUTED_VALUE"""),"領料")</f>
        <v>領料</v>
      </c>
      <c r="C1676" s="1" t="str">
        <f ca="1">IFERROR(__xludf.DUMMYFUNCTION("""COMPUTED_VALUE"""),"MM0260000077")</f>
        <v>MM0260000077</v>
      </c>
      <c r="D1676" s="1" t="str">
        <f ca="1">IFERROR(__xludf.DUMMYFUNCTION("""COMPUTED_VALUE"""),"All/BA")</f>
        <v>All/BA</v>
      </c>
      <c r="E1676" s="1" t="str">
        <f ca="1">IFERROR(__xludf.DUMMYFUNCTION("""COMPUTED_VALUE"""),"p2/庫存")</f>
        <v>p2/庫存</v>
      </c>
      <c r="F1676" s="1">
        <f ca="1">IFERROR(__xludf.DUMMYFUNCTION("""COMPUTED_VALUE"""),2)</f>
        <v>2</v>
      </c>
      <c r="G1676" s="1"/>
      <c r="H1676" s="1" t="str">
        <f ca="1">IFERROR(__xludf.DUMMYFUNCTION("""COMPUTED_VALUE"""),"P2_054")</f>
        <v>P2_054</v>
      </c>
      <c r="I1676" s="1" t="str">
        <f ca="1">IFERROR(__xludf.DUMMYFUNCTION("""COMPUTED_VALUE"""),"Chiao Yu")</f>
        <v>Chiao Yu</v>
      </c>
    </row>
    <row r="1677" spans="1:9" ht="12.7" x14ac:dyDescent="0.4">
      <c r="A1677" s="2">
        <f ca="1">IFERROR(__xludf.DUMMYFUNCTION("""COMPUTED_VALUE"""),46112.5834714583)</f>
        <v>46112.583471458303</v>
      </c>
      <c r="B1677" s="1" t="str">
        <f ca="1">IFERROR(__xludf.DUMMYFUNCTION("""COMPUTED_VALUE"""),"領料")</f>
        <v>領料</v>
      </c>
      <c r="C1677" s="1" t="str">
        <f ca="1">IFERROR(__xludf.DUMMYFUNCTION("""COMPUTED_VALUE"""),"ME0030000076")</f>
        <v>ME0030000076</v>
      </c>
      <c r="D1677" s="1" t="str">
        <f ca="1">IFERROR(__xludf.DUMMYFUNCTION("""COMPUTED_VALUE"""),"All/共用")</f>
        <v>All/共用</v>
      </c>
      <c r="E1677" s="1" t="str">
        <f ca="1">IFERROR(__xludf.DUMMYFUNCTION("""COMPUTED_VALUE"""),"p2/庫存")</f>
        <v>p2/庫存</v>
      </c>
      <c r="F1677" s="1">
        <f ca="1">IFERROR(__xludf.DUMMYFUNCTION("""COMPUTED_VALUE"""),1)</f>
        <v>1</v>
      </c>
      <c r="G1677" s="1" t="str">
        <f ca="1">IFERROR(__xludf.DUMMYFUNCTION("""COMPUTED_VALUE"""),"22443F4011347")</f>
        <v>22443F4011347</v>
      </c>
      <c r="H1677" s="1" t="str">
        <f ca="1">IFERROR(__xludf.DUMMYFUNCTION("""COMPUTED_VALUE"""),"P2")</f>
        <v>P2</v>
      </c>
      <c r="I1677" s="1" t="str">
        <f ca="1">IFERROR(__xludf.DUMMYFUNCTION("""COMPUTED_VALUE"""),"Chiao Yu")</f>
        <v>Chiao Yu</v>
      </c>
    </row>
    <row r="1678" spans="1:9" ht="12.7" x14ac:dyDescent="0.4">
      <c r="A1678" s="2">
        <f ca="1">IFERROR(__xludf.DUMMYFUNCTION("""COMPUTED_VALUE"""),46112.7402266319)</f>
        <v>46112.740226631897</v>
      </c>
      <c r="B1678" s="1" t="str">
        <f ca="1">IFERROR(__xludf.DUMMYFUNCTION("""COMPUTED_VALUE"""),"進貨")</f>
        <v>進貨</v>
      </c>
      <c r="C1678" s="1" t="str">
        <f ca="1">IFERROR(__xludf.DUMMYFUNCTION("""COMPUTED_VALUE"""),"MM0010000125")</f>
        <v>MM0010000125</v>
      </c>
      <c r="D1678" s="1" t="str">
        <f ca="1">IFERROR(__xludf.DUMMYFUNCTION("""COMPUTED_VALUE"""),"All/RL")</f>
        <v>All/RL</v>
      </c>
      <c r="E1678" s="1" t="str">
        <f ca="1">IFERROR(__xludf.DUMMYFUNCTION("""COMPUTED_VALUE"""),"p2/庫存")</f>
        <v>p2/庫存</v>
      </c>
      <c r="F1678" s="1">
        <f ca="1">IFERROR(__xludf.DUMMYFUNCTION("""COMPUTED_VALUE"""),4)</f>
        <v>4</v>
      </c>
      <c r="G1678" s="1"/>
      <c r="H1678" s="1" t="str">
        <f ca="1">IFERROR(__xludf.DUMMYFUNCTION("""COMPUTED_VALUE"""),"P2")</f>
        <v>P2</v>
      </c>
      <c r="I1678" s="1" t="str">
        <f ca="1">IFERROR(__xludf.DUMMYFUNCTION("""COMPUTED_VALUE"""),"Simon")</f>
        <v>Simon</v>
      </c>
    </row>
    <row r="1679" spans="1:9" ht="12.7" x14ac:dyDescent="0.4">
      <c r="A1679" s="2">
        <f ca="1">IFERROR(__xludf.DUMMYFUNCTION("""COMPUTED_VALUE"""),46112.7403582175)</f>
        <v>46112.740358217503</v>
      </c>
      <c r="B1679" s="1" t="str">
        <f ca="1">IFERROR(__xludf.DUMMYFUNCTION("""COMPUTED_VALUE"""),"進貨")</f>
        <v>進貨</v>
      </c>
      <c r="C1679" s="1" t="str">
        <f ca="1">IFERROR(__xludf.DUMMYFUNCTION("""COMPUTED_VALUE"""),"ME0120000085")</f>
        <v>ME0120000085</v>
      </c>
      <c r="D1679" s="1" t="str">
        <f ca="1">IFERROR(__xludf.DUMMYFUNCTION("""COMPUTED_VALUE"""),"All/BA")</f>
        <v>All/BA</v>
      </c>
      <c r="E1679" s="1" t="str">
        <f ca="1">IFERROR(__xludf.DUMMYFUNCTION("""COMPUTED_VALUE"""),"p1/庫存")</f>
        <v>p1/庫存</v>
      </c>
      <c r="F1679" s="1">
        <f ca="1">IFERROR(__xludf.DUMMYFUNCTION("""COMPUTED_VALUE"""),186)</f>
        <v>186</v>
      </c>
      <c r="G1679" s="1"/>
      <c r="H1679" s="1" t="str">
        <f ca="1">IFERROR(__xludf.DUMMYFUNCTION("""COMPUTED_VALUE"""),"P3")</f>
        <v>P3</v>
      </c>
      <c r="I1679" s="1" t="str">
        <f ca="1">IFERROR(__xludf.DUMMYFUNCTION("""COMPUTED_VALUE"""),"Chiao Yu")</f>
        <v>Chiao Yu</v>
      </c>
    </row>
    <row r="1680" spans="1:9" ht="12.7" x14ac:dyDescent="0.4">
      <c r="A1680" s="2">
        <f ca="1">IFERROR(__xludf.DUMMYFUNCTION("""COMPUTED_VALUE"""),46112.740928368)</f>
        <v>46112.740928368003</v>
      </c>
      <c r="B1680" s="1" t="str">
        <f ca="1">IFERROR(__xludf.DUMMYFUNCTION("""COMPUTED_VALUE"""),"進貨")</f>
        <v>進貨</v>
      </c>
      <c r="C1680" s="1" t="str">
        <f ca="1">IFERROR(__xludf.DUMMYFUNCTION("""COMPUTED_VALUE"""),"MM0260000200")</f>
        <v>MM0260000200</v>
      </c>
      <c r="D1680" s="1" t="str">
        <f ca="1">IFERROR(__xludf.DUMMYFUNCTION("""COMPUTED_VALUE"""),"All/RL")</f>
        <v>All/RL</v>
      </c>
      <c r="E1680" s="1" t="str">
        <f ca="1">IFERROR(__xludf.DUMMYFUNCTION("""COMPUTED_VALUE"""),"p2/庫存")</f>
        <v>p2/庫存</v>
      </c>
      <c r="F1680" s="1">
        <f ca="1">IFERROR(__xludf.DUMMYFUNCTION("""COMPUTED_VALUE"""),4)</f>
        <v>4</v>
      </c>
      <c r="G1680" s="1"/>
      <c r="H1680" s="1" t="str">
        <f ca="1">IFERROR(__xludf.DUMMYFUNCTION("""COMPUTED_VALUE"""),"P2")</f>
        <v>P2</v>
      </c>
      <c r="I1680" s="1" t="str">
        <f ca="1">IFERROR(__xludf.DUMMYFUNCTION("""COMPUTED_VALUE"""),"Simon")</f>
        <v>Simon</v>
      </c>
    </row>
    <row r="1681" spans="1:9" ht="12.7" x14ac:dyDescent="0.4">
      <c r="A1681" s="2">
        <f ca="1">IFERROR(__xludf.DUMMYFUNCTION("""COMPUTED_VALUE"""),46112.7410568287)</f>
        <v>46112.741056828701</v>
      </c>
      <c r="B1681" s="1" t="str">
        <f ca="1">IFERROR(__xludf.DUMMYFUNCTION("""COMPUTED_VALUE"""),"進貨")</f>
        <v>進貨</v>
      </c>
      <c r="C1681" s="1" t="str">
        <f ca="1">IFERROR(__xludf.DUMMYFUNCTION("""COMPUTED_VALUE"""),"A00700000837")</f>
        <v>A00700000837</v>
      </c>
      <c r="D1681" s="1" t="str">
        <f ca="1">IFERROR(__xludf.DUMMYFUNCTION("""COMPUTED_VALUE"""),"All/COLOR")</f>
        <v>All/COLOR</v>
      </c>
      <c r="E1681" s="1" t="str">
        <f ca="1">IFERROR(__xludf.DUMMYFUNCTION("""COMPUTED_VALUE"""),"p1/庫存")</f>
        <v>p1/庫存</v>
      </c>
      <c r="F1681" s="1">
        <f ca="1">IFERROR(__xludf.DUMMYFUNCTION("""COMPUTED_VALUE"""),3)</f>
        <v>3</v>
      </c>
      <c r="G1681" s="1"/>
      <c r="H1681" s="1" t="str">
        <f ca="1">IFERROR(__xludf.DUMMYFUNCTION("""COMPUTED_VALUE"""),"P3")</f>
        <v>P3</v>
      </c>
      <c r="I1681" s="1" t="str">
        <f ca="1">IFERROR(__xludf.DUMMYFUNCTION("""COMPUTED_VALUE"""),"Chiao Yu")</f>
        <v>Chiao Yu</v>
      </c>
    </row>
    <row r="1682" spans="1:9" ht="12.7" x14ac:dyDescent="0.4">
      <c r="A1682" s="2">
        <f ca="1">IFERROR(__xludf.DUMMYFUNCTION("""COMPUTED_VALUE"""),46112.7414254282)</f>
        <v>46112.741425428198</v>
      </c>
      <c r="B1682" s="1" t="str">
        <f ca="1">IFERROR(__xludf.DUMMYFUNCTION("""COMPUTED_VALUE"""),"進貨")</f>
        <v>進貨</v>
      </c>
      <c r="C1682" s="1" t="str">
        <f ca="1">IFERROR(__xludf.DUMMYFUNCTION("""COMPUTED_VALUE"""),"A00700000862")</f>
        <v>A00700000862</v>
      </c>
      <c r="D1682" s="1" t="str">
        <f ca="1">IFERROR(__xludf.DUMMYFUNCTION("""COMPUTED_VALUE"""),"All/SB")</f>
        <v>All/SB</v>
      </c>
      <c r="E1682" s="1" t="str">
        <f ca="1">IFERROR(__xludf.DUMMYFUNCTION("""COMPUTED_VALUE"""),"p1/庫存")</f>
        <v>p1/庫存</v>
      </c>
      <c r="F1682" s="1">
        <f ca="1">IFERROR(__xludf.DUMMYFUNCTION("""COMPUTED_VALUE"""),6)</f>
        <v>6</v>
      </c>
      <c r="G1682" s="1"/>
      <c r="H1682" s="1" t="str">
        <f ca="1">IFERROR(__xludf.DUMMYFUNCTION("""COMPUTED_VALUE"""),"P3")</f>
        <v>P3</v>
      </c>
      <c r="I1682" s="1" t="str">
        <f ca="1">IFERROR(__xludf.DUMMYFUNCTION("""COMPUTED_VALUE"""),"Chiao Yu")</f>
        <v>Chiao Yu</v>
      </c>
    </row>
    <row r="1683" spans="1:9" ht="12.7" x14ac:dyDescent="0.4">
      <c r="A1683" s="2">
        <f ca="1">IFERROR(__xludf.DUMMYFUNCTION("""COMPUTED_VALUE"""),46112.7414759374)</f>
        <v>46112.741475937401</v>
      </c>
      <c r="B1683" s="1" t="str">
        <f ca="1">IFERROR(__xludf.DUMMYFUNCTION("""COMPUTED_VALUE"""),"進貨")</f>
        <v>進貨</v>
      </c>
      <c r="C1683" s="1" t="str">
        <f ca="1">IFERROR(__xludf.DUMMYFUNCTION("""COMPUTED_VALUE"""),"MM0260000199")</f>
        <v>MM0260000199</v>
      </c>
      <c r="D1683" s="1" t="str">
        <f ca="1">IFERROR(__xludf.DUMMYFUNCTION("""COMPUTED_VALUE"""),"All/RL")</f>
        <v>All/RL</v>
      </c>
      <c r="E1683" s="1" t="str">
        <f ca="1">IFERROR(__xludf.DUMMYFUNCTION("""COMPUTED_VALUE"""),"p2/庫存")</f>
        <v>p2/庫存</v>
      </c>
      <c r="F1683" s="1">
        <f ca="1">IFERROR(__xludf.DUMMYFUNCTION("""COMPUTED_VALUE"""),4)</f>
        <v>4</v>
      </c>
      <c r="G1683" s="1"/>
      <c r="H1683" s="1" t="str">
        <f ca="1">IFERROR(__xludf.DUMMYFUNCTION("""COMPUTED_VALUE"""),"P2")</f>
        <v>P2</v>
      </c>
      <c r="I1683" s="1" t="str">
        <f ca="1">IFERROR(__xludf.DUMMYFUNCTION("""COMPUTED_VALUE"""),"Simon")</f>
        <v>Simon</v>
      </c>
    </row>
    <row r="1684" spans="1:9" ht="12.7" x14ac:dyDescent="0.4">
      <c r="A1684" s="2">
        <f ca="1">IFERROR(__xludf.DUMMYFUNCTION("""COMPUTED_VALUE"""),46112.741847118)</f>
        <v>46112.741847117999</v>
      </c>
      <c r="B1684" s="1" t="str">
        <f ca="1">IFERROR(__xludf.DUMMYFUNCTION("""COMPUTED_VALUE"""),"進貨")</f>
        <v>進貨</v>
      </c>
      <c r="C1684" s="1" t="str">
        <f ca="1">IFERROR(__xludf.DUMMYFUNCTION("""COMPUTED_VALUE"""),"MM0010000125")</f>
        <v>MM0010000125</v>
      </c>
      <c r="D1684" s="1" t="str">
        <f ca="1">IFERROR(__xludf.DUMMYFUNCTION("""COMPUTED_VALUE"""),"All/RL")</f>
        <v>All/RL</v>
      </c>
      <c r="E1684" s="1" t="str">
        <f ca="1">IFERROR(__xludf.DUMMYFUNCTION("""COMPUTED_VALUE"""),"p1/庫存")</f>
        <v>p1/庫存</v>
      </c>
      <c r="F1684" s="1">
        <f ca="1">IFERROR(__xludf.DUMMYFUNCTION("""COMPUTED_VALUE"""),1)</f>
        <v>1</v>
      </c>
      <c r="G1684" s="1"/>
      <c r="H1684" s="1" t="str">
        <f ca="1">IFERROR(__xludf.DUMMYFUNCTION("""COMPUTED_VALUE"""),"P3")</f>
        <v>P3</v>
      </c>
      <c r="I1684" s="1" t="str">
        <f ca="1">IFERROR(__xludf.DUMMYFUNCTION("""COMPUTED_VALUE"""),"Chiao Yu")</f>
        <v>Chiao Yu</v>
      </c>
    </row>
    <row r="1685" spans="1:9" ht="12.7" x14ac:dyDescent="0.4">
      <c r="A1685" s="2">
        <f ca="1">IFERROR(__xludf.DUMMYFUNCTION("""COMPUTED_VALUE"""),46112.7421649421)</f>
        <v>46112.742164942101</v>
      </c>
      <c r="B1685" s="1" t="str">
        <f ca="1">IFERROR(__xludf.DUMMYFUNCTION("""COMPUTED_VALUE"""),"進貨")</f>
        <v>進貨</v>
      </c>
      <c r="C1685" s="1" t="str">
        <f ca="1">IFERROR(__xludf.DUMMYFUNCTION("""COMPUTED_VALUE"""),"MM0260000199")</f>
        <v>MM0260000199</v>
      </c>
      <c r="D1685" s="1" t="str">
        <f ca="1">IFERROR(__xludf.DUMMYFUNCTION("""COMPUTED_VALUE"""),"All/RL")</f>
        <v>All/RL</v>
      </c>
      <c r="E1685" s="1" t="str">
        <f ca="1">IFERROR(__xludf.DUMMYFUNCTION("""COMPUTED_VALUE"""),"p1/庫存")</f>
        <v>p1/庫存</v>
      </c>
      <c r="F1685" s="1">
        <f ca="1">IFERROR(__xludf.DUMMYFUNCTION("""COMPUTED_VALUE"""),1)</f>
        <v>1</v>
      </c>
      <c r="G1685" s="1"/>
      <c r="H1685" s="1" t="str">
        <f ca="1">IFERROR(__xludf.DUMMYFUNCTION("""COMPUTED_VALUE"""),"P3")</f>
        <v>P3</v>
      </c>
      <c r="I1685" s="1" t="str">
        <f ca="1">IFERROR(__xludf.DUMMYFUNCTION("""COMPUTED_VALUE"""),"Chiao Yu")</f>
        <v>Chiao Yu</v>
      </c>
    </row>
    <row r="1686" spans="1:9" ht="12.7" x14ac:dyDescent="0.4">
      <c r="A1686" s="2">
        <f ca="1">IFERROR(__xludf.DUMMYFUNCTION("""COMPUTED_VALUE"""),46112.7421822337)</f>
        <v>46112.742182233698</v>
      </c>
      <c r="B1686" s="1" t="str">
        <f ca="1">IFERROR(__xludf.DUMMYFUNCTION("""COMPUTED_VALUE"""),"進貨")</f>
        <v>進貨</v>
      </c>
      <c r="C1686" s="1" t="str">
        <f ca="1">IFERROR(__xludf.DUMMYFUNCTION("""COMPUTED_VALUE"""),"MM0260000249")</f>
        <v>MM0260000249</v>
      </c>
      <c r="D1686" s="1" t="str">
        <f ca="1">IFERROR(__xludf.DUMMYFUNCTION("""COMPUTED_VALUE"""),"All/RL")</f>
        <v>All/RL</v>
      </c>
      <c r="E1686" s="1" t="str">
        <f ca="1">IFERROR(__xludf.DUMMYFUNCTION("""COMPUTED_VALUE"""),"p2/庫存")</f>
        <v>p2/庫存</v>
      </c>
      <c r="F1686" s="1">
        <f ca="1">IFERROR(__xludf.DUMMYFUNCTION("""COMPUTED_VALUE"""),4)</f>
        <v>4</v>
      </c>
      <c r="G1686" s="1"/>
      <c r="H1686" s="1" t="str">
        <f ca="1">IFERROR(__xludf.DUMMYFUNCTION("""COMPUTED_VALUE"""),"P2")</f>
        <v>P2</v>
      </c>
      <c r="I1686" s="1" t="str">
        <f ca="1">IFERROR(__xludf.DUMMYFUNCTION("""COMPUTED_VALUE"""),"Simon")</f>
        <v>Simon</v>
      </c>
    </row>
    <row r="1687" spans="1:9" ht="12.7" x14ac:dyDescent="0.4">
      <c r="A1687" s="2">
        <f ca="1">IFERROR(__xludf.DUMMYFUNCTION("""COMPUTED_VALUE"""),46112.7424722106)</f>
        <v>46112.742472210601</v>
      </c>
      <c r="B1687" s="1" t="str">
        <f ca="1">IFERROR(__xludf.DUMMYFUNCTION("""COMPUTED_VALUE"""),"進貨")</f>
        <v>進貨</v>
      </c>
      <c r="C1687" s="1" t="str">
        <f ca="1">IFERROR(__xludf.DUMMYFUNCTION("""COMPUTED_VALUE"""),"MM0260000200")</f>
        <v>MM0260000200</v>
      </c>
      <c r="D1687" s="1" t="str">
        <f ca="1">IFERROR(__xludf.DUMMYFUNCTION("""COMPUTED_VALUE"""),"All/RL")</f>
        <v>All/RL</v>
      </c>
      <c r="E1687" s="1" t="str">
        <f ca="1">IFERROR(__xludf.DUMMYFUNCTION("""COMPUTED_VALUE"""),"p1/庫存")</f>
        <v>p1/庫存</v>
      </c>
      <c r="F1687" s="1">
        <f ca="1">IFERROR(__xludf.DUMMYFUNCTION("""COMPUTED_VALUE"""),1)</f>
        <v>1</v>
      </c>
      <c r="G1687" s="1"/>
      <c r="H1687" s="1" t="str">
        <f ca="1">IFERROR(__xludf.DUMMYFUNCTION("""COMPUTED_VALUE"""),"P3")</f>
        <v>P3</v>
      </c>
      <c r="I1687" s="1" t="str">
        <f ca="1">IFERROR(__xludf.DUMMYFUNCTION("""COMPUTED_VALUE"""),"Chiao Yu")</f>
        <v>Chiao Yu</v>
      </c>
    </row>
    <row r="1688" spans="1:9" ht="12.7" x14ac:dyDescent="0.4">
      <c r="A1688" s="2">
        <f ca="1">IFERROR(__xludf.DUMMYFUNCTION("""COMPUTED_VALUE"""),46112.7429649884)</f>
        <v>46112.7429649884</v>
      </c>
      <c r="B1688" s="1" t="str">
        <f ca="1">IFERROR(__xludf.DUMMYFUNCTION("""COMPUTED_VALUE"""),"進貨")</f>
        <v>進貨</v>
      </c>
      <c r="C1688" s="1" t="str">
        <f ca="1">IFERROR(__xludf.DUMMYFUNCTION("""COMPUTED_VALUE"""),"A00700000862")</f>
        <v>A00700000862</v>
      </c>
      <c r="D1688" s="1" t="str">
        <f ca="1">IFERROR(__xludf.DUMMYFUNCTION("""COMPUTED_VALUE"""),"All/SB")</f>
        <v>All/SB</v>
      </c>
      <c r="E1688" s="1" t="str">
        <f ca="1">IFERROR(__xludf.DUMMYFUNCTION("""COMPUTED_VALUE"""),"p2/庫存")</f>
        <v>p2/庫存</v>
      </c>
      <c r="F1688" s="1">
        <f ca="1">IFERROR(__xludf.DUMMYFUNCTION("""COMPUTED_VALUE"""),10)</f>
        <v>10</v>
      </c>
      <c r="G1688" s="1"/>
      <c r="H1688" s="1" t="str">
        <f ca="1">IFERROR(__xludf.DUMMYFUNCTION("""COMPUTED_VALUE"""),"P2")</f>
        <v>P2</v>
      </c>
      <c r="I1688" s="1" t="str">
        <f ca="1">IFERROR(__xludf.DUMMYFUNCTION("""COMPUTED_VALUE"""),"Simon")</f>
        <v>Simon</v>
      </c>
    </row>
    <row r="1689" spans="1:9" ht="12.7" x14ac:dyDescent="0.4">
      <c r="A1689" s="2">
        <f ca="1">IFERROR(__xludf.DUMMYFUNCTION("""COMPUTED_VALUE"""),46112.7438555324)</f>
        <v>46112.743855532397</v>
      </c>
      <c r="B1689" s="1" t="str">
        <f ca="1">IFERROR(__xludf.DUMMYFUNCTION("""COMPUTED_VALUE"""),"進貨")</f>
        <v>進貨</v>
      </c>
      <c r="C1689" s="1" t="str">
        <f ca="1">IFERROR(__xludf.DUMMYFUNCTION("""COMPUTED_VALUE"""),"A00700000837")</f>
        <v>A00700000837</v>
      </c>
      <c r="D1689" s="1" t="str">
        <f ca="1">IFERROR(__xludf.DUMMYFUNCTION("""COMPUTED_VALUE"""),"All/COLOR")</f>
        <v>All/COLOR</v>
      </c>
      <c r="E1689" s="1" t="str">
        <f ca="1">IFERROR(__xludf.DUMMYFUNCTION("""COMPUTED_VALUE"""),"p2/庫存")</f>
        <v>p2/庫存</v>
      </c>
      <c r="F1689" s="1">
        <f ca="1">IFERROR(__xludf.DUMMYFUNCTION("""COMPUTED_VALUE"""),6)</f>
        <v>6</v>
      </c>
      <c r="G1689" s="1"/>
      <c r="H1689" s="1" t="str">
        <f ca="1">IFERROR(__xludf.DUMMYFUNCTION("""COMPUTED_VALUE"""),"P2")</f>
        <v>P2</v>
      </c>
      <c r="I1689" s="1" t="str">
        <f ca="1">IFERROR(__xludf.DUMMYFUNCTION("""COMPUTED_VALUE"""),"Simon")</f>
        <v>Simon</v>
      </c>
    </row>
    <row r="1690" spans="1:9" ht="12.7" x14ac:dyDescent="0.4">
      <c r="A1690" s="2">
        <f ca="1">IFERROR(__xludf.DUMMYFUNCTION("""COMPUTED_VALUE"""),46112.7447450578)</f>
        <v>46112.744745057797</v>
      </c>
      <c r="B1690" s="1" t="str">
        <f ca="1">IFERROR(__xludf.DUMMYFUNCTION("""COMPUTED_VALUE"""),"進貨")</f>
        <v>進貨</v>
      </c>
      <c r="C1690" s="1" t="str">
        <f ca="1">IFERROR(__xludf.DUMMYFUNCTION("""COMPUTED_VALUE"""),"ME0270001294")</f>
        <v>ME0270001294</v>
      </c>
      <c r="D1690" s="1" t="str">
        <f ca="1">IFERROR(__xludf.DUMMYFUNCTION("""COMPUTED_VALUE"""),"All/SB")</f>
        <v>All/SB</v>
      </c>
      <c r="E1690" s="1" t="str">
        <f ca="1">IFERROR(__xludf.DUMMYFUNCTION("""COMPUTED_VALUE"""),"p1/庫存")</f>
        <v>p1/庫存</v>
      </c>
      <c r="F1690" s="1">
        <f ca="1">IFERROR(__xludf.DUMMYFUNCTION("""COMPUTED_VALUE"""),1)</f>
        <v>1</v>
      </c>
      <c r="G1690" s="1"/>
      <c r="H1690" s="1" t="str">
        <f ca="1">IFERROR(__xludf.DUMMYFUNCTION("""COMPUTED_VALUE"""),"P3")</f>
        <v>P3</v>
      </c>
      <c r="I1690" s="1" t="str">
        <f ca="1">IFERROR(__xludf.DUMMYFUNCTION("""COMPUTED_VALUE"""),"Chiao Yu")</f>
        <v>Chiao Yu</v>
      </c>
    </row>
    <row r="1691" spans="1:9" ht="12.7" x14ac:dyDescent="0.4">
      <c r="A1691" s="2">
        <f ca="1">IFERROR(__xludf.DUMMYFUNCTION("""COMPUTED_VALUE"""),46112.7824777777)</f>
        <v>46112.782477777699</v>
      </c>
      <c r="B1691" s="1" t="str">
        <f ca="1">IFERROR(__xludf.DUMMYFUNCTION("""COMPUTED_VALUE"""),"庫存調整")</f>
        <v>庫存調整</v>
      </c>
      <c r="C1691" s="1" t="str">
        <f ca="1">IFERROR(__xludf.DUMMYFUNCTION("""COMPUTED_VALUE"""),"MM0260000077")</f>
        <v>MM0260000077</v>
      </c>
      <c r="D1691" s="1" t="str">
        <f ca="1">IFERROR(__xludf.DUMMYFUNCTION("""COMPUTED_VALUE"""),"All/BA")</f>
        <v>All/BA</v>
      </c>
      <c r="E1691" s="1" t="str">
        <f ca="1">IFERROR(__xludf.DUMMYFUNCTION("""COMPUTED_VALUE"""),"p1/庫存")</f>
        <v>p1/庫存</v>
      </c>
      <c r="F1691" s="1">
        <f ca="1">IFERROR(__xludf.DUMMYFUNCTION("""COMPUTED_VALUE"""),-2)</f>
        <v>-2</v>
      </c>
      <c r="G1691" s="1"/>
      <c r="H1691" s="1" t="str">
        <f ca="1">IFERROR(__xludf.DUMMYFUNCTION("""COMPUTED_VALUE"""),"P1")</f>
        <v>P1</v>
      </c>
      <c r="I1691" s="1" t="str">
        <f ca="1">IFERROR(__xludf.DUMMYFUNCTION("""COMPUTED_VALUE"""),"Simon")</f>
        <v>Simon</v>
      </c>
    </row>
    <row r="1692" spans="1:9" ht="12.7" x14ac:dyDescent="0.4">
      <c r="A1692" s="2">
        <f ca="1">IFERROR(__xludf.DUMMYFUNCTION("""COMPUTED_VALUE"""),46112.7834429166)</f>
        <v>46112.783442916603</v>
      </c>
      <c r="B1692" s="1" t="str">
        <f ca="1">IFERROR(__xludf.DUMMYFUNCTION("""COMPUTED_VALUE"""),"庫存調整")</f>
        <v>庫存調整</v>
      </c>
      <c r="C1692" s="1" t="str">
        <f ca="1">IFERROR(__xludf.DUMMYFUNCTION("""COMPUTED_VALUE"""),"MM0260000077")</f>
        <v>MM0260000077</v>
      </c>
      <c r="D1692" s="1" t="str">
        <f ca="1">IFERROR(__xludf.DUMMYFUNCTION("""COMPUTED_VALUE"""),"All/BA")</f>
        <v>All/BA</v>
      </c>
      <c r="E1692" s="1" t="str">
        <f ca="1">IFERROR(__xludf.DUMMYFUNCTION("""COMPUTED_VALUE"""),"p2/庫存")</f>
        <v>p2/庫存</v>
      </c>
      <c r="F1692" s="1">
        <f ca="1">IFERROR(__xludf.DUMMYFUNCTION("""COMPUTED_VALUE"""),2)</f>
        <v>2</v>
      </c>
      <c r="G1692" s="1"/>
      <c r="H1692" s="1" t="str">
        <f ca="1">IFERROR(__xludf.DUMMYFUNCTION("""COMPUTED_VALUE"""),"P2")</f>
        <v>P2</v>
      </c>
      <c r="I1692" s="1" t="str">
        <f ca="1">IFERROR(__xludf.DUMMYFUNCTION("""COMPUTED_VALUE"""),"Simon")</f>
        <v>Simon</v>
      </c>
    </row>
    <row r="1693" spans="1:9" ht="12.7" x14ac:dyDescent="0.4">
      <c r="A1693" s="2">
        <f ca="1">IFERROR(__xludf.DUMMYFUNCTION("""COMPUTED_VALUE"""),46119.2030493634)</f>
        <v>46119.203049363401</v>
      </c>
      <c r="B1693" s="1" t="str">
        <f ca="1">IFERROR(__xludf.DUMMYFUNCTION("""COMPUTED_VALUE"""),"領料")</f>
        <v>領料</v>
      </c>
      <c r="C1693" s="1" t="str">
        <f ca="1">IFERROR(__xludf.DUMMYFUNCTION("""COMPUTED_VALUE"""),"A00700000875")</f>
        <v>A00700000875</v>
      </c>
      <c r="D1693" s="1" t="str">
        <f ca="1">IFERROR(__xludf.DUMMYFUNCTION("""COMPUTED_VALUE"""),"All/共用")</f>
        <v>All/共用</v>
      </c>
      <c r="E1693" s="1" t="str">
        <f ca="1">IFERROR(__xludf.DUMMYFUNCTION("""COMPUTED_VALUE"""),"p2/庫存")</f>
        <v>p2/庫存</v>
      </c>
      <c r="F1693" s="1">
        <f ca="1">IFERROR(__xludf.DUMMYFUNCTION("""COMPUTED_VALUE"""),0)</f>
        <v>0</v>
      </c>
      <c r="G1693" s="1"/>
      <c r="H1693" s="1" t="str">
        <f ca="1">IFERROR(__xludf.DUMMYFUNCTION("""COMPUTED_VALUE"""),"P2_9002")</f>
        <v>P2_9002</v>
      </c>
      <c r="I1693" s="1" t="str">
        <f ca="1">IFERROR(__xludf.DUMMYFUNCTION("""COMPUTED_VALUE"""),"Jason")</f>
        <v>Jason</v>
      </c>
    </row>
    <row r="1694" spans="1:9" ht="12.7" x14ac:dyDescent="0.4">
      <c r="A1694" s="2">
        <f ca="1">IFERROR(__xludf.DUMMYFUNCTION("""COMPUTED_VALUE"""),46120.5657103472)</f>
        <v>46120.565710347197</v>
      </c>
      <c r="B1694" s="1" t="str">
        <f ca="1">IFERROR(__xludf.DUMMYFUNCTION("""COMPUTED_VALUE"""),"庫存調整")</f>
        <v>庫存調整</v>
      </c>
      <c r="C1694" s="1" t="str">
        <f ca="1">IFERROR(__xludf.DUMMYFUNCTION("""COMPUTED_VALUE"""),"MM0260000157")</f>
        <v>MM0260000157</v>
      </c>
      <c r="D1694" s="1" t="str">
        <f ca="1">IFERROR(__xludf.DUMMYFUNCTION("""COMPUTED_VALUE"""),"All/BA")</f>
        <v>All/BA</v>
      </c>
      <c r="E1694" s="1" t="str">
        <f ca="1">IFERROR(__xludf.DUMMYFUNCTION("""COMPUTED_VALUE"""),"p1/庫存")</f>
        <v>p1/庫存</v>
      </c>
      <c r="F1694" s="1">
        <f ca="1">IFERROR(__xludf.DUMMYFUNCTION("""COMPUTED_VALUE"""),-20)</f>
        <v>-20</v>
      </c>
      <c r="G1694" s="1"/>
      <c r="H1694" s="1" t="str">
        <f ca="1">IFERROR(__xludf.DUMMYFUNCTION("""COMPUTED_VALUE"""),"P2")</f>
        <v>P2</v>
      </c>
      <c r="I1694" s="1" t="str">
        <f ca="1">IFERROR(__xludf.DUMMYFUNCTION("""COMPUTED_VALUE"""),"Simon")</f>
        <v>Simon</v>
      </c>
    </row>
    <row r="1695" spans="1:9" ht="12.7" x14ac:dyDescent="0.4">
      <c r="A1695" s="2">
        <f ca="1">IFERROR(__xludf.DUMMYFUNCTION("""COMPUTED_VALUE"""),46120.5663248148)</f>
        <v>46120.566324814798</v>
      </c>
      <c r="B1695" s="1" t="str">
        <f ca="1">IFERROR(__xludf.DUMMYFUNCTION("""COMPUTED_VALUE"""),"庫存調整")</f>
        <v>庫存調整</v>
      </c>
      <c r="C1695" s="1" t="str">
        <f ca="1">IFERROR(__xludf.DUMMYFUNCTION("""COMPUTED_VALUE"""),"MM0260000157")</f>
        <v>MM0260000157</v>
      </c>
      <c r="D1695" s="1" t="str">
        <f ca="1">IFERROR(__xludf.DUMMYFUNCTION("""COMPUTED_VALUE"""),"All/BA")</f>
        <v>All/BA</v>
      </c>
      <c r="E1695" s="1" t="str">
        <f ca="1">IFERROR(__xludf.DUMMYFUNCTION("""COMPUTED_VALUE"""),"p2/庫存")</f>
        <v>p2/庫存</v>
      </c>
      <c r="F1695" s="1">
        <f ca="1">IFERROR(__xludf.DUMMYFUNCTION("""COMPUTED_VALUE"""),20)</f>
        <v>20</v>
      </c>
      <c r="G1695" s="1"/>
      <c r="H1695" s="1" t="str">
        <f ca="1">IFERROR(__xludf.DUMMYFUNCTION("""COMPUTED_VALUE"""),"P2")</f>
        <v>P2</v>
      </c>
      <c r="I1695" s="1" t="str">
        <f ca="1">IFERROR(__xludf.DUMMYFUNCTION("""COMPUTED_VALUE"""),"Simon")</f>
        <v>Simon</v>
      </c>
    </row>
    <row r="1696" spans="1:9" ht="12.7" x14ac:dyDescent="0.4">
      <c r="A1696" s="2">
        <f ca="1">IFERROR(__xludf.DUMMYFUNCTION("""COMPUTED_VALUE"""),46120.6005031944)</f>
        <v>46120.600503194401</v>
      </c>
      <c r="B1696" s="1" t="str">
        <f ca="1">IFERROR(__xludf.DUMMYFUNCTION("""COMPUTED_VALUE"""),"領料")</f>
        <v>領料</v>
      </c>
      <c r="C1696" s="1" t="str">
        <f ca="1">IFERROR(__xludf.DUMMYFUNCTION("""COMPUTED_VALUE"""),"ME0020000637")</f>
        <v>ME0020000637</v>
      </c>
      <c r="D1696" s="1" t="str">
        <f ca="1">IFERROR(__xludf.DUMMYFUNCTION("""COMPUTED_VALUE"""),"All/共用")</f>
        <v>All/共用</v>
      </c>
      <c r="E1696" s="1" t="str">
        <f ca="1">IFERROR(__xludf.DUMMYFUNCTION("""COMPUTED_VALUE"""),"p1/庫存")</f>
        <v>p1/庫存</v>
      </c>
      <c r="F1696" s="1">
        <f ca="1">IFERROR(__xludf.DUMMYFUNCTION("""COMPUTED_VALUE"""),1)</f>
        <v>1</v>
      </c>
      <c r="G1696" s="1" t="str">
        <f ca="1">IFERROR(__xludf.DUMMYFUNCTION("""COMPUTED_VALUE"""),"42B0A0JQFEHE ")</f>
        <v xml:space="preserve">42B0A0JQFEHE </v>
      </c>
      <c r="H1696" s="1" t="str">
        <f ca="1">IFERROR(__xludf.DUMMYFUNCTION("""COMPUTED_VALUE"""),"P3")</f>
        <v>P3</v>
      </c>
      <c r="I1696" s="1" t="str">
        <f ca="1">IFERROR(__xludf.DUMMYFUNCTION("""COMPUTED_VALUE"""),"Chiao Yu")</f>
        <v>Chiao Yu</v>
      </c>
    </row>
    <row r="1697" spans="1:9" ht="12.7" x14ac:dyDescent="0.4">
      <c r="A1697" s="2">
        <f ca="1">IFERROR(__xludf.DUMMYFUNCTION("""COMPUTED_VALUE"""),46121.2957952546)</f>
        <v>46121.295795254598</v>
      </c>
      <c r="B1697" s="1" t="str">
        <f ca="1">IFERROR(__xludf.DUMMYFUNCTION("""COMPUTED_VALUE"""),"領料")</f>
        <v>領料</v>
      </c>
      <c r="C1697" s="1" t="str">
        <f ca="1">IFERROR(__xludf.DUMMYFUNCTION("""COMPUTED_VALUE"""),"MM0260000157 ")</f>
        <v xml:space="preserve">MM0260000157 </v>
      </c>
      <c r="D1697" s="1" t="str">
        <f ca="1">IFERROR(__xludf.DUMMYFUNCTION("""COMPUTED_VALUE"""),"All/BA")</f>
        <v>All/BA</v>
      </c>
      <c r="E1697" s="1" t="str">
        <f ca="1">IFERROR(__xludf.DUMMYFUNCTION("""COMPUTED_VALUE"""),"p2/庫存")</f>
        <v>p2/庫存</v>
      </c>
      <c r="F1697" s="1">
        <f ca="1">IFERROR(__xludf.DUMMYFUNCTION("""COMPUTED_VALUE"""),7)</f>
        <v>7</v>
      </c>
      <c r="G1697" s="1"/>
      <c r="H1697" s="1" t="str">
        <f ca="1">IFERROR(__xludf.DUMMYFUNCTION("""COMPUTED_VALUE"""),"P2_034*2、P2_031*1、P2_032*2、P2_043*1、P2_039*1")</f>
        <v>P2_034*2、P2_031*1、P2_032*2、P2_043*1、P2_039*1</v>
      </c>
      <c r="I1697" s="1" t="str">
        <f ca="1">IFERROR(__xludf.DUMMYFUNCTION("""COMPUTED_VALUE"""),"Jason")</f>
        <v>Jason</v>
      </c>
    </row>
    <row r="1698" spans="1:9" ht="12.7" x14ac:dyDescent="0.4">
      <c r="A1698" s="2">
        <f ca="1">IFERROR(__xludf.DUMMYFUNCTION("""COMPUTED_VALUE"""),46127.2494193518)</f>
        <v>46127.2494193518</v>
      </c>
      <c r="B1698" s="1" t="str">
        <f ca="1">IFERROR(__xludf.DUMMYFUNCTION("""COMPUTED_VALUE"""),"領料")</f>
        <v>領料</v>
      </c>
      <c r="C1698" s="1" t="str">
        <f ca="1">IFERROR(__xludf.DUMMYFUNCTION("""COMPUTED_VALUE"""),"A00700000862")</f>
        <v>A00700000862</v>
      </c>
      <c r="D1698" s="1" t="str">
        <f ca="1">IFERROR(__xludf.DUMMYFUNCTION("""COMPUTED_VALUE"""),"All/SB")</f>
        <v>All/SB</v>
      </c>
      <c r="E1698" s="1" t="str">
        <f ca="1">IFERROR(__xludf.DUMMYFUNCTION("""COMPUTED_VALUE"""),"p2/庫存")</f>
        <v>p2/庫存</v>
      </c>
      <c r="F1698" s="1">
        <f ca="1">IFERROR(__xludf.DUMMYFUNCTION("""COMPUTED_VALUE"""),6)</f>
        <v>6</v>
      </c>
      <c r="G1698" s="1"/>
      <c r="H1698" s="1" t="str">
        <f ca="1">IFERROR(__xludf.DUMMYFUNCTION("""COMPUTED_VALUE"""),"P2_4003，P2_4004")</f>
        <v>P2_4003，P2_4004</v>
      </c>
      <c r="I1698" s="1" t="str">
        <f ca="1">IFERROR(__xludf.DUMMYFUNCTION("""COMPUTED_VALUE"""),"Jason")</f>
        <v>Jason</v>
      </c>
    </row>
    <row r="1699" spans="1:9" ht="12.7" x14ac:dyDescent="0.4">
      <c r="A1699" s="2">
        <f ca="1">IFERROR(__xludf.DUMMYFUNCTION("""COMPUTED_VALUE"""),46128.2809756134)</f>
        <v>46128.280975613401</v>
      </c>
      <c r="B1699" s="1" t="str">
        <f ca="1">IFERROR(__xludf.DUMMYFUNCTION("""COMPUTED_VALUE"""),"領料")</f>
        <v>領料</v>
      </c>
      <c r="C1699" s="1" t="str">
        <f ca="1">IFERROR(__xludf.DUMMYFUNCTION("""COMPUTED_VALUE"""),"A00700000875")</f>
        <v>A00700000875</v>
      </c>
      <c r="D1699" s="1" t="str">
        <f ca="1">IFERROR(__xludf.DUMMYFUNCTION("""COMPUTED_VALUE"""),"All/共用")</f>
        <v>All/共用</v>
      </c>
      <c r="E1699" s="1" t="str">
        <f ca="1">IFERROR(__xludf.DUMMYFUNCTION("""COMPUTED_VALUE"""),"p1/庫存")</f>
        <v>p1/庫存</v>
      </c>
      <c r="F1699" s="1">
        <f ca="1">IFERROR(__xludf.DUMMYFUNCTION("""COMPUTED_VALUE"""),0)</f>
        <v>0</v>
      </c>
      <c r="G1699" s="1"/>
      <c r="H1699" s="1" t="str">
        <f ca="1">IFERROR(__xludf.DUMMYFUNCTION("""COMPUTED_VALUE"""),"P3_9003")</f>
        <v>P3_9003</v>
      </c>
      <c r="I1699" s="1" t="str">
        <f ca="1">IFERROR(__xludf.DUMMYFUNCTION("""COMPUTED_VALUE"""),"Jason")</f>
        <v>Jason</v>
      </c>
    </row>
    <row r="1700" spans="1:9" ht="12.7" x14ac:dyDescent="0.4">
      <c r="A1700" s="2">
        <f ca="1">IFERROR(__xludf.DUMMYFUNCTION("""COMPUTED_VALUE"""),46128.4616132523)</f>
        <v>46128.461613252301</v>
      </c>
      <c r="B1700" s="1" t="str">
        <f ca="1">IFERROR(__xludf.DUMMYFUNCTION("""COMPUTED_VALUE"""),"庫存調整")</f>
        <v>庫存調整</v>
      </c>
      <c r="C1700" s="1" t="str">
        <f ca="1">IFERROR(__xludf.DUMMYFUNCTION("""COMPUTED_VALUE"""),"A00700000875")</f>
        <v>A00700000875</v>
      </c>
      <c r="D1700" s="1" t="str">
        <f ca="1">IFERROR(__xludf.DUMMYFUNCTION("""COMPUTED_VALUE"""),"All/SB")</f>
        <v>All/SB</v>
      </c>
      <c r="E1700" s="1" t="str">
        <f ca="1">IFERROR(__xludf.DUMMYFUNCTION("""COMPUTED_VALUE"""),"p1/庫存")</f>
        <v>p1/庫存</v>
      </c>
      <c r="F1700" s="1">
        <f ca="1">IFERROR(__xludf.DUMMYFUNCTION("""COMPUTED_VALUE"""),4)</f>
        <v>4</v>
      </c>
      <c r="G1700" s="1"/>
      <c r="H1700" s="1" t="str">
        <f ca="1">IFERROR(__xludf.DUMMYFUNCTION("""COMPUTED_VALUE"""),"P3")</f>
        <v>P3</v>
      </c>
      <c r="I1700" s="1" t="str">
        <f ca="1">IFERROR(__xludf.DUMMYFUNCTION("""COMPUTED_VALUE"""),"Chiao Yu")</f>
        <v>Chiao Yu</v>
      </c>
    </row>
    <row r="1701" spans="1:9" ht="12.7" x14ac:dyDescent="0.4">
      <c r="A1701" s="2">
        <f ca="1">IFERROR(__xludf.DUMMYFUNCTION("""COMPUTED_VALUE"""),46128.4671760995)</f>
        <v>46128.467176099497</v>
      </c>
      <c r="B1701" s="1" t="str">
        <f ca="1">IFERROR(__xludf.DUMMYFUNCTION("""COMPUTED_VALUE"""),"庫存調整")</f>
        <v>庫存調整</v>
      </c>
      <c r="C1701" s="1" t="str">
        <f ca="1">IFERROR(__xludf.DUMMYFUNCTION("""COMPUTED_VALUE"""),"ME0020000622")</f>
        <v>ME0020000622</v>
      </c>
      <c r="D1701" s="1" t="str">
        <f ca="1">IFERROR(__xludf.DUMMYFUNCTION("""COMPUTED_VALUE"""),"All/共用")</f>
        <v>All/共用</v>
      </c>
      <c r="E1701" s="1" t="str">
        <f ca="1">IFERROR(__xludf.DUMMYFUNCTION("""COMPUTED_VALUE"""),"p1/庫存")</f>
        <v>p1/庫存</v>
      </c>
      <c r="F1701" s="1">
        <f ca="1">IFERROR(__xludf.DUMMYFUNCTION("""COMPUTED_VALUE"""),-5)</f>
        <v>-5</v>
      </c>
      <c r="G1701" s="1"/>
      <c r="H1701" s="1" t="str">
        <f ca="1">IFERROR(__xludf.DUMMYFUNCTION("""COMPUTED_VALUE"""),"P3")</f>
        <v>P3</v>
      </c>
      <c r="I1701" s="1" t="str">
        <f ca="1">IFERROR(__xludf.DUMMYFUNCTION("""COMPUTED_VALUE"""),"Chiao Yu")</f>
        <v>Chiao Yu</v>
      </c>
    </row>
    <row r="1702" spans="1:9" ht="12.7" x14ac:dyDescent="0.4">
      <c r="A1702" s="2">
        <f ca="1">IFERROR(__xludf.DUMMYFUNCTION("""COMPUTED_VALUE"""),46134.4566394675)</f>
        <v>46134.456639467498</v>
      </c>
      <c r="B1702" s="1" t="str">
        <f ca="1">IFERROR(__xludf.DUMMYFUNCTION("""COMPUTED_VALUE"""),"領料")</f>
        <v>領料</v>
      </c>
      <c r="C1702" s="1" t="str">
        <f ca="1">IFERROR(__xludf.DUMMYFUNCTION("""COMPUTED_VALUE"""),"AGT000000005")</f>
        <v>AGT000000005</v>
      </c>
      <c r="D1702" s="1" t="str">
        <f ca="1">IFERROR(__xludf.DUMMYFUNCTION("""COMPUTED_VALUE"""),"All/共用")</f>
        <v>All/共用</v>
      </c>
      <c r="E1702" s="1" t="str">
        <f ca="1">IFERROR(__xludf.DUMMYFUNCTION("""COMPUTED_VALUE"""),"p1/庫存")</f>
        <v>p1/庫存</v>
      </c>
      <c r="F1702" s="1">
        <f ca="1">IFERROR(__xludf.DUMMYFUNCTION("""COMPUTED_VALUE"""),1)</f>
        <v>1</v>
      </c>
      <c r="G1702" s="1"/>
      <c r="H1702" s="1" t="str">
        <f ca="1">IFERROR(__xludf.DUMMYFUNCTION("""COMPUTED_VALUE"""),"P3_025")</f>
        <v>P3_025</v>
      </c>
      <c r="I1702" s="1" t="str">
        <f ca="1">IFERROR(__xludf.DUMMYFUNCTION("""COMPUTED_VALUE"""),"Simon")</f>
        <v>Simon</v>
      </c>
    </row>
    <row r="1703" spans="1:9" ht="12.7" x14ac:dyDescent="0.4">
      <c r="A1703" s="2">
        <f ca="1">IFERROR(__xludf.DUMMYFUNCTION("""COMPUTED_VALUE"""),46136.7469650231)</f>
        <v>46136.7469650231</v>
      </c>
      <c r="B1703" s="1" t="str">
        <f ca="1">IFERROR(__xludf.DUMMYFUNCTION("""COMPUTED_VALUE"""),"領料")</f>
        <v>領料</v>
      </c>
      <c r="C1703" s="1" t="str">
        <f ca="1">IFERROR(__xludf.DUMMYFUNCTION("""COMPUTED_VALUE"""),"ME0020000637")</f>
        <v>ME0020000637</v>
      </c>
      <c r="D1703" s="1" t="str">
        <f ca="1">IFERROR(__xludf.DUMMYFUNCTION("""COMPUTED_VALUE"""),"All/BA, All/共用")</f>
        <v>All/BA, All/共用</v>
      </c>
      <c r="E1703" s="1" t="str">
        <f ca="1">IFERROR(__xludf.DUMMYFUNCTION("""COMPUTED_VALUE"""),"p1/庫存")</f>
        <v>p1/庫存</v>
      </c>
      <c r="F1703" s="1">
        <f ca="1">IFERROR(__xludf.DUMMYFUNCTION("""COMPUTED_VALUE"""),1)</f>
        <v>1</v>
      </c>
      <c r="G1703" s="1" t="str">
        <f ca="1">IFERROR(__xludf.DUMMYFUNCTION("""COMPUTED_VALUE"""),"42B0A0JVFEHE")</f>
        <v>42B0A0JVFEHE</v>
      </c>
      <c r="H1703" s="1" t="str">
        <f ca="1">IFERROR(__xludf.DUMMYFUNCTION("""COMPUTED_VALUE"""),"P3")</f>
        <v>P3</v>
      </c>
      <c r="I1703" s="1" t="str">
        <f ca="1">IFERROR(__xludf.DUMMYFUNCTION("""COMPUTED_VALUE"""),"Simon")</f>
        <v>Simon</v>
      </c>
    </row>
    <row r="1704" spans="1:9" ht="12.7" x14ac:dyDescent="0.4">
      <c r="A1704" s="2">
        <f ca="1">IFERROR(__xludf.DUMMYFUNCTION("""COMPUTED_VALUE"""),46141.4891259375)</f>
        <v>46141.4891259375</v>
      </c>
      <c r="B1704" s="1" t="str">
        <f ca="1">IFERROR(__xludf.DUMMYFUNCTION("""COMPUTED_VALUE"""),"返修")</f>
        <v>返修</v>
      </c>
      <c r="C1704" s="1" t="str">
        <f ca="1">IFERROR(__xludf.DUMMYFUNCTION("""COMPUTED_VALUE"""),"ME0020000562")</f>
        <v>ME0020000562</v>
      </c>
      <c r="D1704" s="1" t="str">
        <f ca="1">IFERROR(__xludf.DUMMYFUNCTION("""COMPUTED_VALUE"""),"All/共用")</f>
        <v>All/共用</v>
      </c>
      <c r="E1704" s="1" t="str">
        <f ca="1">IFERROR(__xludf.DUMMYFUNCTION("""COMPUTED_VALUE"""),"p1/庫存")</f>
        <v>p1/庫存</v>
      </c>
      <c r="F1704" s="1">
        <f ca="1">IFERROR(__xludf.DUMMYFUNCTION("""COMPUTED_VALUE"""),1)</f>
        <v>1</v>
      </c>
      <c r="G1704" s="1" t="str">
        <f ca="1">IFERROR(__xludf.DUMMYFUNCTION("""COMPUTED_VALUE"""),"2H96NQ3")</f>
        <v>2H96NQ3</v>
      </c>
      <c r="H1704" s="1" t="str">
        <f ca="1">IFERROR(__xludf.DUMMYFUNCTION("""COMPUTED_VALUE"""),"P3")</f>
        <v>P3</v>
      </c>
      <c r="I1704" s="1" t="str">
        <f ca="1">IFERROR(__xludf.DUMMYFUNCTION("""COMPUTED_VALUE"""),"Chiao Yu")</f>
        <v>Chiao Yu</v>
      </c>
    </row>
    <row r="1705" spans="1:9" ht="12.7" x14ac:dyDescent="0.4">
      <c r="A1705" s="2">
        <f ca="1">IFERROR(__xludf.DUMMYFUNCTION("""COMPUTED_VALUE"""),46141.6999347222)</f>
        <v>46141.699934722201</v>
      </c>
      <c r="B1705" s="1" t="str">
        <f ca="1">IFERROR(__xludf.DUMMYFUNCTION("""COMPUTED_VALUE"""),"進貨")</f>
        <v>進貨</v>
      </c>
      <c r="C1705" s="1" t="str">
        <f ca="1">IFERROR(__xludf.DUMMYFUNCTION("""COMPUTED_VALUE"""),"MM0260000259")</f>
        <v>MM0260000259</v>
      </c>
      <c r="D1705" s="1" t="str">
        <f ca="1">IFERROR(__xludf.DUMMYFUNCTION("""COMPUTED_VALUE"""),"All/SB")</f>
        <v>All/SB</v>
      </c>
      <c r="E1705" s="1" t="str">
        <f ca="1">IFERROR(__xludf.DUMMYFUNCTION("""COMPUTED_VALUE"""),"p1/庫存")</f>
        <v>p1/庫存</v>
      </c>
      <c r="F1705" s="1">
        <f ca="1">IFERROR(__xludf.DUMMYFUNCTION("""COMPUTED_VALUE"""),1)</f>
        <v>1</v>
      </c>
      <c r="G1705" s="1"/>
      <c r="H1705" s="1" t="str">
        <f ca="1">IFERROR(__xludf.DUMMYFUNCTION("""COMPUTED_VALUE"""),"P3")</f>
        <v>P3</v>
      </c>
      <c r="I1705" s="1" t="str">
        <f ca="1">IFERROR(__xludf.DUMMYFUNCTION("""COMPUTED_VALUE"""),"Chiao Yu")</f>
        <v>Chiao Yu</v>
      </c>
    </row>
    <row r="1706" spans="1:9" ht="12.7" x14ac:dyDescent="0.4">
      <c r="A1706" s="2">
        <f ca="1">IFERROR(__xludf.DUMMYFUNCTION("""COMPUTED_VALUE"""),46141.7003996412)</f>
        <v>46141.700399641202</v>
      </c>
      <c r="B1706" s="1" t="str">
        <f ca="1">IFERROR(__xludf.DUMMYFUNCTION("""COMPUTED_VALUE"""),"進貨")</f>
        <v>進貨</v>
      </c>
      <c r="C1706" s="1" t="str">
        <f ca="1">IFERROR(__xludf.DUMMYFUNCTION("""COMPUTED_VALUE"""),"MM0260000259")</f>
        <v>MM0260000259</v>
      </c>
      <c r="D1706" s="1" t="str">
        <f ca="1">IFERROR(__xludf.DUMMYFUNCTION("""COMPUTED_VALUE"""),"All/SB")</f>
        <v>All/SB</v>
      </c>
      <c r="E1706" s="1" t="str">
        <f ca="1">IFERROR(__xludf.DUMMYFUNCTION("""COMPUTED_VALUE"""),"p2/庫存")</f>
        <v>p2/庫存</v>
      </c>
      <c r="F1706" s="1">
        <f ca="1">IFERROR(__xludf.DUMMYFUNCTION("""COMPUTED_VALUE"""),2)</f>
        <v>2</v>
      </c>
      <c r="G1706" s="1"/>
      <c r="H1706" s="1" t="str">
        <f ca="1">IFERROR(__xludf.DUMMYFUNCTION("""COMPUTED_VALUE"""),"P2")</f>
        <v>P2</v>
      </c>
      <c r="I1706" s="1" t="str">
        <f ca="1">IFERROR(__xludf.DUMMYFUNCTION("""COMPUTED_VALUE"""),"Chiao Yu")</f>
        <v>Chiao Yu</v>
      </c>
    </row>
    <row r="1707" spans="1:9" ht="12.7" x14ac:dyDescent="0.4">
      <c r="A1707" s="2">
        <f ca="1">IFERROR(__xludf.DUMMYFUNCTION("""COMPUTED_VALUE"""),46141.70154603)</f>
        <v>46141.701546030003</v>
      </c>
      <c r="B1707" s="1" t="str">
        <f ca="1">IFERROR(__xludf.DUMMYFUNCTION("""COMPUTED_VALUE"""),"領料")</f>
        <v>領料</v>
      </c>
      <c r="C1707" s="1" t="str">
        <f ca="1">IFERROR(__xludf.DUMMYFUNCTION("""COMPUTED_VALUE"""),"MM0260000259")</f>
        <v>MM0260000259</v>
      </c>
      <c r="D1707" s="1" t="str">
        <f ca="1">IFERROR(__xludf.DUMMYFUNCTION("""COMPUTED_VALUE"""),"All/SB")</f>
        <v>All/SB</v>
      </c>
      <c r="E1707" s="1" t="str">
        <f ca="1">IFERROR(__xludf.DUMMYFUNCTION("""COMPUTED_VALUE"""),"p2/庫存")</f>
        <v>p2/庫存</v>
      </c>
      <c r="F1707" s="1">
        <f ca="1">IFERROR(__xludf.DUMMYFUNCTION("""COMPUTED_VALUE"""),1)</f>
        <v>1</v>
      </c>
      <c r="G1707" s="1"/>
      <c r="H1707" s="1" t="str">
        <f ca="1">IFERROR(__xludf.DUMMYFUNCTION("""COMPUTED_VALUE"""),"P2_9002")</f>
        <v>P2_9002</v>
      </c>
      <c r="I1707" s="1" t="str">
        <f ca="1">IFERROR(__xludf.DUMMYFUNCTION("""COMPUTED_VALUE"""),"Chiao Yu")</f>
        <v>Chiao Yu</v>
      </c>
    </row>
    <row r="1708" spans="1:9" ht="12.7" x14ac:dyDescent="0.4">
      <c r="A1708" s="2">
        <f ca="1">IFERROR(__xludf.DUMMYFUNCTION("""COMPUTED_VALUE"""),46141.7086155092)</f>
        <v>46141.708615509197</v>
      </c>
      <c r="B1708" s="1" t="str">
        <f ca="1">IFERROR(__xludf.DUMMYFUNCTION("""COMPUTED_VALUE"""),"返修")</f>
        <v>返修</v>
      </c>
      <c r="C1708" s="1" t="str">
        <f ca="1">IFERROR(__xludf.DUMMYFUNCTION("""COMPUTED_VALUE"""),"A00100000731")</f>
        <v>A00100000731</v>
      </c>
      <c r="D1708" s="1" t="str">
        <f ca="1">IFERROR(__xludf.DUMMYFUNCTION("""COMPUTED_VALUE"""),"All/BA")</f>
        <v>All/BA</v>
      </c>
      <c r="E1708" s="1" t="str">
        <f ca="1">IFERROR(__xludf.DUMMYFUNCTION("""COMPUTED_VALUE"""),"p2/庫存")</f>
        <v>p2/庫存</v>
      </c>
      <c r="F1708" s="1">
        <f ca="1">IFERROR(__xludf.DUMMYFUNCTION("""COMPUTED_VALUE"""),1)</f>
        <v>1</v>
      </c>
      <c r="G1708" s="1" t="str">
        <f ca="1">IFERROR(__xludf.DUMMYFUNCTION("""COMPUTED_VALUE"""),"08F249")</f>
        <v>08F249</v>
      </c>
      <c r="H1708" s="1" t="str">
        <f ca="1">IFERROR(__xludf.DUMMYFUNCTION("""COMPUTED_VALUE"""),"P2")</f>
        <v>P2</v>
      </c>
      <c r="I1708" s="1" t="str">
        <f ca="1">IFERROR(__xludf.DUMMYFUNCTION("""COMPUTED_VALUE"""),"Chiao Yu")</f>
        <v>Chiao Yu</v>
      </c>
    </row>
    <row r="1709" spans="1:9" ht="12.7" x14ac:dyDescent="0.4">
      <c r="A1709" s="2">
        <f ca="1">IFERROR(__xludf.DUMMYFUNCTION("""COMPUTED_VALUE"""),46142.4651431134)</f>
        <v>46142.465143113397</v>
      </c>
      <c r="B1709" s="1" t="str">
        <f ca="1">IFERROR(__xludf.DUMMYFUNCTION("""COMPUTED_VALUE"""),"領料")</f>
        <v>領料</v>
      </c>
      <c r="C1709" s="1" t="str">
        <f ca="1">IFERROR(__xludf.DUMMYFUNCTION("""COMPUTED_VALUE"""),"ME0020000525")</f>
        <v>ME0020000525</v>
      </c>
      <c r="D1709" s="1" t="str">
        <f ca="1">IFERROR(__xludf.DUMMYFUNCTION("""COMPUTED_VALUE"""),"All/共用")</f>
        <v>All/共用</v>
      </c>
      <c r="E1709" s="1" t="str">
        <f ca="1">IFERROR(__xludf.DUMMYFUNCTION("""COMPUTED_VALUE"""),"p1/庫存")</f>
        <v>p1/庫存</v>
      </c>
      <c r="F1709" s="1">
        <f ca="1">IFERROR(__xludf.DUMMYFUNCTION("""COMPUTED_VALUE"""),1)</f>
        <v>1</v>
      </c>
      <c r="G1709" s="1" t="str">
        <f ca="1">IFERROR(__xludf.DUMMYFUNCTION("""COMPUTED_VALUE"""),"2413E8A27F2C")</f>
        <v>2413E8A27F2C</v>
      </c>
      <c r="H1709" s="1" t="str">
        <f ca="1">IFERROR(__xludf.DUMMYFUNCTION("""COMPUTED_VALUE"""),"P3_4007")</f>
        <v>P3_4007</v>
      </c>
      <c r="I1709" s="1" t="str">
        <f ca="1">IFERROR(__xludf.DUMMYFUNCTION("""COMPUTED_VALUE"""),"Simon")</f>
        <v>Simon</v>
      </c>
    </row>
    <row r="1710" spans="1:9" ht="12.7" x14ac:dyDescent="0.4">
      <c r="A1710" s="2">
        <f ca="1">IFERROR(__xludf.DUMMYFUNCTION("""COMPUTED_VALUE"""),46142.475517905)</f>
        <v>46142.475517904997</v>
      </c>
      <c r="B1710" s="1" t="str">
        <f ca="1">IFERROR(__xludf.DUMMYFUNCTION("""COMPUTED_VALUE"""),"送修")</f>
        <v>送修</v>
      </c>
      <c r="C1710" s="1" t="str">
        <f ca="1">IFERROR(__xludf.DUMMYFUNCTION("""COMPUTED_VALUE"""),"ME0020000632")</f>
        <v>ME0020000632</v>
      </c>
      <c r="D1710" s="1" t="str">
        <f ca="1">IFERROR(__xludf.DUMMYFUNCTION("""COMPUTED_VALUE"""),"All/共用")</f>
        <v>All/共用</v>
      </c>
      <c r="E1710" s="1" t="str">
        <f ca="1">IFERROR(__xludf.DUMMYFUNCTION("""COMPUTED_VALUE"""),"p1/庫存")</f>
        <v>p1/庫存</v>
      </c>
      <c r="F1710" s="1">
        <f ca="1">IFERROR(__xludf.DUMMYFUNCTION("""COMPUTED_VALUE"""),1)</f>
        <v>1</v>
      </c>
      <c r="G1710" s="1" t="str">
        <f ca="1">IFERROR(__xludf.DUMMYFUNCTION("""COMPUTED_VALUE"""),"50026B7785B98672")</f>
        <v>50026B7785B98672</v>
      </c>
      <c r="H1710" s="1" t="str">
        <f ca="1">IFERROR(__xludf.DUMMYFUNCTION("""COMPUTED_VALUE"""),"P3_4007")</f>
        <v>P3_4007</v>
      </c>
      <c r="I1710" s="1" t="str">
        <f ca="1">IFERROR(__xludf.DUMMYFUNCTION("""COMPUTED_VALUE"""),"Simon")</f>
        <v>Simon</v>
      </c>
    </row>
    <row r="1711" spans="1:9" ht="12.7" x14ac:dyDescent="0.4">
      <c r="A1711" s="2">
        <f ca="1">IFERROR(__xludf.DUMMYFUNCTION("""COMPUTED_VALUE"""),46142.477259699)</f>
        <v>46142.477259699001</v>
      </c>
      <c r="B1711" s="1" t="str">
        <f ca="1">IFERROR(__xludf.DUMMYFUNCTION("""COMPUTED_VALUE"""),"料件上線時間")</f>
        <v>料件上線時間</v>
      </c>
      <c r="C1711" s="1" t="str">
        <f ca="1">IFERROR(__xludf.DUMMYFUNCTION("""COMPUTED_VALUE"""),"ME0020000525")</f>
        <v>ME0020000525</v>
      </c>
      <c r="D1711" s="1" t="str">
        <f ca="1">IFERROR(__xludf.DUMMYFUNCTION("""COMPUTED_VALUE"""),"All/共用")</f>
        <v>All/共用</v>
      </c>
      <c r="E1711" s="1" t="str">
        <f ca="1">IFERROR(__xludf.DUMMYFUNCTION("""COMPUTED_VALUE"""),"p1/庫存")</f>
        <v>p1/庫存</v>
      </c>
      <c r="F1711" s="1">
        <f ca="1">IFERROR(__xludf.DUMMYFUNCTION("""COMPUTED_VALUE"""),1)</f>
        <v>1</v>
      </c>
      <c r="G1711" s="1" t="str">
        <f ca="1">IFERROR(__xludf.DUMMYFUNCTION("""COMPUTED_VALUE"""),"2413E8A27F2C")</f>
        <v>2413E8A27F2C</v>
      </c>
      <c r="H1711" s="1" t="str">
        <f ca="1">IFERROR(__xludf.DUMMYFUNCTION("""COMPUTED_VALUE"""),"P3_4007")</f>
        <v>P3_4007</v>
      </c>
      <c r="I1711" s="1" t="str">
        <f ca="1">IFERROR(__xludf.DUMMYFUNCTION("""COMPUTED_VALUE"""),"Simon")</f>
        <v>Simon</v>
      </c>
    </row>
    <row r="1712" spans="1:9" ht="12.7" x14ac:dyDescent="0.4">
      <c r="A1712" s="2">
        <f ca="1">IFERROR(__xludf.DUMMYFUNCTION("""COMPUTED_VALUE"""),46142.563902118)</f>
        <v>46142.563902118003</v>
      </c>
      <c r="B1712" s="1" t="str">
        <f ca="1">IFERROR(__xludf.DUMMYFUNCTION("""COMPUTED_VALUE"""),"庫存調整")</f>
        <v>庫存調整</v>
      </c>
      <c r="C1712" s="1" t="str">
        <f ca="1">IFERROR(__xludf.DUMMYFUNCTION("""COMPUTED_VALUE"""),"ME0020000632")</f>
        <v>ME0020000632</v>
      </c>
      <c r="D1712" s="1" t="str">
        <f ca="1">IFERROR(__xludf.DUMMYFUNCTION("""COMPUTED_VALUE"""),"All/共用")</f>
        <v>All/共用</v>
      </c>
      <c r="E1712" s="1" t="str">
        <f ca="1">IFERROR(__xludf.DUMMYFUNCTION("""COMPUTED_VALUE"""),"p1/庫存")</f>
        <v>p1/庫存</v>
      </c>
      <c r="F1712" s="1">
        <f ca="1">IFERROR(__xludf.DUMMYFUNCTION("""COMPUTED_VALUE"""),1)</f>
        <v>1</v>
      </c>
      <c r="G1712" s="1"/>
      <c r="H1712" s="1" t="str">
        <f ca="1">IFERROR(__xludf.DUMMYFUNCTION("""COMPUTED_VALUE"""),"P1")</f>
        <v>P1</v>
      </c>
      <c r="I1712" s="1" t="str">
        <f ca="1">IFERROR(__xludf.DUMMYFUNCTION("""COMPUTED_VALUE"""),"Simon")</f>
        <v>Simon</v>
      </c>
    </row>
    <row r="1713" spans="1:9" ht="12.7" x14ac:dyDescent="0.4">
      <c r="A1713" s="2">
        <f ca="1">IFERROR(__xludf.DUMMYFUNCTION("""COMPUTED_VALUE"""),46142.5643955671)</f>
        <v>46142.564395567097</v>
      </c>
      <c r="B1713" s="1" t="str">
        <f ca="1">IFERROR(__xludf.DUMMYFUNCTION("""COMPUTED_VALUE"""),"庫存調整")</f>
        <v>庫存調整</v>
      </c>
      <c r="C1713" s="1" t="str">
        <f ca="1">IFERROR(__xludf.DUMMYFUNCTION("""COMPUTED_VALUE"""),"A00900000618")</f>
        <v>A00900000618</v>
      </c>
      <c r="D1713" s="1" t="str">
        <f ca="1">IFERROR(__xludf.DUMMYFUNCTION("""COMPUTED_VALUE"""),"All/共用")</f>
        <v>All/共用</v>
      </c>
      <c r="E1713" s="1" t="str">
        <f ca="1">IFERROR(__xludf.DUMMYFUNCTION("""COMPUTED_VALUE"""),"p2/庫存")</f>
        <v>p2/庫存</v>
      </c>
      <c r="F1713" s="1">
        <f ca="1">IFERROR(__xludf.DUMMYFUNCTION("""COMPUTED_VALUE"""),-1)</f>
        <v>-1</v>
      </c>
      <c r="G1713" s="1"/>
      <c r="H1713" s="1" t="str">
        <f ca="1">IFERROR(__xludf.DUMMYFUNCTION("""COMPUTED_VALUE"""),"P2")</f>
        <v>P2</v>
      </c>
      <c r="I1713" s="1" t="str">
        <f ca="1">IFERROR(__xludf.DUMMYFUNCTION("""COMPUTED_VALUE"""),"Chiao Yu")</f>
        <v>Chiao Yu</v>
      </c>
    </row>
    <row r="1714" spans="1:9" ht="12.7" x14ac:dyDescent="0.4">
      <c r="A1714" s="2">
        <f ca="1">IFERROR(__xludf.DUMMYFUNCTION("""COMPUTED_VALUE"""),46142.5646592708)</f>
        <v>46142.5646592708</v>
      </c>
      <c r="B1714" s="1" t="str">
        <f ca="1">IFERROR(__xludf.DUMMYFUNCTION("""COMPUTED_VALUE"""),"庫存調整")</f>
        <v>庫存調整</v>
      </c>
      <c r="C1714" s="1" t="str">
        <f ca="1">IFERROR(__xludf.DUMMYFUNCTION("""COMPUTED_VALUE"""),"A00900000618")</f>
        <v>A00900000618</v>
      </c>
      <c r="D1714" s="1" t="str">
        <f ca="1">IFERROR(__xludf.DUMMYFUNCTION("""COMPUTED_VALUE"""),"All/共用")</f>
        <v>All/共用</v>
      </c>
      <c r="E1714" s="1" t="str">
        <f ca="1">IFERROR(__xludf.DUMMYFUNCTION("""COMPUTED_VALUE"""),"p1/庫存")</f>
        <v>p1/庫存</v>
      </c>
      <c r="F1714" s="1">
        <f ca="1">IFERROR(__xludf.DUMMYFUNCTION("""COMPUTED_VALUE"""),1)</f>
        <v>1</v>
      </c>
      <c r="G1714" s="1"/>
      <c r="H1714" s="1" t="str">
        <f ca="1">IFERROR(__xludf.DUMMYFUNCTION("""COMPUTED_VALUE"""),"P3")</f>
        <v>P3</v>
      </c>
      <c r="I1714" s="1" t="str">
        <f ca="1">IFERROR(__xludf.DUMMYFUNCTION("""COMPUTED_VALUE"""),"Chiao Yu")</f>
        <v>Chiao Yu</v>
      </c>
    </row>
    <row r="1715" spans="1:9" ht="12.7" x14ac:dyDescent="0.4">
      <c r="A1715" s="2">
        <f ca="1">IFERROR(__xludf.DUMMYFUNCTION("""COMPUTED_VALUE"""),46143.3951243171)</f>
        <v>46143.395124317103</v>
      </c>
      <c r="B1715" s="1" t="str">
        <f ca="1">IFERROR(__xludf.DUMMYFUNCTION("""COMPUTED_VALUE"""),"返修")</f>
        <v>返修</v>
      </c>
      <c r="C1715" s="1" t="str">
        <f ca="1">IFERROR(__xludf.DUMMYFUNCTION("""COMPUTED_VALUE"""),"A00100000731")</f>
        <v>A00100000731</v>
      </c>
      <c r="D1715" s="1" t="str">
        <f ca="1">IFERROR(__xludf.DUMMYFUNCTION("""COMPUTED_VALUE"""),"All/BA")</f>
        <v>All/BA</v>
      </c>
      <c r="E1715" s="1" t="str">
        <f ca="1">IFERROR(__xludf.DUMMYFUNCTION("""COMPUTED_VALUE"""),"p1/庫存")</f>
        <v>p1/庫存</v>
      </c>
      <c r="F1715" s="1">
        <f ca="1">IFERROR(__xludf.DUMMYFUNCTION("""COMPUTED_VALUE"""),1)</f>
        <v>1</v>
      </c>
      <c r="G1715" s="1" t="str">
        <f ca="1">IFERROR(__xludf.DUMMYFUNCTION("""COMPUTED_VALUE"""),"06F337")</f>
        <v>06F337</v>
      </c>
      <c r="H1715" s="1" t="str">
        <f ca="1">IFERROR(__xludf.DUMMYFUNCTION("""COMPUTED_VALUE"""),"P3_24")</f>
        <v>P3_24</v>
      </c>
      <c r="I1715" s="1" t="str">
        <f ca="1">IFERROR(__xludf.DUMMYFUNCTION("""COMPUTED_VALUE"""),"Chiao Yu")</f>
        <v>Chiao Yu</v>
      </c>
    </row>
    <row r="1716" spans="1:9" ht="12.7" x14ac:dyDescent="0.4">
      <c r="A1716" s="2">
        <f ca="1">IFERROR(__xludf.DUMMYFUNCTION("""COMPUTED_VALUE"""),46143.3962206944)</f>
        <v>46143.396220694398</v>
      </c>
      <c r="B1716" s="1" t="str">
        <f ca="1">IFERROR(__xludf.DUMMYFUNCTION("""COMPUTED_VALUE"""),"庫存調整")</f>
        <v>庫存調整</v>
      </c>
      <c r="C1716" s="1" t="str">
        <f ca="1">IFERROR(__xludf.DUMMYFUNCTION("""COMPUTED_VALUE"""),"A00700000823")</f>
        <v>A00700000823</v>
      </c>
      <c r="D1716" s="1" t="str">
        <f ca="1">IFERROR(__xludf.DUMMYFUNCTION("""COMPUTED_VALUE"""),"All/RL")</f>
        <v>All/RL</v>
      </c>
      <c r="E1716" s="1" t="str">
        <f ca="1">IFERROR(__xludf.DUMMYFUNCTION("""COMPUTED_VALUE"""),"p2/庫存")</f>
        <v>p2/庫存</v>
      </c>
      <c r="F1716" s="1">
        <f ca="1">IFERROR(__xludf.DUMMYFUNCTION("""COMPUTED_VALUE"""),1)</f>
        <v>1</v>
      </c>
      <c r="G1716" s="1"/>
      <c r="H1716" s="1" t="str">
        <f ca="1">IFERROR(__xludf.DUMMYFUNCTION("""COMPUTED_VALUE"""),"P2")</f>
        <v>P2</v>
      </c>
      <c r="I1716" s="1" t="str">
        <f ca="1">IFERROR(__xludf.DUMMYFUNCTION("""COMPUTED_VALUE"""),"Chiao Yu")</f>
        <v>Chiao Yu</v>
      </c>
    </row>
    <row r="1717" spans="1:9" ht="12.7" x14ac:dyDescent="0.4">
      <c r="A1717" s="2">
        <f ca="1">IFERROR(__xludf.DUMMYFUNCTION("""COMPUTED_VALUE"""),46143.39684853)</f>
        <v>46143.396848529999</v>
      </c>
      <c r="B1717" s="1" t="str">
        <f ca="1">IFERROR(__xludf.DUMMYFUNCTION("""COMPUTED_VALUE"""),"庫存調整")</f>
        <v>庫存調整</v>
      </c>
      <c r="C1717" s="1" t="str">
        <f ca="1">IFERROR(__xludf.DUMMYFUNCTION("""COMPUTED_VALUE"""),"A00700000862")</f>
        <v>A00700000862</v>
      </c>
      <c r="D1717" s="1" t="str">
        <f ca="1">IFERROR(__xludf.DUMMYFUNCTION("""COMPUTED_VALUE"""),"All/SB")</f>
        <v>All/SB</v>
      </c>
      <c r="E1717" s="1" t="str">
        <f ca="1">IFERROR(__xludf.DUMMYFUNCTION("""COMPUTED_VALUE"""),"p2/庫存")</f>
        <v>p2/庫存</v>
      </c>
      <c r="F1717" s="1">
        <f ca="1">IFERROR(__xludf.DUMMYFUNCTION("""COMPUTED_VALUE"""),-4)</f>
        <v>-4</v>
      </c>
      <c r="G1717" s="1"/>
      <c r="H1717" s="1" t="str">
        <f ca="1">IFERROR(__xludf.DUMMYFUNCTION("""COMPUTED_VALUE"""),"P2")</f>
        <v>P2</v>
      </c>
      <c r="I1717" s="1" t="str">
        <f ca="1">IFERROR(__xludf.DUMMYFUNCTION("""COMPUTED_VALUE"""),"Chiao Yu")</f>
        <v>Chiao Yu</v>
      </c>
    </row>
    <row r="1718" spans="1:9" ht="12.7" x14ac:dyDescent="0.4">
      <c r="A1718" s="2">
        <f ca="1">IFERROR(__xludf.DUMMYFUNCTION("""COMPUTED_VALUE"""),46143.3974212037)</f>
        <v>46143.397421203699</v>
      </c>
      <c r="B1718" s="1" t="str">
        <f ca="1">IFERROR(__xludf.DUMMYFUNCTION("""COMPUTED_VALUE"""),"庫存調整")</f>
        <v>庫存調整</v>
      </c>
      <c r="C1718" s="1" t="str">
        <f ca="1">IFERROR(__xludf.DUMMYFUNCTION("""COMPUTED_VALUE"""),"A00700000875")</f>
        <v>A00700000875</v>
      </c>
      <c r="D1718" s="1" t="str">
        <f ca="1">IFERROR(__xludf.DUMMYFUNCTION("""COMPUTED_VALUE"""),"All/SB")</f>
        <v>All/SB</v>
      </c>
      <c r="E1718" s="1" t="str">
        <f ca="1">IFERROR(__xludf.DUMMYFUNCTION("""COMPUTED_VALUE"""),"p2/庫存")</f>
        <v>p2/庫存</v>
      </c>
      <c r="F1718" s="1">
        <f ca="1">IFERROR(__xludf.DUMMYFUNCTION("""COMPUTED_VALUE"""),4)</f>
        <v>4</v>
      </c>
      <c r="G1718" s="1"/>
      <c r="H1718" s="1" t="str">
        <f ca="1">IFERROR(__xludf.DUMMYFUNCTION("""COMPUTED_VALUE"""),"P2")</f>
        <v>P2</v>
      </c>
      <c r="I1718" s="1" t="str">
        <f ca="1">IFERROR(__xludf.DUMMYFUNCTION("""COMPUTED_VALUE"""),"Chiao Yu")</f>
        <v>Chiao Yu</v>
      </c>
    </row>
    <row r="1719" spans="1:9" ht="12.7" x14ac:dyDescent="0.4">
      <c r="A1719" s="2">
        <f ca="1">IFERROR(__xludf.DUMMYFUNCTION("""COMPUTED_VALUE"""),46143.3989551736)</f>
        <v>46143.398955173601</v>
      </c>
      <c r="B1719" s="1" t="str">
        <f ca="1">IFERROR(__xludf.DUMMYFUNCTION("""COMPUTED_VALUE"""),"庫存調整")</f>
        <v>庫存調整</v>
      </c>
      <c r="C1719" s="1" t="str">
        <f ca="1">IFERROR(__xludf.DUMMYFUNCTION("""COMPUTED_VALUE"""),"ME0020000560")</f>
        <v>ME0020000560</v>
      </c>
      <c r="D1719" s="1" t="str">
        <f ca="1">IFERROR(__xludf.DUMMYFUNCTION("""COMPUTED_VALUE"""),"All/共用")</f>
        <v>All/共用</v>
      </c>
      <c r="E1719" s="1" t="str">
        <f ca="1">IFERROR(__xludf.DUMMYFUNCTION("""COMPUTED_VALUE"""),"p1/庫存")</f>
        <v>p1/庫存</v>
      </c>
      <c r="F1719" s="1">
        <f ca="1">IFERROR(__xludf.DUMMYFUNCTION("""COMPUTED_VALUE"""),1)</f>
        <v>1</v>
      </c>
      <c r="G1719" s="1"/>
      <c r="H1719" s="1" t="str">
        <f ca="1">IFERROR(__xludf.DUMMYFUNCTION("""COMPUTED_VALUE"""),"P3")</f>
        <v>P3</v>
      </c>
      <c r="I1719" s="1" t="str">
        <f ca="1">IFERROR(__xludf.DUMMYFUNCTION("""COMPUTED_VALUE"""),"Chiao Yu")</f>
        <v>Chiao Yu</v>
      </c>
    </row>
    <row r="1720" spans="1:9" ht="12.7" x14ac:dyDescent="0.4">
      <c r="A1720" s="2">
        <f ca="1">IFERROR(__xludf.DUMMYFUNCTION("""COMPUTED_VALUE"""),46143.3995972916)</f>
        <v>46143.399597291602</v>
      </c>
      <c r="B1720" s="1" t="str">
        <f ca="1">IFERROR(__xludf.DUMMYFUNCTION("""COMPUTED_VALUE"""),"庫存調整")</f>
        <v>庫存調整</v>
      </c>
      <c r="C1720" s="1" t="str">
        <f ca="1">IFERROR(__xludf.DUMMYFUNCTION("""COMPUTED_VALUE"""),"ME0020000560")</f>
        <v>ME0020000560</v>
      </c>
      <c r="D1720" s="1" t="str">
        <f ca="1">IFERROR(__xludf.DUMMYFUNCTION("""COMPUTED_VALUE"""),"All/共用")</f>
        <v>All/共用</v>
      </c>
      <c r="E1720" s="1" t="str">
        <f ca="1">IFERROR(__xludf.DUMMYFUNCTION("""COMPUTED_VALUE"""),"p2/庫存")</f>
        <v>p2/庫存</v>
      </c>
      <c r="F1720" s="1">
        <f ca="1">IFERROR(__xludf.DUMMYFUNCTION("""COMPUTED_VALUE"""),-1)</f>
        <v>-1</v>
      </c>
      <c r="G1720" s="1"/>
      <c r="H1720" s="1" t="str">
        <f ca="1">IFERROR(__xludf.DUMMYFUNCTION("""COMPUTED_VALUE"""),"P2")</f>
        <v>P2</v>
      </c>
      <c r="I1720" s="1" t="str">
        <f ca="1">IFERROR(__xludf.DUMMYFUNCTION("""COMPUTED_VALUE"""),"Chiao Yu")</f>
        <v>Chiao Yu</v>
      </c>
    </row>
    <row r="1721" spans="1:9" ht="12.7" x14ac:dyDescent="0.4">
      <c r="A1721" s="2">
        <f ca="1">IFERROR(__xludf.DUMMYFUNCTION("""COMPUTED_VALUE"""),46143.4005760185)</f>
        <v>46143.400576018503</v>
      </c>
      <c r="B1721" s="1" t="str">
        <f ca="1">IFERROR(__xludf.DUMMYFUNCTION("""COMPUTED_VALUE"""),"領料")</f>
        <v>領料</v>
      </c>
      <c r="C1721" s="1" t="str">
        <f ca="1">IFERROR(__xludf.DUMMYFUNCTION("""COMPUTED_VALUE"""),"ME0020000622")</f>
        <v>ME0020000622</v>
      </c>
      <c r="D1721" s="1" t="str">
        <f ca="1">IFERROR(__xludf.DUMMYFUNCTION("""COMPUTED_VALUE"""),"All/共用")</f>
        <v>All/共用</v>
      </c>
      <c r="E1721" s="1" t="str">
        <f ca="1">IFERROR(__xludf.DUMMYFUNCTION("""COMPUTED_VALUE"""),"p2/庫存")</f>
        <v>p2/庫存</v>
      </c>
      <c r="F1721" s="1">
        <f ca="1">IFERROR(__xludf.DUMMYFUNCTION("""COMPUTED_VALUE"""),1)</f>
        <v>1</v>
      </c>
      <c r="G1721" s="1"/>
      <c r="H1721" s="1" t="str">
        <f ca="1">IFERROR(__xludf.DUMMYFUNCTION("""COMPUTED_VALUE"""),"P2")</f>
        <v>P2</v>
      </c>
      <c r="I1721" s="1" t="str">
        <f ca="1">IFERROR(__xludf.DUMMYFUNCTION("""COMPUTED_VALUE"""),"Chiao Yu")</f>
        <v>Chiao Yu</v>
      </c>
    </row>
    <row r="1722" spans="1:9" ht="12.7" x14ac:dyDescent="0.4">
      <c r="A1722" s="2">
        <f ca="1">IFERROR(__xludf.DUMMYFUNCTION("""COMPUTED_VALUE"""),46143.4010778588)</f>
        <v>46143.401077858798</v>
      </c>
      <c r="B1722" s="1" t="str">
        <f ca="1">IFERROR(__xludf.DUMMYFUNCTION("""COMPUTED_VALUE"""),"庫存調整")</f>
        <v>庫存調整</v>
      </c>
      <c r="C1722" s="1" t="str">
        <f ca="1">IFERROR(__xludf.DUMMYFUNCTION("""COMPUTED_VALUE"""),"ME0120000048")</f>
        <v>ME0120000048</v>
      </c>
      <c r="D1722" s="1" t="str">
        <f ca="1">IFERROR(__xludf.DUMMYFUNCTION("""COMPUTED_VALUE"""),"All/共用")</f>
        <v>All/共用</v>
      </c>
      <c r="E1722" s="1" t="str">
        <f ca="1">IFERROR(__xludf.DUMMYFUNCTION("""COMPUTED_VALUE"""),"p2/庫存")</f>
        <v>p2/庫存</v>
      </c>
      <c r="F1722" s="1">
        <f ca="1">IFERROR(__xludf.DUMMYFUNCTION("""COMPUTED_VALUE"""),-1)</f>
        <v>-1</v>
      </c>
      <c r="G1722" s="1"/>
      <c r="H1722" s="1" t="str">
        <f ca="1">IFERROR(__xludf.DUMMYFUNCTION("""COMPUTED_VALUE"""),"P2")</f>
        <v>P2</v>
      </c>
      <c r="I1722" s="1" t="str">
        <f ca="1">IFERROR(__xludf.DUMMYFUNCTION("""COMPUTED_VALUE"""),"Chiao Yu")</f>
        <v>Chiao Yu</v>
      </c>
    </row>
    <row r="1723" spans="1:9" ht="12.7" x14ac:dyDescent="0.4">
      <c r="A1723" s="2">
        <f ca="1">IFERROR(__xludf.DUMMYFUNCTION("""COMPUTED_VALUE"""),46143.4020676041)</f>
        <v>46143.402067604096</v>
      </c>
      <c r="B1723" s="1" t="str">
        <f ca="1">IFERROR(__xludf.DUMMYFUNCTION("""COMPUTED_VALUE"""),"庫存調整")</f>
        <v>庫存調整</v>
      </c>
      <c r="C1723" s="1" t="str">
        <f ca="1">IFERROR(__xludf.DUMMYFUNCTION("""COMPUTED_VALUE"""),"ME0120000230")</f>
        <v>ME0120000230</v>
      </c>
      <c r="D1723" s="1" t="str">
        <f ca="1">IFERROR(__xludf.DUMMYFUNCTION("""COMPUTED_VALUE"""),"All/共用")</f>
        <v>All/共用</v>
      </c>
      <c r="E1723" s="1" t="str">
        <f ca="1">IFERROR(__xludf.DUMMYFUNCTION("""COMPUTED_VALUE"""),"p2/庫存")</f>
        <v>p2/庫存</v>
      </c>
      <c r="F1723" s="1">
        <f ca="1">IFERROR(__xludf.DUMMYFUNCTION("""COMPUTED_VALUE"""),-1)</f>
        <v>-1</v>
      </c>
      <c r="G1723" s="1"/>
      <c r="H1723" s="1" t="str">
        <f ca="1">IFERROR(__xludf.DUMMYFUNCTION("""COMPUTED_VALUE"""),"P2")</f>
        <v>P2</v>
      </c>
      <c r="I1723" s="1" t="str">
        <f ca="1">IFERROR(__xludf.DUMMYFUNCTION("""COMPUTED_VALUE"""),"Chiao Yu")</f>
        <v>Chiao Yu</v>
      </c>
    </row>
    <row r="1724" spans="1:9" ht="12.7" x14ac:dyDescent="0.4">
      <c r="A1724" s="2">
        <f ca="1">IFERROR(__xludf.DUMMYFUNCTION("""COMPUTED_VALUE"""),46143.4026320949)</f>
        <v>46143.402632094898</v>
      </c>
      <c r="B1724" s="1" t="str">
        <f ca="1">IFERROR(__xludf.DUMMYFUNCTION("""COMPUTED_VALUE"""),"庫存調整")</f>
        <v>庫存調整</v>
      </c>
      <c r="C1724" s="1" t="str">
        <f ca="1">IFERROR(__xludf.DUMMYFUNCTION("""COMPUTED_VALUE"""),"ME0270001045")</f>
        <v>ME0270001045</v>
      </c>
      <c r="D1724" s="1" t="str">
        <f ca="1">IFERROR(__xludf.DUMMYFUNCTION("""COMPUTED_VALUE"""),"All/共用")</f>
        <v>All/共用</v>
      </c>
      <c r="E1724" s="1" t="str">
        <f ca="1">IFERROR(__xludf.DUMMYFUNCTION("""COMPUTED_VALUE"""),"p2/庫存")</f>
        <v>p2/庫存</v>
      </c>
      <c r="F1724" s="1">
        <f ca="1">IFERROR(__xludf.DUMMYFUNCTION("""COMPUTED_VALUE"""),1)</f>
        <v>1</v>
      </c>
      <c r="G1724" s="1"/>
      <c r="H1724" s="1" t="str">
        <f ca="1">IFERROR(__xludf.DUMMYFUNCTION("""COMPUTED_VALUE"""),"P2")</f>
        <v>P2</v>
      </c>
      <c r="I1724" s="1" t="str">
        <f ca="1">IFERROR(__xludf.DUMMYFUNCTION("""COMPUTED_VALUE"""),"Chiao Yu")</f>
        <v>Chiao Yu</v>
      </c>
    </row>
    <row r="1725" spans="1:9" ht="12.7" x14ac:dyDescent="0.4">
      <c r="A1725" s="2">
        <f ca="1">IFERROR(__xludf.DUMMYFUNCTION("""COMPUTED_VALUE"""),46143.4052588078)</f>
        <v>46143.405258807798</v>
      </c>
      <c r="B1725" s="1" t="str">
        <f ca="1">IFERROR(__xludf.DUMMYFUNCTION("""COMPUTED_VALUE"""),"庫存調整")</f>
        <v>庫存調整</v>
      </c>
      <c r="C1725" s="1" t="str">
        <f ca="1">IFERROR(__xludf.DUMMYFUNCTION("""COMPUTED_VALUE"""),"MM0260000157")</f>
        <v>MM0260000157</v>
      </c>
      <c r="D1725" s="1" t="str">
        <f ca="1">IFERROR(__xludf.DUMMYFUNCTION("""COMPUTED_VALUE"""),"All/共用")</f>
        <v>All/共用</v>
      </c>
      <c r="E1725" s="1" t="str">
        <f ca="1">IFERROR(__xludf.DUMMYFUNCTION("""COMPUTED_VALUE"""),"p2/庫存")</f>
        <v>p2/庫存</v>
      </c>
      <c r="F1725" s="1">
        <f ca="1">IFERROR(__xludf.DUMMYFUNCTION("""COMPUTED_VALUE"""),-6)</f>
        <v>-6</v>
      </c>
      <c r="G1725" s="1"/>
      <c r="H1725" s="1" t="str">
        <f ca="1">IFERROR(__xludf.DUMMYFUNCTION("""COMPUTED_VALUE"""),"P2")</f>
        <v>P2</v>
      </c>
      <c r="I1725" s="1" t="str">
        <f ca="1">IFERROR(__xludf.DUMMYFUNCTION("""COMPUTED_VALUE"""),"Chiao Yu")</f>
        <v>Chiao Yu</v>
      </c>
    </row>
    <row r="1726" spans="1:9" ht="12.7" x14ac:dyDescent="0.4">
      <c r="A1726" s="2">
        <f ca="1">IFERROR(__xludf.DUMMYFUNCTION("""COMPUTED_VALUE"""),46143.4358366319)</f>
        <v>46143.435836631899</v>
      </c>
      <c r="B1726" s="1" t="str">
        <f ca="1">IFERROR(__xludf.DUMMYFUNCTION("""COMPUTED_VALUE"""),"庫存調整")</f>
        <v>庫存調整</v>
      </c>
      <c r="C1726" s="1" t="str">
        <f ca="1">IFERROR(__xludf.DUMMYFUNCTION("""COMPUTED_VALUE"""),"A00700000823")</f>
        <v>A00700000823</v>
      </c>
      <c r="D1726" s="1" t="str">
        <f ca="1">IFERROR(__xludf.DUMMYFUNCTION("""COMPUTED_VALUE"""),"All/RL")</f>
        <v>All/RL</v>
      </c>
      <c r="E1726" s="1" t="str">
        <f ca="1">IFERROR(__xludf.DUMMYFUNCTION("""COMPUTED_VALUE"""),"p1/庫存")</f>
        <v>p1/庫存</v>
      </c>
      <c r="F1726" s="1">
        <f ca="1">IFERROR(__xludf.DUMMYFUNCTION("""COMPUTED_VALUE"""),1)</f>
        <v>1</v>
      </c>
      <c r="G1726" s="1"/>
      <c r="H1726" s="1" t="str">
        <f ca="1">IFERROR(__xludf.DUMMYFUNCTION("""COMPUTED_VALUE"""),"P3")</f>
        <v>P3</v>
      </c>
      <c r="I1726" s="1" t="str">
        <f ca="1">IFERROR(__xludf.DUMMYFUNCTION("""COMPUTED_VALUE"""),"Simon")</f>
        <v>Simon</v>
      </c>
    </row>
    <row r="1727" spans="1:9" ht="12.7" x14ac:dyDescent="0.4">
      <c r="A1727" s="2">
        <f ca="1">IFERROR(__xludf.DUMMYFUNCTION("""COMPUTED_VALUE"""),46143.4366824652)</f>
        <v>46143.436682465202</v>
      </c>
      <c r="B1727" s="1" t="str">
        <f ca="1">IFERROR(__xludf.DUMMYFUNCTION("""COMPUTED_VALUE"""),"庫存調整")</f>
        <v>庫存調整</v>
      </c>
      <c r="C1727" s="1" t="str">
        <f ca="1">IFERROR(__xludf.DUMMYFUNCTION("""COMPUTED_VALUE"""),"AGT000000011")</f>
        <v>AGT000000011</v>
      </c>
      <c r="D1727" s="1" t="str">
        <f ca="1">IFERROR(__xludf.DUMMYFUNCTION("""COMPUTED_VALUE"""),"All/共用")</f>
        <v>All/共用</v>
      </c>
      <c r="E1727" s="1" t="str">
        <f ca="1">IFERROR(__xludf.DUMMYFUNCTION("""COMPUTED_VALUE"""),"p1/庫存")</f>
        <v>p1/庫存</v>
      </c>
      <c r="F1727" s="1">
        <f ca="1">IFERROR(__xludf.DUMMYFUNCTION("""COMPUTED_VALUE"""),-1)</f>
        <v>-1</v>
      </c>
      <c r="G1727" s="1"/>
      <c r="H1727" s="1" t="str">
        <f ca="1">IFERROR(__xludf.DUMMYFUNCTION("""COMPUTED_VALUE"""),"P3")</f>
        <v>P3</v>
      </c>
      <c r="I1727" s="1" t="str">
        <f ca="1">IFERROR(__xludf.DUMMYFUNCTION("""COMPUTED_VALUE"""),"Simon")</f>
        <v>Simon</v>
      </c>
    </row>
    <row r="1728" spans="1:9" ht="12.7" x14ac:dyDescent="0.4">
      <c r="A1728" s="2">
        <f ca="1">IFERROR(__xludf.DUMMYFUNCTION("""COMPUTED_VALUE"""),46143.4379272222)</f>
        <v>46143.4379272222</v>
      </c>
      <c r="B1728" s="1" t="str">
        <f ca="1">IFERROR(__xludf.DUMMYFUNCTION("""COMPUTED_VALUE"""),"庫存調整")</f>
        <v>庫存調整</v>
      </c>
      <c r="C1728" s="1" t="str">
        <f ca="1">IFERROR(__xludf.DUMMYFUNCTION("""COMPUTED_VALUE"""),"ME0010000383")</f>
        <v>ME0010000383</v>
      </c>
      <c r="D1728" s="1" t="str">
        <f ca="1">IFERROR(__xludf.DUMMYFUNCTION("""COMPUTED_VALUE"""),"All/共用")</f>
        <v>All/共用</v>
      </c>
      <c r="E1728" s="1" t="str">
        <f ca="1">IFERROR(__xludf.DUMMYFUNCTION("""COMPUTED_VALUE"""),"p1/庫存")</f>
        <v>p1/庫存</v>
      </c>
      <c r="F1728" s="1">
        <f ca="1">IFERROR(__xludf.DUMMYFUNCTION("""COMPUTED_VALUE"""),-5)</f>
        <v>-5</v>
      </c>
      <c r="G1728" s="1"/>
      <c r="H1728" s="1" t="str">
        <f ca="1">IFERROR(__xludf.DUMMYFUNCTION("""COMPUTED_VALUE"""),"P3")</f>
        <v>P3</v>
      </c>
      <c r="I1728" s="1" t="str">
        <f ca="1">IFERROR(__xludf.DUMMYFUNCTION("""COMPUTED_VALUE"""),"Simon")</f>
        <v>Simon</v>
      </c>
    </row>
    <row r="1729" spans="1:9" ht="12.7" x14ac:dyDescent="0.4">
      <c r="A1729" s="2">
        <f ca="1">IFERROR(__xludf.DUMMYFUNCTION("""COMPUTED_VALUE"""),46143.4388477199)</f>
        <v>46143.438847719903</v>
      </c>
      <c r="B1729" s="1" t="str">
        <f ca="1">IFERROR(__xludf.DUMMYFUNCTION("""COMPUTED_VALUE"""),"庫存調整")</f>
        <v>庫存調整</v>
      </c>
      <c r="C1729" s="1" t="str">
        <f ca="1">IFERROR(__xludf.DUMMYFUNCTION("""COMPUTED_VALUE"""),"ME0020000527")</f>
        <v>ME0020000527</v>
      </c>
      <c r="D1729" s="1" t="str">
        <f ca="1">IFERROR(__xludf.DUMMYFUNCTION("""COMPUTED_VALUE"""),"All/共用")</f>
        <v>All/共用</v>
      </c>
      <c r="E1729" s="1" t="str">
        <f ca="1">IFERROR(__xludf.DUMMYFUNCTION("""COMPUTED_VALUE"""),"p1/庫存")</f>
        <v>p1/庫存</v>
      </c>
      <c r="F1729" s="1">
        <f ca="1">IFERROR(__xludf.DUMMYFUNCTION("""COMPUTED_VALUE"""),-1)</f>
        <v>-1</v>
      </c>
      <c r="G1729" s="1"/>
      <c r="H1729" s="1" t="str">
        <f ca="1">IFERROR(__xludf.DUMMYFUNCTION("""COMPUTED_VALUE"""),"P3")</f>
        <v>P3</v>
      </c>
      <c r="I1729" s="1" t="str">
        <f ca="1">IFERROR(__xludf.DUMMYFUNCTION("""COMPUTED_VALUE"""),"Simon")</f>
        <v>Simon</v>
      </c>
    </row>
    <row r="1730" spans="1:9" ht="12.7" x14ac:dyDescent="0.4">
      <c r="A1730" s="2">
        <f ca="1">IFERROR(__xludf.DUMMYFUNCTION("""COMPUTED_VALUE"""),46143.4399319097)</f>
        <v>46143.439931909699</v>
      </c>
      <c r="B1730" s="1" t="str">
        <f ca="1">IFERROR(__xludf.DUMMYFUNCTION("""COMPUTED_VALUE"""),"庫存調整")</f>
        <v>庫存調整</v>
      </c>
      <c r="C1730" s="1" t="str">
        <f ca="1">IFERROR(__xludf.DUMMYFUNCTION("""COMPUTED_VALUE"""),"ME0060000277")</f>
        <v>ME0060000277</v>
      </c>
      <c r="D1730" s="1" t="str">
        <f ca="1">IFERROR(__xludf.DUMMYFUNCTION("""COMPUTED_VALUE"""),"All/共用")</f>
        <v>All/共用</v>
      </c>
      <c r="E1730" s="1" t="str">
        <f ca="1">IFERROR(__xludf.DUMMYFUNCTION("""COMPUTED_VALUE"""),"p1/庫存")</f>
        <v>p1/庫存</v>
      </c>
      <c r="F1730" s="1">
        <f ca="1">IFERROR(__xludf.DUMMYFUNCTION("""COMPUTED_VALUE"""),-1)</f>
        <v>-1</v>
      </c>
      <c r="G1730" s="1"/>
      <c r="H1730" s="1" t="str">
        <f ca="1">IFERROR(__xludf.DUMMYFUNCTION("""COMPUTED_VALUE"""),"P3")</f>
        <v>P3</v>
      </c>
      <c r="I1730" s="1" t="str">
        <f ca="1">IFERROR(__xludf.DUMMYFUNCTION("""COMPUTED_VALUE"""),"Simon")</f>
        <v>Simon</v>
      </c>
    </row>
    <row r="1731" spans="1:9" ht="12.7" x14ac:dyDescent="0.4">
      <c r="A1731" s="2">
        <f ca="1">IFERROR(__xludf.DUMMYFUNCTION("""COMPUTED_VALUE"""),46143.4409611458)</f>
        <v>46143.440961145803</v>
      </c>
      <c r="B1731" s="1" t="str">
        <f ca="1">IFERROR(__xludf.DUMMYFUNCTION("""COMPUTED_VALUE"""),"庫存調整")</f>
        <v>庫存調整</v>
      </c>
      <c r="C1731" s="1" t="str">
        <f ca="1">IFERROR(__xludf.DUMMYFUNCTION("""COMPUTED_VALUE"""),"ME0120000142")</f>
        <v>ME0120000142</v>
      </c>
      <c r="D1731" s="1" t="str">
        <f ca="1">IFERROR(__xludf.DUMMYFUNCTION("""COMPUTED_VALUE"""),"All/BA")</f>
        <v>All/BA</v>
      </c>
      <c r="E1731" s="1" t="str">
        <f ca="1">IFERROR(__xludf.DUMMYFUNCTION("""COMPUTED_VALUE"""),"p1/庫存")</f>
        <v>p1/庫存</v>
      </c>
      <c r="F1731" s="1">
        <f ca="1">IFERROR(__xludf.DUMMYFUNCTION("""COMPUTED_VALUE"""),-1)</f>
        <v>-1</v>
      </c>
      <c r="G1731" s="1"/>
      <c r="H1731" s="1" t="str">
        <f ca="1">IFERROR(__xludf.DUMMYFUNCTION("""COMPUTED_VALUE"""),"P3")</f>
        <v>P3</v>
      </c>
      <c r="I1731" s="1" t="str">
        <f ca="1">IFERROR(__xludf.DUMMYFUNCTION("""COMPUTED_VALUE"""),"Simon")</f>
        <v>Simon</v>
      </c>
    </row>
    <row r="1732" spans="1:9" ht="12.7" x14ac:dyDescent="0.4">
      <c r="A1732" s="2">
        <f ca="1">IFERROR(__xludf.DUMMYFUNCTION("""COMPUTED_VALUE"""),46143.4422610185)</f>
        <v>46143.442261018499</v>
      </c>
      <c r="B1732" s="1" t="str">
        <f ca="1">IFERROR(__xludf.DUMMYFUNCTION("""COMPUTED_VALUE"""),"庫存調整")</f>
        <v>庫存調整</v>
      </c>
      <c r="C1732" s="1" t="str">
        <f ca="1">IFERROR(__xludf.DUMMYFUNCTION("""COMPUTED_VALUE"""),"ME0120000207")</f>
        <v>ME0120000207</v>
      </c>
      <c r="D1732" s="1" t="str">
        <f ca="1">IFERROR(__xludf.DUMMYFUNCTION("""COMPUTED_VALUE"""),"All/共用")</f>
        <v>All/共用</v>
      </c>
      <c r="E1732" s="1" t="str">
        <f ca="1">IFERROR(__xludf.DUMMYFUNCTION("""COMPUTED_VALUE"""),"p1/庫存")</f>
        <v>p1/庫存</v>
      </c>
      <c r="F1732" s="1">
        <f ca="1">IFERROR(__xludf.DUMMYFUNCTION("""COMPUTED_VALUE"""),-1)</f>
        <v>-1</v>
      </c>
      <c r="G1732" s="1"/>
      <c r="H1732" s="1" t="str">
        <f ca="1">IFERROR(__xludf.DUMMYFUNCTION("""COMPUTED_VALUE"""),"P3")</f>
        <v>P3</v>
      </c>
      <c r="I1732" s="1" t="str">
        <f ca="1">IFERROR(__xludf.DUMMYFUNCTION("""COMPUTED_VALUE"""),"Simon")</f>
        <v>Simon</v>
      </c>
    </row>
    <row r="1733" spans="1:9" ht="12.7" x14ac:dyDescent="0.4">
      <c r="A1733" s="2">
        <f ca="1">IFERROR(__xludf.DUMMYFUNCTION("""COMPUTED_VALUE"""),46143.4440063657)</f>
        <v>46143.444006365702</v>
      </c>
      <c r="B1733" s="1" t="str">
        <f ca="1">IFERROR(__xludf.DUMMYFUNCTION("""COMPUTED_VALUE"""),"庫存調整")</f>
        <v>庫存調整</v>
      </c>
      <c r="C1733" s="1" t="str">
        <f ca="1">IFERROR(__xludf.DUMMYFUNCTION("""COMPUTED_VALUE"""),"ME0120000230")</f>
        <v>ME0120000230</v>
      </c>
      <c r="D1733" s="1" t="str">
        <f ca="1">IFERROR(__xludf.DUMMYFUNCTION("""COMPUTED_VALUE"""),"All/共用")</f>
        <v>All/共用</v>
      </c>
      <c r="E1733" s="1" t="str">
        <f ca="1">IFERROR(__xludf.DUMMYFUNCTION("""COMPUTED_VALUE"""),"p1/庫存")</f>
        <v>p1/庫存</v>
      </c>
      <c r="F1733" s="1">
        <f ca="1">IFERROR(__xludf.DUMMYFUNCTION("""COMPUTED_VALUE"""),-1)</f>
        <v>-1</v>
      </c>
      <c r="G1733" s="1"/>
      <c r="H1733" s="1" t="str">
        <f ca="1">IFERROR(__xludf.DUMMYFUNCTION("""COMPUTED_VALUE"""),"P3")</f>
        <v>P3</v>
      </c>
      <c r="I1733" s="1" t="str">
        <f ca="1">IFERROR(__xludf.DUMMYFUNCTION("""COMPUTED_VALUE"""),"Simon")</f>
        <v>Simon</v>
      </c>
    </row>
    <row r="1734" spans="1:9" ht="12.7" x14ac:dyDescent="0.4">
      <c r="A1734" s="2">
        <f ca="1">IFERROR(__xludf.DUMMYFUNCTION("""COMPUTED_VALUE"""),46143.4450698495)</f>
        <v>46143.445069849498</v>
      </c>
      <c r="B1734" s="1" t="str">
        <f ca="1">IFERROR(__xludf.DUMMYFUNCTION("""COMPUTED_VALUE"""),"庫存調整")</f>
        <v>庫存調整</v>
      </c>
      <c r="C1734" s="1" t="str">
        <f ca="1">IFERROR(__xludf.DUMMYFUNCTION("""COMPUTED_VALUE"""),"ME0270001045")</f>
        <v>ME0270001045</v>
      </c>
      <c r="D1734" s="1" t="str">
        <f ca="1">IFERROR(__xludf.DUMMYFUNCTION("""COMPUTED_VALUE"""),"All/共用")</f>
        <v>All/共用</v>
      </c>
      <c r="E1734" s="1" t="str">
        <f ca="1">IFERROR(__xludf.DUMMYFUNCTION("""COMPUTED_VALUE"""),"p1/庫存")</f>
        <v>p1/庫存</v>
      </c>
      <c r="F1734" s="1">
        <f ca="1">IFERROR(__xludf.DUMMYFUNCTION("""COMPUTED_VALUE"""),2)</f>
        <v>2</v>
      </c>
      <c r="G1734" s="1"/>
      <c r="H1734" s="1" t="str">
        <f ca="1">IFERROR(__xludf.DUMMYFUNCTION("""COMPUTED_VALUE"""),"P3")</f>
        <v>P3</v>
      </c>
      <c r="I1734" s="1" t="str">
        <f ca="1">IFERROR(__xludf.DUMMYFUNCTION("""COMPUTED_VALUE"""),"Simon")</f>
        <v>Simon</v>
      </c>
    </row>
    <row r="1735" spans="1:9" ht="12.7" x14ac:dyDescent="0.4">
      <c r="A1735" s="2">
        <f ca="1">IFERROR(__xludf.DUMMYFUNCTION("""COMPUTED_VALUE"""),46143.4458616666)</f>
        <v>46143.445861666602</v>
      </c>
      <c r="B1735" s="1" t="str">
        <f ca="1">IFERROR(__xludf.DUMMYFUNCTION("""COMPUTED_VALUE"""),"庫存調整")</f>
        <v>庫存調整</v>
      </c>
      <c r="C1735" s="1" t="str">
        <f ca="1">IFERROR(__xludf.DUMMYFUNCTION("""COMPUTED_VALUE"""),"MM0260000077")</f>
        <v>MM0260000077</v>
      </c>
      <c r="D1735" s="1" t="str">
        <f ca="1">IFERROR(__xludf.DUMMYFUNCTION("""COMPUTED_VALUE"""),"All/BA")</f>
        <v>All/BA</v>
      </c>
      <c r="E1735" s="1" t="str">
        <f ca="1">IFERROR(__xludf.DUMMYFUNCTION("""COMPUTED_VALUE"""),"p1/庫存")</f>
        <v>p1/庫存</v>
      </c>
      <c r="F1735" s="1">
        <f ca="1">IFERROR(__xludf.DUMMYFUNCTION("""COMPUTED_VALUE"""),-2)</f>
        <v>-2</v>
      </c>
      <c r="G1735" s="1"/>
      <c r="H1735" s="1" t="str">
        <f ca="1">IFERROR(__xludf.DUMMYFUNCTION("""COMPUTED_VALUE"""),"P3")</f>
        <v>P3</v>
      </c>
      <c r="I1735" s="1" t="str">
        <f ca="1">IFERROR(__xludf.DUMMYFUNCTION("""COMPUTED_VALUE"""),"Simon")</f>
        <v>Simon</v>
      </c>
    </row>
    <row r="1736" spans="1:9" ht="12.7" x14ac:dyDescent="0.4">
      <c r="A1736" s="2">
        <f ca="1">IFERROR(__xludf.DUMMYFUNCTION("""COMPUTED_VALUE"""),46143.4468076504)</f>
        <v>46143.446807650398</v>
      </c>
      <c r="B1736" s="1" t="str">
        <f ca="1">IFERROR(__xludf.DUMMYFUNCTION("""COMPUTED_VALUE"""),"庫存調整")</f>
        <v>庫存調整</v>
      </c>
      <c r="C1736" s="1" t="str">
        <f ca="1">IFERROR(__xludf.DUMMYFUNCTION("""COMPUTED_VALUE"""),"MM0260000249")</f>
        <v>MM0260000249</v>
      </c>
      <c r="D1736" s="1" t="str">
        <f ca="1">IFERROR(__xludf.DUMMYFUNCTION("""COMPUTED_VALUE"""),"All/RL")</f>
        <v>All/RL</v>
      </c>
      <c r="E1736" s="1" t="str">
        <f ca="1">IFERROR(__xludf.DUMMYFUNCTION("""COMPUTED_VALUE"""),"p1/庫存")</f>
        <v>p1/庫存</v>
      </c>
      <c r="F1736" s="1">
        <f ca="1">IFERROR(__xludf.DUMMYFUNCTION("""COMPUTED_VALUE"""),1)</f>
        <v>1</v>
      </c>
      <c r="G1736" s="1"/>
      <c r="H1736" s="1" t="str">
        <f ca="1">IFERROR(__xludf.DUMMYFUNCTION("""COMPUTED_VALUE"""),"P3")</f>
        <v>P3</v>
      </c>
      <c r="I1736" s="1" t="str">
        <f ca="1">IFERROR(__xludf.DUMMYFUNCTION("""COMPUTED_VALUE"""),"Simon")</f>
        <v>Simon</v>
      </c>
    </row>
    <row r="1737" spans="1:9" ht="12.7" x14ac:dyDescent="0.4">
      <c r="A1737" s="2">
        <f ca="1">IFERROR(__xludf.DUMMYFUNCTION("""COMPUTED_VALUE"""),46143.7902909027)</f>
        <v>46143.790290902703</v>
      </c>
      <c r="B1737" s="1" t="str">
        <f ca="1">IFERROR(__xludf.DUMMYFUNCTION("""COMPUTED_VALUE"""),"送修")</f>
        <v>送修</v>
      </c>
      <c r="C1737" s="1" t="str">
        <f ca="1">IFERROR(__xludf.DUMMYFUNCTION("""COMPUTED_VALUE"""),"ME0020000632")</f>
        <v>ME0020000632</v>
      </c>
      <c r="D1737" s="1" t="str">
        <f ca="1">IFERROR(__xludf.DUMMYFUNCTION("""COMPUTED_VALUE"""),"All/BA")</f>
        <v>All/BA</v>
      </c>
      <c r="E1737" s="1" t="str">
        <f ca="1">IFERROR(__xludf.DUMMYFUNCTION("""COMPUTED_VALUE"""),"p1/庫存")</f>
        <v>p1/庫存</v>
      </c>
      <c r="F1737" s="1">
        <f ca="1">IFERROR(__xludf.DUMMYFUNCTION("""COMPUTED_VALUE"""),1)</f>
        <v>1</v>
      </c>
      <c r="G1737" s="1" t="str">
        <f ca="1">IFERROR(__xludf.DUMMYFUNCTION("""COMPUTED_VALUE"""),"50026B7785C799B9")</f>
        <v>50026B7785C799B9</v>
      </c>
      <c r="H1737" s="1" t="str">
        <f ca="1">IFERROR(__xludf.DUMMYFUNCTION("""COMPUTED_VALUE"""),"P3_13001")</f>
        <v>P3_13001</v>
      </c>
      <c r="I1737" s="1" t="str">
        <f ca="1">IFERROR(__xludf.DUMMYFUNCTION("""COMPUTED_VALUE"""),"Chiao Yu")</f>
        <v>Chiao Yu</v>
      </c>
    </row>
    <row r="1738" spans="1:9" ht="12.7" x14ac:dyDescent="0.4">
      <c r="A1738" s="2">
        <f ca="1">IFERROR(__xludf.DUMMYFUNCTION("""COMPUTED_VALUE"""),46143.7909016898)</f>
        <v>46143.790901689797</v>
      </c>
      <c r="B1738" s="1" t="str">
        <f ca="1">IFERROR(__xludf.DUMMYFUNCTION("""COMPUTED_VALUE"""),"料件上線時間")</f>
        <v>料件上線時間</v>
      </c>
      <c r="C1738" s="1" t="str">
        <f ca="1">IFERROR(__xludf.DUMMYFUNCTION("""COMPUTED_VALUE"""),"ME0020000632")</f>
        <v>ME0020000632</v>
      </c>
      <c r="D1738" s="1" t="str">
        <f ca="1">IFERROR(__xludf.DUMMYFUNCTION("""COMPUTED_VALUE"""),"All/BA")</f>
        <v>All/BA</v>
      </c>
      <c r="E1738" s="1" t="str">
        <f ca="1">IFERROR(__xludf.DUMMYFUNCTION("""COMPUTED_VALUE"""),"p1/庫存")</f>
        <v>p1/庫存</v>
      </c>
      <c r="F1738" s="1">
        <f ca="1">IFERROR(__xludf.DUMMYFUNCTION("""COMPUTED_VALUE"""),1)</f>
        <v>1</v>
      </c>
      <c r="G1738" s="1" t="str">
        <f ca="1">IFERROR(__xludf.DUMMYFUNCTION("""COMPUTED_VALUE"""),"50026B79837A6D4C")</f>
        <v>50026B79837A6D4C</v>
      </c>
      <c r="H1738" s="1" t="str">
        <f ca="1">IFERROR(__xludf.DUMMYFUNCTION("""COMPUTED_VALUE"""),"P3_13001")</f>
        <v>P3_13001</v>
      </c>
      <c r="I1738" s="1" t="str">
        <f ca="1">IFERROR(__xludf.DUMMYFUNCTION("""COMPUTED_VALUE"""),"Chiao Yu")</f>
        <v>Chiao Yu</v>
      </c>
    </row>
    <row r="1739" spans="1:9" ht="12.7" x14ac:dyDescent="0.4">
      <c r="A1739" s="2">
        <f ca="1">IFERROR(__xludf.DUMMYFUNCTION("""COMPUTED_VALUE"""),46147.3545938078)</f>
        <v>46147.354593807802</v>
      </c>
      <c r="B1739" s="1" t="str">
        <f ca="1">IFERROR(__xludf.DUMMYFUNCTION("""COMPUTED_VALUE"""),"領料")</f>
        <v>領料</v>
      </c>
      <c r="C1739" s="1" t="str">
        <f ca="1">IFERROR(__xludf.DUMMYFUNCTION("""COMPUTED_VALUE"""),"MM0010000125")</f>
        <v>MM0010000125</v>
      </c>
      <c r="D1739" s="1" t="str">
        <f ca="1">IFERROR(__xludf.DUMMYFUNCTION("""COMPUTED_VALUE"""),"All/RL")</f>
        <v>All/RL</v>
      </c>
      <c r="E1739" s="1" t="str">
        <f ca="1">IFERROR(__xludf.DUMMYFUNCTION("""COMPUTED_VALUE"""),"p2/庫存")</f>
        <v>p2/庫存</v>
      </c>
      <c r="F1739" s="1">
        <f ca="1">IFERROR(__xludf.DUMMYFUNCTION("""COMPUTED_VALUE"""),1)</f>
        <v>1</v>
      </c>
      <c r="G1739" s="1"/>
      <c r="H1739" s="1" t="str">
        <f ca="1">IFERROR(__xludf.DUMMYFUNCTION("""COMPUTED_VALUE"""),"P2_1004")</f>
        <v>P2_1004</v>
      </c>
      <c r="I1739" s="1" t="str">
        <f ca="1">IFERROR(__xludf.DUMMYFUNCTION("""COMPUTED_VALUE"""),"Chiao Yu")</f>
        <v>Chiao Yu</v>
      </c>
    </row>
    <row r="1740" spans="1:9" ht="12.7" x14ac:dyDescent="0.4">
      <c r="A1740" s="2">
        <f ca="1">IFERROR(__xludf.DUMMYFUNCTION("""COMPUTED_VALUE"""),46149.4636151504)</f>
        <v>46149.463615150402</v>
      </c>
      <c r="B1740" s="1" t="str">
        <f ca="1">IFERROR(__xludf.DUMMYFUNCTION("""COMPUTED_VALUE"""),"庫存調整")</f>
        <v>庫存調整</v>
      </c>
      <c r="C1740" s="1" t="str">
        <f ca="1">IFERROR(__xludf.DUMMYFUNCTION("""COMPUTED_VALUE"""),"ME0050000167")</f>
        <v>ME0050000167</v>
      </c>
      <c r="D1740" s="1" t="str">
        <f ca="1">IFERROR(__xludf.DUMMYFUNCTION("""COMPUTED_VALUE"""),"All/共用")</f>
        <v>All/共用</v>
      </c>
      <c r="E1740" s="1" t="str">
        <f ca="1">IFERROR(__xludf.DUMMYFUNCTION("""COMPUTED_VALUE"""),"p1/庫存")</f>
        <v>p1/庫存</v>
      </c>
      <c r="F1740" s="1">
        <f ca="1">IFERROR(__xludf.DUMMYFUNCTION("""COMPUTED_VALUE"""),2)</f>
        <v>2</v>
      </c>
      <c r="G1740" s="1"/>
      <c r="H1740" s="1" t="str">
        <f ca="1">IFERROR(__xludf.DUMMYFUNCTION("""COMPUTED_VALUE"""),"P3")</f>
        <v>P3</v>
      </c>
      <c r="I1740" s="1" t="str">
        <f ca="1">IFERROR(__xludf.DUMMYFUNCTION("""COMPUTED_VALUE"""),"Chiao Yu")</f>
        <v>Chiao Yu</v>
      </c>
    </row>
    <row r="1741" spans="1:9" ht="12.7" x14ac:dyDescent="0.4">
      <c r="A1741" s="2">
        <f ca="1">IFERROR(__xludf.DUMMYFUNCTION("""COMPUTED_VALUE"""),46149.4641551967)</f>
        <v>46149.4641551967</v>
      </c>
      <c r="B1741" s="1" t="str">
        <f ca="1">IFERROR(__xludf.DUMMYFUNCTION("""COMPUTED_VALUE"""),"庫存調整")</f>
        <v>庫存調整</v>
      </c>
      <c r="C1741" s="1" t="str">
        <f ca="1">IFERROR(__xludf.DUMMYFUNCTION("""COMPUTED_VALUE"""),"ME0050000168")</f>
        <v>ME0050000168</v>
      </c>
      <c r="D1741" s="1" t="str">
        <f ca="1">IFERROR(__xludf.DUMMYFUNCTION("""COMPUTED_VALUE"""),"All/共用")</f>
        <v>All/共用</v>
      </c>
      <c r="E1741" s="1" t="str">
        <f ca="1">IFERROR(__xludf.DUMMYFUNCTION("""COMPUTED_VALUE"""),"p1/庫存")</f>
        <v>p1/庫存</v>
      </c>
      <c r="F1741" s="1">
        <f ca="1">IFERROR(__xludf.DUMMYFUNCTION("""COMPUTED_VALUE"""),2)</f>
        <v>2</v>
      </c>
      <c r="G1741" s="1"/>
      <c r="H1741" s="1" t="str">
        <f ca="1">IFERROR(__xludf.DUMMYFUNCTION("""COMPUTED_VALUE"""),"P3")</f>
        <v>P3</v>
      </c>
      <c r="I1741" s="1" t="str">
        <f ca="1">IFERROR(__xludf.DUMMYFUNCTION("""COMPUTED_VALUE"""),"Chiao Yu")</f>
        <v>Chiao Yu</v>
      </c>
    </row>
    <row r="1742" spans="1:9" ht="12.7" x14ac:dyDescent="0.4">
      <c r="A1742" s="2">
        <f ca="1">IFERROR(__xludf.DUMMYFUNCTION("""COMPUTED_VALUE"""),46149.4648899189)</f>
        <v>46149.464889918898</v>
      </c>
      <c r="B1742" s="1" t="str">
        <f ca="1">IFERROR(__xludf.DUMMYFUNCTION("""COMPUTED_VALUE"""),"庫存調整")</f>
        <v>庫存調整</v>
      </c>
      <c r="C1742" s="1" t="str">
        <f ca="1">IFERROR(__xludf.DUMMYFUNCTION("""COMPUTED_VALUE"""),"ME0010000382")</f>
        <v>ME0010000382</v>
      </c>
      <c r="D1742" s="1" t="str">
        <f ca="1">IFERROR(__xludf.DUMMYFUNCTION("""COMPUTED_VALUE"""),"All/共用")</f>
        <v>All/共用</v>
      </c>
      <c r="E1742" s="1" t="str">
        <f ca="1">IFERROR(__xludf.DUMMYFUNCTION("""COMPUTED_VALUE"""),"p1/庫存")</f>
        <v>p1/庫存</v>
      </c>
      <c r="F1742" s="1">
        <f ca="1">IFERROR(__xludf.DUMMYFUNCTION("""COMPUTED_VALUE"""),2)</f>
        <v>2</v>
      </c>
      <c r="G1742" s="1"/>
      <c r="H1742" s="1" t="str">
        <f ca="1">IFERROR(__xludf.DUMMYFUNCTION("""COMPUTED_VALUE"""),"P3")</f>
        <v>P3</v>
      </c>
      <c r="I1742" s="1" t="str">
        <f ca="1">IFERROR(__xludf.DUMMYFUNCTION("""COMPUTED_VALUE"""),"Chiao Yu")</f>
        <v>Chiao Yu</v>
      </c>
    </row>
    <row r="1743" spans="1:9" ht="12.7" x14ac:dyDescent="0.4">
      <c r="A1743" s="2">
        <f ca="1">IFERROR(__xludf.DUMMYFUNCTION("""COMPUTED_VALUE"""),46149.4660191319)</f>
        <v>46149.466019131898</v>
      </c>
      <c r="B1743" s="1" t="str">
        <f ca="1">IFERROR(__xludf.DUMMYFUNCTION("""COMPUTED_VALUE"""),"領料")</f>
        <v>領料</v>
      </c>
      <c r="C1743" s="1" t="str">
        <f ca="1">IFERROR(__xludf.DUMMYFUNCTION("""COMPUTED_VALUE"""),"ME0060000277")</f>
        <v>ME0060000277</v>
      </c>
      <c r="D1743" s="1" t="str">
        <f ca="1">IFERROR(__xludf.DUMMYFUNCTION("""COMPUTED_VALUE"""),"All/共用")</f>
        <v>All/共用</v>
      </c>
      <c r="E1743" s="1" t="str">
        <f ca="1">IFERROR(__xludf.DUMMYFUNCTION("""COMPUTED_VALUE"""),"p1/庫存")</f>
        <v>p1/庫存</v>
      </c>
      <c r="F1743" s="1">
        <f ca="1">IFERROR(__xludf.DUMMYFUNCTION("""COMPUTED_VALUE"""),1)</f>
        <v>1</v>
      </c>
      <c r="G1743" s="1"/>
      <c r="H1743" s="1" t="str">
        <f ca="1">IFERROR(__xludf.DUMMYFUNCTION("""COMPUTED_VALUE"""),"P3_4007")</f>
        <v>P3_4007</v>
      </c>
      <c r="I1743" s="1" t="str">
        <f ca="1">IFERROR(__xludf.DUMMYFUNCTION("""COMPUTED_VALUE"""),"Chiao Yu")</f>
        <v>Chiao Yu</v>
      </c>
    </row>
    <row r="1744" spans="1:9" ht="12.7" x14ac:dyDescent="0.4">
      <c r="A1744" s="2">
        <f ca="1">IFERROR(__xludf.DUMMYFUNCTION("""COMPUTED_VALUE"""),46155.1783218171)</f>
        <v>46155.178321817097</v>
      </c>
      <c r="B1744" s="1" t="str">
        <f ca="1">IFERROR(__xludf.DUMMYFUNCTION("""COMPUTED_VALUE"""),"領料")</f>
        <v>領料</v>
      </c>
      <c r="C1744" s="1" t="str">
        <f ca="1">IFERROR(__xludf.DUMMYFUNCTION("""COMPUTED_VALUE"""),"ME0120000085")</f>
        <v>ME0120000085</v>
      </c>
      <c r="D1744" s="1" t="str">
        <f ca="1">IFERROR(__xludf.DUMMYFUNCTION("""COMPUTED_VALUE"""),"All/BA")</f>
        <v>All/BA</v>
      </c>
      <c r="E1744" s="1" t="str">
        <f ca="1">IFERROR(__xludf.DUMMYFUNCTION("""COMPUTED_VALUE"""),"p1/庫存")</f>
        <v>p1/庫存</v>
      </c>
      <c r="F1744" s="1">
        <f ca="1">IFERROR(__xludf.DUMMYFUNCTION("""COMPUTED_VALUE"""),174)</f>
        <v>174</v>
      </c>
      <c r="G1744" s="1"/>
      <c r="H1744" s="1" t="str">
        <f ca="1">IFERROR(__xludf.DUMMYFUNCTION("""COMPUTED_VALUE"""),"P1_001~P1_029")</f>
        <v>P1_001~P1_029</v>
      </c>
      <c r="I1744" s="1" t="str">
        <f ca="1">IFERROR(__xludf.DUMMYFUNCTION("""COMPUTED_VALUE"""),"Jason")</f>
        <v>Jason</v>
      </c>
    </row>
    <row r="1745" spans="1:9" ht="12.7" x14ac:dyDescent="0.4">
      <c r="A1745" s="2">
        <f ca="1">IFERROR(__xludf.DUMMYFUNCTION("""COMPUTED_VALUE"""),46155.2450734143)</f>
        <v>46155.245073414299</v>
      </c>
      <c r="B1745" s="1" t="str">
        <f ca="1">IFERROR(__xludf.DUMMYFUNCTION("""COMPUTED_VALUE"""),"領料")</f>
        <v>領料</v>
      </c>
      <c r="C1745" s="1" t="str">
        <f ca="1">IFERROR(__xludf.DUMMYFUNCTION("""COMPUTED_VALUE"""),"MM0010000125")</f>
        <v>MM0010000125</v>
      </c>
      <c r="D1745" s="1" t="str">
        <f ca="1">IFERROR(__xludf.DUMMYFUNCTION("""COMPUTED_VALUE"""),"All/RL")</f>
        <v>All/RL</v>
      </c>
      <c r="E1745" s="1" t="str">
        <f ca="1">IFERROR(__xludf.DUMMYFUNCTION("""COMPUTED_VALUE"""),"p1/庫存")</f>
        <v>p1/庫存</v>
      </c>
      <c r="F1745" s="1">
        <f ca="1">IFERROR(__xludf.DUMMYFUNCTION("""COMPUTED_VALUE"""),1)</f>
        <v>1</v>
      </c>
      <c r="G1745" s="1"/>
      <c r="H1745" s="1" t="str">
        <f ca="1">IFERROR(__xludf.DUMMYFUNCTION("""COMPUTED_VALUE"""),"P3_1002")</f>
        <v>P3_1002</v>
      </c>
      <c r="I1745" s="1" t="str">
        <f ca="1">IFERROR(__xludf.DUMMYFUNCTION("""COMPUTED_VALUE"""),"Jason")</f>
        <v>Jason</v>
      </c>
    </row>
    <row r="1746" spans="1:9" ht="12.7" x14ac:dyDescent="0.4">
      <c r="A1746" s="2">
        <f ca="1">IFERROR(__xludf.DUMMYFUNCTION("""COMPUTED_VALUE"""),46155.2457881828)</f>
        <v>46155.245788182801</v>
      </c>
      <c r="B1746" s="1" t="str">
        <f ca="1">IFERROR(__xludf.DUMMYFUNCTION("""COMPUTED_VALUE"""),"領料")</f>
        <v>領料</v>
      </c>
      <c r="C1746" s="1" t="str">
        <f ca="1">IFERROR(__xludf.DUMMYFUNCTION("""COMPUTED_VALUE"""),"MM0260000249")</f>
        <v>MM0260000249</v>
      </c>
      <c r="D1746" s="1" t="str">
        <f ca="1">IFERROR(__xludf.DUMMYFUNCTION("""COMPUTED_VALUE"""),"All/RL")</f>
        <v>All/RL</v>
      </c>
      <c r="E1746" s="1" t="str">
        <f ca="1">IFERROR(__xludf.DUMMYFUNCTION("""COMPUTED_VALUE"""),"p1/庫存")</f>
        <v>p1/庫存</v>
      </c>
      <c r="F1746" s="1">
        <f ca="1">IFERROR(__xludf.DUMMYFUNCTION("""COMPUTED_VALUE"""),1)</f>
        <v>1</v>
      </c>
      <c r="G1746" s="1"/>
      <c r="H1746" s="1" t="str">
        <f ca="1">IFERROR(__xludf.DUMMYFUNCTION("""COMPUTED_VALUE"""),"P3_1002")</f>
        <v>P3_1002</v>
      </c>
      <c r="I1746" s="1" t="str">
        <f ca="1">IFERROR(__xludf.DUMMYFUNCTION("""COMPUTED_VALUE"""),"Jason")</f>
        <v>Jason</v>
      </c>
    </row>
    <row r="1747" spans="1:9" ht="12.7" x14ac:dyDescent="0.4">
      <c r="A1747" s="2">
        <f ca="1">IFERROR(__xludf.DUMMYFUNCTION("""COMPUTED_VALUE"""),46155.2465574999)</f>
        <v>46155.246557499901</v>
      </c>
      <c r="B1747" s="1" t="str">
        <f ca="1">IFERROR(__xludf.DUMMYFUNCTION("""COMPUTED_VALUE"""),"領料")</f>
        <v>領料</v>
      </c>
      <c r="C1747" s="1" t="str">
        <f ca="1">IFERROR(__xludf.DUMMYFUNCTION("""COMPUTED_VALUE"""),"MM0260000200")</f>
        <v>MM0260000200</v>
      </c>
      <c r="D1747" s="1" t="str">
        <f ca="1">IFERROR(__xludf.DUMMYFUNCTION("""COMPUTED_VALUE"""),"All/RL")</f>
        <v>All/RL</v>
      </c>
      <c r="E1747" s="1" t="str">
        <f ca="1">IFERROR(__xludf.DUMMYFUNCTION("""COMPUTED_VALUE"""),"p1/庫存")</f>
        <v>p1/庫存</v>
      </c>
      <c r="F1747" s="1">
        <f ca="1">IFERROR(__xludf.DUMMYFUNCTION("""COMPUTED_VALUE"""),1)</f>
        <v>1</v>
      </c>
      <c r="G1747" s="1"/>
      <c r="H1747" s="1" t="str">
        <f ca="1">IFERROR(__xludf.DUMMYFUNCTION("""COMPUTED_VALUE"""),"P3_1002")</f>
        <v>P3_1002</v>
      </c>
      <c r="I1747" s="1" t="str">
        <f ca="1">IFERROR(__xludf.DUMMYFUNCTION("""COMPUTED_VALUE"""),"Jason")</f>
        <v>Jason</v>
      </c>
    </row>
    <row r="1748" spans="1:9" ht="12.7" x14ac:dyDescent="0.4">
      <c r="A1748" s="2">
        <f ca="1">IFERROR(__xludf.DUMMYFUNCTION("""COMPUTED_VALUE"""),46155.2471366782)</f>
        <v>46155.247136678197</v>
      </c>
      <c r="B1748" s="1" t="str">
        <f ca="1">IFERROR(__xludf.DUMMYFUNCTION("""COMPUTED_VALUE"""),"領料")</f>
        <v>領料</v>
      </c>
      <c r="C1748" s="1" t="str">
        <f ca="1">IFERROR(__xludf.DUMMYFUNCTION("""COMPUTED_VALUE"""),"MM0260000199")</f>
        <v>MM0260000199</v>
      </c>
      <c r="D1748" s="1" t="str">
        <f ca="1">IFERROR(__xludf.DUMMYFUNCTION("""COMPUTED_VALUE"""),"All/RL")</f>
        <v>All/RL</v>
      </c>
      <c r="E1748" s="1" t="str">
        <f ca="1">IFERROR(__xludf.DUMMYFUNCTION("""COMPUTED_VALUE"""),"p1/庫存")</f>
        <v>p1/庫存</v>
      </c>
      <c r="F1748" s="1">
        <f ca="1">IFERROR(__xludf.DUMMYFUNCTION("""COMPUTED_VALUE"""),1)</f>
        <v>1</v>
      </c>
      <c r="G1748" s="1"/>
      <c r="H1748" s="1" t="str">
        <f ca="1">IFERROR(__xludf.DUMMYFUNCTION("""COMPUTED_VALUE"""),"P3_1002")</f>
        <v>P3_1002</v>
      </c>
      <c r="I1748" s="1" t="str">
        <f ca="1">IFERROR(__xludf.DUMMYFUNCTION("""COMPUTED_VALUE"""),"Jason")</f>
        <v>Jason</v>
      </c>
    </row>
    <row r="1749" spans="1:9" ht="12.7" x14ac:dyDescent="0.4">
      <c r="A1749" s="2">
        <f ca="1">IFERROR(__xludf.DUMMYFUNCTION("""COMPUTED_VALUE"""),46155.6679527546)</f>
        <v>46155.6679527546</v>
      </c>
      <c r="B1749" s="1" t="str">
        <f ca="1">IFERROR(__xludf.DUMMYFUNCTION("""COMPUTED_VALUE"""),"庫存調整")</f>
        <v>庫存調整</v>
      </c>
      <c r="C1749" s="1" t="str">
        <f ca="1">IFERROR(__xludf.DUMMYFUNCTION("""COMPUTED_VALUE"""),"ME0050000168")</f>
        <v>ME0050000168</v>
      </c>
      <c r="D1749" s="1" t="str">
        <f ca="1">IFERROR(__xludf.DUMMYFUNCTION("""COMPUTED_VALUE"""),"All/共用")</f>
        <v>All/共用</v>
      </c>
      <c r="E1749" s="1" t="str">
        <f ca="1">IFERROR(__xludf.DUMMYFUNCTION("""COMPUTED_VALUE"""),"p2/庫存")</f>
        <v>p2/庫存</v>
      </c>
      <c r="F1749" s="1">
        <f ca="1">IFERROR(__xludf.DUMMYFUNCTION("""COMPUTED_VALUE"""),2)</f>
        <v>2</v>
      </c>
      <c r="G1749" s="1"/>
      <c r="H1749" s="1" t="str">
        <f ca="1">IFERROR(__xludf.DUMMYFUNCTION("""COMPUTED_VALUE"""),"P2")</f>
        <v>P2</v>
      </c>
      <c r="I1749" s="1" t="str">
        <f ca="1">IFERROR(__xludf.DUMMYFUNCTION("""COMPUTED_VALUE"""),"Simon")</f>
        <v>Simon</v>
      </c>
    </row>
    <row r="1750" spans="1:9" ht="12.7" x14ac:dyDescent="0.4">
      <c r="A1750" s="2">
        <f ca="1">IFERROR(__xludf.DUMMYFUNCTION("""COMPUTED_VALUE"""),46155.6684520486)</f>
        <v>46155.668452048601</v>
      </c>
      <c r="B1750" s="1" t="str">
        <f ca="1">IFERROR(__xludf.DUMMYFUNCTION("""COMPUTED_VALUE"""),"庫存調整")</f>
        <v>庫存調整</v>
      </c>
      <c r="C1750" s="1" t="str">
        <f ca="1">IFERROR(__xludf.DUMMYFUNCTION("""COMPUTED_VALUE"""),"ME0050000167")</f>
        <v>ME0050000167</v>
      </c>
      <c r="D1750" s="1" t="str">
        <f ca="1">IFERROR(__xludf.DUMMYFUNCTION("""COMPUTED_VALUE"""),"All/共用")</f>
        <v>All/共用</v>
      </c>
      <c r="E1750" s="1" t="str">
        <f ca="1">IFERROR(__xludf.DUMMYFUNCTION("""COMPUTED_VALUE"""),"p2/庫存")</f>
        <v>p2/庫存</v>
      </c>
      <c r="F1750" s="1">
        <f ca="1">IFERROR(__xludf.DUMMYFUNCTION("""COMPUTED_VALUE"""),2)</f>
        <v>2</v>
      </c>
      <c r="G1750" s="1"/>
      <c r="H1750" s="1" t="str">
        <f ca="1">IFERROR(__xludf.DUMMYFUNCTION("""COMPUTED_VALUE"""),"P2")</f>
        <v>P2</v>
      </c>
      <c r="I1750" s="1" t="str">
        <f ca="1">IFERROR(__xludf.DUMMYFUNCTION("""COMPUTED_VALUE"""),"Simon")</f>
        <v>Simon</v>
      </c>
    </row>
    <row r="1751" spans="1:9" ht="12.7" x14ac:dyDescent="0.4">
      <c r="A1751" s="2">
        <f ca="1">IFERROR(__xludf.DUMMYFUNCTION("""COMPUTED_VALUE"""),46155.6691701157)</f>
        <v>46155.669170115703</v>
      </c>
      <c r="B1751" s="1" t="str">
        <f ca="1">IFERROR(__xludf.DUMMYFUNCTION("""COMPUTED_VALUE"""),"庫存調整")</f>
        <v>庫存調整</v>
      </c>
      <c r="C1751" s="1" t="str">
        <f ca="1">IFERROR(__xludf.DUMMYFUNCTION("""COMPUTED_VALUE"""),"ME0270001045")</f>
        <v>ME0270001045</v>
      </c>
      <c r="D1751" s="1" t="str">
        <f ca="1">IFERROR(__xludf.DUMMYFUNCTION("""COMPUTED_VALUE"""),"All/共用")</f>
        <v>All/共用</v>
      </c>
      <c r="E1751" s="1" t="str">
        <f ca="1">IFERROR(__xludf.DUMMYFUNCTION("""COMPUTED_VALUE"""),"p2/庫存")</f>
        <v>p2/庫存</v>
      </c>
      <c r="F1751" s="1">
        <f ca="1">IFERROR(__xludf.DUMMYFUNCTION("""COMPUTED_VALUE"""),1)</f>
        <v>1</v>
      </c>
      <c r="G1751" s="1"/>
      <c r="H1751" s="1" t="str">
        <f ca="1">IFERROR(__xludf.DUMMYFUNCTION("""COMPUTED_VALUE"""),"P2")</f>
        <v>P2</v>
      </c>
      <c r="I1751" s="1" t="str">
        <f ca="1">IFERROR(__xludf.DUMMYFUNCTION("""COMPUTED_VALUE"""),"Simon")</f>
        <v>Simon</v>
      </c>
    </row>
    <row r="1752" spans="1:9" ht="12.7" x14ac:dyDescent="0.4">
      <c r="A1752" s="2">
        <f ca="1">IFERROR(__xludf.DUMMYFUNCTION("""COMPUTED_VALUE"""),46156.214557824)</f>
        <v>46156.214557824002</v>
      </c>
      <c r="B1752" s="1" t="str">
        <f ca="1">IFERROR(__xludf.DUMMYFUNCTION("""COMPUTED_VALUE"""),"領料")</f>
        <v>領料</v>
      </c>
      <c r="C1752" s="1" t="str">
        <f ca="1">IFERROR(__xludf.DUMMYFUNCTION("""COMPUTED_VALUE"""),"MM0010000125")</f>
        <v>MM0010000125</v>
      </c>
      <c r="D1752" s="1" t="str">
        <f ca="1">IFERROR(__xludf.DUMMYFUNCTION("""COMPUTED_VALUE"""),"All/RL")</f>
        <v>All/RL</v>
      </c>
      <c r="E1752" s="1" t="str">
        <f ca="1">IFERROR(__xludf.DUMMYFUNCTION("""COMPUTED_VALUE"""),"p2/庫存")</f>
        <v>p2/庫存</v>
      </c>
      <c r="F1752" s="1">
        <f ca="1">IFERROR(__xludf.DUMMYFUNCTION("""COMPUTED_VALUE"""),3)</f>
        <v>3</v>
      </c>
      <c r="G1752" s="1"/>
      <c r="H1752" s="1" t="str">
        <f ca="1">IFERROR(__xludf.DUMMYFUNCTION("""COMPUTED_VALUE"""),"P2_1003，P2_1005，P2_1006")</f>
        <v>P2_1003，P2_1005，P2_1006</v>
      </c>
      <c r="I1752" s="1" t="str">
        <f ca="1">IFERROR(__xludf.DUMMYFUNCTION("""COMPUTED_VALUE"""),"Jason")</f>
        <v>Jason</v>
      </c>
    </row>
    <row r="1753" spans="1:9" ht="12.7" x14ac:dyDescent="0.4">
      <c r="A1753" s="2">
        <f ca="1">IFERROR(__xludf.DUMMYFUNCTION("""COMPUTED_VALUE"""),46156.2155642245)</f>
        <v>46156.215564224498</v>
      </c>
      <c r="B1753" s="1" t="str">
        <f ca="1">IFERROR(__xludf.DUMMYFUNCTION("""COMPUTED_VALUE"""),"領料")</f>
        <v>領料</v>
      </c>
      <c r="C1753" s="1" t="str">
        <f ca="1">IFERROR(__xludf.DUMMYFUNCTION("""COMPUTED_VALUE"""),"MM0260000249")</f>
        <v>MM0260000249</v>
      </c>
      <c r="D1753" s="1" t="str">
        <f ca="1">IFERROR(__xludf.DUMMYFUNCTION("""COMPUTED_VALUE"""),"All/RL")</f>
        <v>All/RL</v>
      </c>
      <c r="E1753" s="1" t="str">
        <f ca="1">IFERROR(__xludf.DUMMYFUNCTION("""COMPUTED_VALUE"""),"p2/庫存")</f>
        <v>p2/庫存</v>
      </c>
      <c r="F1753" s="1">
        <f ca="1">IFERROR(__xludf.DUMMYFUNCTION("""COMPUTED_VALUE"""),4)</f>
        <v>4</v>
      </c>
      <c r="G1753" s="1"/>
      <c r="H1753" s="1" t="str">
        <f ca="1">IFERROR(__xludf.DUMMYFUNCTION("""COMPUTED_VALUE"""),"P2_1003，P2_1004，P2_1005，P2_1006")</f>
        <v>P2_1003，P2_1004，P2_1005，P2_1006</v>
      </c>
      <c r="I1753" s="1" t="str">
        <f ca="1">IFERROR(__xludf.DUMMYFUNCTION("""COMPUTED_VALUE"""),"Jason")</f>
        <v>Jason</v>
      </c>
    </row>
    <row r="1754" spans="1:9" ht="12.7" x14ac:dyDescent="0.4">
      <c r="A1754" s="2">
        <f ca="1">IFERROR(__xludf.DUMMYFUNCTION("""COMPUTED_VALUE"""),46156.2163185648)</f>
        <v>46156.216318564802</v>
      </c>
      <c r="B1754" s="1" t="str">
        <f ca="1">IFERROR(__xludf.DUMMYFUNCTION("""COMPUTED_VALUE"""),"領料")</f>
        <v>領料</v>
      </c>
      <c r="C1754" s="1" t="str">
        <f ca="1">IFERROR(__xludf.DUMMYFUNCTION("""COMPUTED_VALUE"""),"MM0260000200")</f>
        <v>MM0260000200</v>
      </c>
      <c r="D1754" s="1" t="str">
        <f ca="1">IFERROR(__xludf.DUMMYFUNCTION("""COMPUTED_VALUE"""),"All/RL")</f>
        <v>All/RL</v>
      </c>
      <c r="E1754" s="1" t="str">
        <f ca="1">IFERROR(__xludf.DUMMYFUNCTION("""COMPUTED_VALUE"""),"p2/庫存")</f>
        <v>p2/庫存</v>
      </c>
      <c r="F1754" s="1">
        <f ca="1">IFERROR(__xludf.DUMMYFUNCTION("""COMPUTED_VALUE"""),4)</f>
        <v>4</v>
      </c>
      <c r="G1754" s="1"/>
      <c r="H1754" s="1" t="str">
        <f ca="1">IFERROR(__xludf.DUMMYFUNCTION("""COMPUTED_VALUE"""),"P2_1003，P2_1004，P2_1005，P2_1006")</f>
        <v>P2_1003，P2_1004，P2_1005，P2_1006</v>
      </c>
      <c r="I1754" s="1" t="str">
        <f ca="1">IFERROR(__xludf.DUMMYFUNCTION("""COMPUTED_VALUE"""),"Jason")</f>
        <v>Jason</v>
      </c>
    </row>
    <row r="1755" spans="1:9" ht="12.7" x14ac:dyDescent="0.4">
      <c r="A1755" s="2">
        <f ca="1">IFERROR(__xludf.DUMMYFUNCTION("""COMPUTED_VALUE"""),46156.2171932291)</f>
        <v>46156.217193229102</v>
      </c>
      <c r="B1755" s="1" t="str">
        <f ca="1">IFERROR(__xludf.DUMMYFUNCTION("""COMPUTED_VALUE"""),"領料")</f>
        <v>領料</v>
      </c>
      <c r="C1755" s="1" t="str">
        <f ca="1">IFERROR(__xludf.DUMMYFUNCTION("""COMPUTED_VALUE"""),"MM0260000199")</f>
        <v>MM0260000199</v>
      </c>
      <c r="D1755" s="1" t="str">
        <f ca="1">IFERROR(__xludf.DUMMYFUNCTION("""COMPUTED_VALUE"""),"All/RL")</f>
        <v>All/RL</v>
      </c>
      <c r="E1755" s="1" t="str">
        <f ca="1">IFERROR(__xludf.DUMMYFUNCTION("""COMPUTED_VALUE"""),"p2/庫存")</f>
        <v>p2/庫存</v>
      </c>
      <c r="F1755" s="1">
        <f ca="1">IFERROR(__xludf.DUMMYFUNCTION("""COMPUTED_VALUE"""),4)</f>
        <v>4</v>
      </c>
      <c r="G1755" s="1"/>
      <c r="H1755" s="1" t="str">
        <f ca="1">IFERROR(__xludf.DUMMYFUNCTION("""COMPUTED_VALUE"""),"P2_1003，P2_1004，P2_1005，P2_1006")</f>
        <v>P2_1003，P2_1004，P2_1005，P2_1006</v>
      </c>
      <c r="I1755" s="1" t="str">
        <f ca="1">IFERROR(__xludf.DUMMYFUNCTION("""COMPUTED_VALUE"""),"Jason")</f>
        <v>Jason</v>
      </c>
    </row>
    <row r="1756" spans="1:9" ht="12.7" x14ac:dyDescent="0.4">
      <c r="A1756" s="2">
        <f ca="1">IFERROR(__xludf.DUMMYFUNCTION("""COMPUTED_VALUE"""),46156.6829484027)</f>
        <v>46156.682948402697</v>
      </c>
      <c r="B1756" s="1" t="str">
        <f ca="1">IFERROR(__xludf.DUMMYFUNCTION("""COMPUTED_VALUE"""),"送修")</f>
        <v>送修</v>
      </c>
      <c r="C1756" s="1" t="str">
        <f ca="1">IFERROR(__xludf.DUMMYFUNCTION("""COMPUTED_VALUE"""),"A00100000731")</f>
        <v>A00100000731</v>
      </c>
      <c r="D1756" s="1" t="str">
        <f ca="1">IFERROR(__xludf.DUMMYFUNCTION("""COMPUTED_VALUE"""),"All/BA")</f>
        <v>All/BA</v>
      </c>
      <c r="E1756" s="1" t="str">
        <f ca="1">IFERROR(__xludf.DUMMYFUNCTION("""COMPUTED_VALUE"""),"p1/庫存")</f>
        <v>p1/庫存</v>
      </c>
      <c r="F1756" s="1">
        <f ca="1">IFERROR(__xludf.DUMMYFUNCTION("""COMPUTED_VALUE"""),1)</f>
        <v>1</v>
      </c>
      <c r="G1756" s="1" t="str">
        <f ca="1">IFERROR(__xludf.DUMMYFUNCTION("""COMPUTED_VALUE"""),"09F426")</f>
        <v>09F426</v>
      </c>
      <c r="H1756" s="1" t="str">
        <f ca="1">IFERROR(__xludf.DUMMYFUNCTION("""COMPUTED_VALUE"""),"P3_015")</f>
        <v>P3_015</v>
      </c>
      <c r="I1756" s="1" t="str">
        <f ca="1">IFERROR(__xludf.DUMMYFUNCTION("""COMPUTED_VALUE"""),"Simon")</f>
        <v>Simon</v>
      </c>
    </row>
    <row r="1757" spans="1:9" ht="12.7" x14ac:dyDescent="0.4">
      <c r="A1757" s="2">
        <f ca="1">IFERROR(__xludf.DUMMYFUNCTION("""COMPUTED_VALUE"""),46156.6852504629)</f>
        <v>46156.685250462899</v>
      </c>
      <c r="B1757" s="1" t="str">
        <f ca="1">IFERROR(__xludf.DUMMYFUNCTION("""COMPUTED_VALUE"""),"料件上線時間")</f>
        <v>料件上線時間</v>
      </c>
      <c r="C1757" s="1" t="str">
        <f ca="1">IFERROR(__xludf.DUMMYFUNCTION("""COMPUTED_VALUE"""),"A00100000731")</f>
        <v>A00100000731</v>
      </c>
      <c r="D1757" s="1" t="str">
        <f ca="1">IFERROR(__xludf.DUMMYFUNCTION("""COMPUTED_VALUE"""),"All/BA")</f>
        <v>All/BA</v>
      </c>
      <c r="E1757" s="1" t="str">
        <f ca="1">IFERROR(__xludf.DUMMYFUNCTION("""COMPUTED_VALUE"""),"p1/庫存")</f>
        <v>p1/庫存</v>
      </c>
      <c r="F1757" s="1">
        <f ca="1">IFERROR(__xludf.DUMMYFUNCTION("""COMPUTED_VALUE"""),1)</f>
        <v>1</v>
      </c>
      <c r="G1757" s="1" t="str">
        <f ca="1">IFERROR(__xludf.DUMMYFUNCTION("""COMPUTED_VALUE"""),"06F337")</f>
        <v>06F337</v>
      </c>
      <c r="H1757" s="1" t="str">
        <f ca="1">IFERROR(__xludf.DUMMYFUNCTION("""COMPUTED_VALUE"""),"P3_015")</f>
        <v>P3_015</v>
      </c>
      <c r="I1757" s="1" t="str">
        <f ca="1">IFERROR(__xludf.DUMMYFUNCTION("""COMPUTED_VALUE"""),"Simon")</f>
        <v>Simon</v>
      </c>
    </row>
    <row r="1758" spans="1:9" ht="12.7" x14ac:dyDescent="0.4">
      <c r="A1758" s="2">
        <f ca="1">IFERROR(__xludf.DUMMYFUNCTION("""COMPUTED_VALUE"""),46157.085222743)</f>
        <v>46157.085222743</v>
      </c>
      <c r="B1758" s="1" t="str">
        <f ca="1">IFERROR(__xludf.DUMMYFUNCTION("""COMPUTED_VALUE"""),"領料")</f>
        <v>領料</v>
      </c>
      <c r="C1758" s="1" t="str">
        <f ca="1">IFERROR(__xludf.DUMMYFUNCTION("""COMPUTED_VALUE"""),"ME0070000140")</f>
        <v>ME0070000140</v>
      </c>
      <c r="D1758" s="1" t="str">
        <f ca="1">IFERROR(__xludf.DUMMYFUNCTION("""COMPUTED_VALUE"""),"All/BA")</f>
        <v>All/BA</v>
      </c>
      <c r="E1758" s="1" t="str">
        <f ca="1">IFERROR(__xludf.DUMMYFUNCTION("""COMPUTED_VALUE"""),"p2/庫存")</f>
        <v>p2/庫存</v>
      </c>
      <c r="F1758" s="1">
        <f ca="1">IFERROR(__xludf.DUMMYFUNCTION("""COMPUTED_VALUE"""),1)</f>
        <v>1</v>
      </c>
      <c r="G1758" s="1" t="str">
        <f ca="1">IFERROR(__xludf.DUMMYFUNCTION("""COMPUTED_VALUE"""),"100A-2522G0004-2303")</f>
        <v>100A-2522G0004-2303</v>
      </c>
      <c r="H1758" s="1" t="str">
        <f ca="1">IFERROR(__xludf.DUMMYFUNCTION("""COMPUTED_VALUE"""),"P2_2002")</f>
        <v>P2_2002</v>
      </c>
      <c r="I1758" s="1" t="str">
        <f ca="1">IFERROR(__xludf.DUMMYFUNCTION("""COMPUTED_VALUE"""),"Jason")</f>
        <v>Jason</v>
      </c>
    </row>
    <row r="1759" spans="1:9" ht="12.7" x14ac:dyDescent="0.4">
      <c r="A1759" s="2">
        <f ca="1">IFERROR(__xludf.DUMMYFUNCTION("""COMPUTED_VALUE"""),46157.0860744444)</f>
        <v>46157.0860744444</v>
      </c>
      <c r="B1759" s="1" t="str">
        <f ca="1">IFERROR(__xludf.DUMMYFUNCTION("""COMPUTED_VALUE"""),"料件上線時間")</f>
        <v>料件上線時間</v>
      </c>
      <c r="C1759" s="1" t="str">
        <f ca="1">IFERROR(__xludf.DUMMYFUNCTION("""COMPUTED_VALUE"""),"ME0070000140")</f>
        <v>ME0070000140</v>
      </c>
      <c r="D1759" s="1" t="str">
        <f ca="1">IFERROR(__xludf.DUMMYFUNCTION("""COMPUTED_VALUE"""),"All/BA")</f>
        <v>All/BA</v>
      </c>
      <c r="E1759" s="1" t="str">
        <f ca="1">IFERROR(__xludf.DUMMYFUNCTION("""COMPUTED_VALUE"""),"p2/庫存")</f>
        <v>p2/庫存</v>
      </c>
      <c r="F1759" s="1">
        <f ca="1">IFERROR(__xludf.DUMMYFUNCTION("""COMPUTED_VALUE"""),1)</f>
        <v>1</v>
      </c>
      <c r="G1759" s="1" t="str">
        <f ca="1">IFERROR(__xludf.DUMMYFUNCTION("""COMPUTED_VALUE"""),"100A-2524L0002-2512")</f>
        <v>100A-2524L0002-2512</v>
      </c>
      <c r="H1759" s="1" t="str">
        <f ca="1">IFERROR(__xludf.DUMMYFUNCTION("""COMPUTED_VALUE"""),"P2_2002")</f>
        <v>P2_2002</v>
      </c>
      <c r="I1759" s="1" t="str">
        <f ca="1">IFERROR(__xludf.DUMMYFUNCTION("""COMPUTED_VALUE"""),"Jason")</f>
        <v>Jason</v>
      </c>
    </row>
    <row r="1760" spans="1:9" ht="12.7" x14ac:dyDescent="0.4">
      <c r="A1760" s="2">
        <f ca="1">IFERROR(__xludf.DUMMYFUNCTION("""COMPUTED_VALUE"""),46157.2198391087)</f>
        <v>46157.2198391087</v>
      </c>
      <c r="B1760" s="1" t="str">
        <f ca="1">IFERROR(__xludf.DUMMYFUNCTION("""COMPUTED_VALUE"""),"送修")</f>
        <v>送修</v>
      </c>
      <c r="C1760" s="1" t="str">
        <f ca="1">IFERROR(__xludf.DUMMYFUNCTION("""COMPUTED_VALUE"""),"A00100000731")</f>
        <v>A00100000731</v>
      </c>
      <c r="D1760" s="1" t="str">
        <f ca="1">IFERROR(__xludf.DUMMYFUNCTION("""COMPUTED_VALUE"""),"All/BA")</f>
        <v>All/BA</v>
      </c>
      <c r="E1760" s="1" t="str">
        <f ca="1">IFERROR(__xludf.DUMMYFUNCTION("""COMPUTED_VALUE"""),"p2/庫存")</f>
        <v>p2/庫存</v>
      </c>
      <c r="F1760" s="1">
        <f ca="1">IFERROR(__xludf.DUMMYFUNCTION("""COMPUTED_VALUE"""),1)</f>
        <v>1</v>
      </c>
      <c r="G1760" s="1" t="str">
        <f ca="1">IFERROR(__xludf.DUMMYFUNCTION("""COMPUTED_VALUE"""),"10F496")</f>
        <v>10F496</v>
      </c>
      <c r="H1760" s="1" t="str">
        <f ca="1">IFERROR(__xludf.DUMMYFUNCTION("""COMPUTED_VALUE"""),"P2_046")</f>
        <v>P2_046</v>
      </c>
      <c r="I1760" s="1" t="str">
        <f ca="1">IFERROR(__xludf.DUMMYFUNCTION("""COMPUTED_VALUE"""),"Jason")</f>
        <v>Jason</v>
      </c>
    </row>
    <row r="1761" spans="1:9" ht="12.7" x14ac:dyDescent="0.4">
      <c r="A1761" s="2">
        <f ca="1">IFERROR(__xludf.DUMMYFUNCTION("""COMPUTED_VALUE"""),46157.2205977199)</f>
        <v>46157.220597719897</v>
      </c>
      <c r="B1761" s="1" t="str">
        <f ca="1">IFERROR(__xludf.DUMMYFUNCTION("""COMPUTED_VALUE"""),"料件上線時間")</f>
        <v>料件上線時間</v>
      </c>
      <c r="C1761" s="1" t="str">
        <f ca="1">IFERROR(__xludf.DUMMYFUNCTION("""COMPUTED_VALUE"""),"A00100000731")</f>
        <v>A00100000731</v>
      </c>
      <c r="D1761" s="1" t="str">
        <f ca="1">IFERROR(__xludf.DUMMYFUNCTION("""COMPUTED_VALUE"""),"All/BA")</f>
        <v>All/BA</v>
      </c>
      <c r="E1761" s="1" t="str">
        <f ca="1">IFERROR(__xludf.DUMMYFUNCTION("""COMPUTED_VALUE"""),"p2/庫存")</f>
        <v>p2/庫存</v>
      </c>
      <c r="F1761" s="1">
        <f ca="1">IFERROR(__xludf.DUMMYFUNCTION("""COMPUTED_VALUE"""),1)</f>
        <v>1</v>
      </c>
      <c r="G1761" s="1" t="str">
        <f ca="1">IFERROR(__xludf.DUMMYFUNCTION("""COMPUTED_VALUE"""),"10F496")</f>
        <v>10F496</v>
      </c>
      <c r="H1761" s="1" t="str">
        <f ca="1">IFERROR(__xludf.DUMMYFUNCTION("""COMPUTED_VALUE"""),"P2_046")</f>
        <v>P2_046</v>
      </c>
      <c r="I1761" s="1" t="str">
        <f ca="1">IFERROR(__xludf.DUMMYFUNCTION("""COMPUTED_VALUE"""),"Jason")</f>
        <v>Jason</v>
      </c>
    </row>
    <row r="1762" spans="1:9" ht="12.7" x14ac:dyDescent="0.4">
      <c r="A1762" s="2">
        <f ca="1">IFERROR(__xludf.DUMMYFUNCTION("""COMPUTED_VALUE"""),46157.2216309027)</f>
        <v>46157.221630902699</v>
      </c>
      <c r="B1762" s="1" t="str">
        <f ca="1">IFERROR(__xludf.DUMMYFUNCTION("""COMPUTED_VALUE"""),"料件上線時間")</f>
        <v>料件上線時間</v>
      </c>
      <c r="C1762" s="1" t="str">
        <f ca="1">IFERROR(__xludf.DUMMYFUNCTION("""COMPUTED_VALUE"""),"A00100000731")</f>
        <v>A00100000731</v>
      </c>
      <c r="D1762" s="1" t="str">
        <f ca="1">IFERROR(__xludf.DUMMYFUNCTION("""COMPUTED_VALUE"""),"All/BA")</f>
        <v>All/BA</v>
      </c>
      <c r="E1762" s="1" t="str">
        <f ca="1">IFERROR(__xludf.DUMMYFUNCTION("""COMPUTED_VALUE"""),"p2/庫存")</f>
        <v>p2/庫存</v>
      </c>
      <c r="F1762" s="1">
        <f ca="1">IFERROR(__xludf.DUMMYFUNCTION("""COMPUTED_VALUE"""),1)</f>
        <v>1</v>
      </c>
      <c r="G1762" s="1" t="str">
        <f ca="1">IFERROR(__xludf.DUMMYFUNCTION("""COMPUTED_VALUE"""),"03F606")</f>
        <v>03F606</v>
      </c>
      <c r="H1762" s="1" t="str">
        <f ca="1">IFERROR(__xludf.DUMMYFUNCTION("""COMPUTED_VALUE"""),"P2_046")</f>
        <v>P2_046</v>
      </c>
      <c r="I1762" s="1" t="str">
        <f ca="1">IFERROR(__xludf.DUMMYFUNCTION("""COMPUTED_VALUE"""),"Jason")</f>
        <v>Jason</v>
      </c>
    </row>
    <row r="1763" spans="1:9" ht="12.7" x14ac:dyDescent="0.4">
      <c r="A1763" s="2">
        <f ca="1">IFERROR(__xludf.DUMMYFUNCTION("""COMPUTED_VALUE"""),46157.2535756365)</f>
        <v>46157.253575636503</v>
      </c>
      <c r="B1763" s="1" t="str">
        <f ca="1">IFERROR(__xludf.DUMMYFUNCTION("""COMPUTED_VALUE"""),"領料")</f>
        <v>領料</v>
      </c>
      <c r="C1763" s="1" t="str">
        <f ca="1">IFERROR(__xludf.DUMMYFUNCTION("""COMPUTED_VALUE"""),"A00700000862")</f>
        <v>A00700000862</v>
      </c>
      <c r="D1763" s="1" t="str">
        <f ca="1">IFERROR(__xludf.DUMMYFUNCTION("""COMPUTED_VALUE"""),"All/SB")</f>
        <v>All/SB</v>
      </c>
      <c r="E1763" s="1" t="str">
        <f ca="1">IFERROR(__xludf.DUMMYFUNCTION("""COMPUTED_VALUE"""),"p1/庫存")</f>
        <v>p1/庫存</v>
      </c>
      <c r="F1763" s="1">
        <f ca="1">IFERROR(__xludf.DUMMYFUNCTION("""COMPUTED_VALUE"""),3)</f>
        <v>3</v>
      </c>
      <c r="G1763" s="1"/>
      <c r="H1763" s="1" t="str">
        <f ca="1">IFERROR(__xludf.DUMMYFUNCTION("""COMPUTED_VALUE"""),"P3_4007")</f>
        <v>P3_4007</v>
      </c>
      <c r="I1763" s="1" t="str">
        <f ca="1">IFERROR(__xludf.DUMMYFUNCTION("""COMPUTED_VALUE"""),"Jason")</f>
        <v>Jason</v>
      </c>
    </row>
    <row r="1764" spans="1:9" ht="12.7" x14ac:dyDescent="0.4">
      <c r="A1764" s="2">
        <f ca="1">IFERROR(__xludf.DUMMYFUNCTION("""COMPUTED_VALUE"""),46157.3811951504)</f>
        <v>46157.381195150403</v>
      </c>
      <c r="B1764" s="1" t="str">
        <f ca="1">IFERROR(__xludf.DUMMYFUNCTION("""COMPUTED_VALUE"""),"領料")</f>
        <v>領料</v>
      </c>
      <c r="C1764" s="1" t="str">
        <f ca="1">IFERROR(__xludf.DUMMYFUNCTION("""COMPUTED_VALUE"""),"AGT000000005")</f>
        <v>AGT000000005</v>
      </c>
      <c r="D1764" s="1" t="str">
        <f ca="1">IFERROR(__xludf.DUMMYFUNCTION("""COMPUTED_VALUE"""),"All/共用")</f>
        <v>All/共用</v>
      </c>
      <c r="E1764" s="1" t="str">
        <f ca="1">IFERROR(__xludf.DUMMYFUNCTION("""COMPUTED_VALUE"""),"p1/庫存")</f>
        <v>p1/庫存</v>
      </c>
      <c r="F1764" s="1">
        <f ca="1">IFERROR(__xludf.DUMMYFUNCTION("""COMPUTED_VALUE"""),1)</f>
        <v>1</v>
      </c>
      <c r="G1764" s="1"/>
      <c r="H1764" s="1" t="str">
        <f ca="1">IFERROR(__xludf.DUMMYFUNCTION("""COMPUTED_VALUE"""),"P3_4007")</f>
        <v>P3_4007</v>
      </c>
      <c r="I1764" s="1" t="str">
        <f ca="1">IFERROR(__xludf.DUMMYFUNCTION("""COMPUTED_VALUE"""),"Jason")</f>
        <v>Jason</v>
      </c>
    </row>
    <row r="1765" spans="1:9" ht="12.7" x14ac:dyDescent="0.4">
      <c r="A1765" s="2">
        <f ca="1">IFERROR(__xludf.DUMMYFUNCTION("""COMPUTED_VALUE"""),46160.4127640162)</f>
        <v>46160.412764016197</v>
      </c>
      <c r="B1765" s="1" t="str">
        <f ca="1">IFERROR(__xludf.DUMMYFUNCTION("""COMPUTED_VALUE"""),"領料")</f>
        <v>領料</v>
      </c>
      <c r="C1765" s="1" t="str">
        <f ca="1">IFERROR(__xludf.DUMMYFUNCTION("""COMPUTED_VALUE"""),"ME0270001357")</f>
        <v>ME0270001357</v>
      </c>
      <c r="D1765" s="1" t="str">
        <f ca="1">IFERROR(__xludf.DUMMYFUNCTION("""COMPUTED_VALUE"""),"All/COLOR")</f>
        <v>All/COLOR</v>
      </c>
      <c r="E1765" s="1" t="str">
        <f ca="1">IFERROR(__xludf.DUMMYFUNCTION("""COMPUTED_VALUE"""),"p2/庫存")</f>
        <v>p2/庫存</v>
      </c>
      <c r="F1765" s="1">
        <f ca="1">IFERROR(__xludf.DUMMYFUNCTION("""COMPUTED_VALUE"""),1)</f>
        <v>1</v>
      </c>
      <c r="G1765" s="1"/>
      <c r="H1765" s="1" t="str">
        <f ca="1">IFERROR(__xludf.DUMMYFUNCTION("""COMPUTED_VALUE"""),"P2_3003")</f>
        <v>P2_3003</v>
      </c>
      <c r="I1765" s="1" t="str">
        <f ca="1">IFERROR(__xludf.DUMMYFUNCTION("""COMPUTED_VALUE"""),"Uri")</f>
        <v>Uri</v>
      </c>
    </row>
    <row r="1766" spans="1:9" ht="12.7" x14ac:dyDescent="0.4">
      <c r="A1766" s="2">
        <f ca="1">IFERROR(__xludf.DUMMYFUNCTION("""COMPUTED_VALUE"""),46161.2589386805)</f>
        <v>46161.258938680498</v>
      </c>
      <c r="B1766" s="1" t="str">
        <f ca="1">IFERROR(__xludf.DUMMYFUNCTION("""COMPUTED_VALUE"""),"領料")</f>
        <v>領料</v>
      </c>
      <c r="C1766" s="1" t="str">
        <f ca="1">IFERROR(__xludf.DUMMYFUNCTION("""COMPUTED_VALUE"""),"A00700000862")</f>
        <v>A00700000862</v>
      </c>
      <c r="D1766" s="1" t="str">
        <f ca="1">IFERROR(__xludf.DUMMYFUNCTION("""COMPUTED_VALUE"""),"All/SB")</f>
        <v>All/SB</v>
      </c>
      <c r="E1766" s="1" t="str">
        <f ca="1">IFERROR(__xludf.DUMMYFUNCTION("""COMPUTED_VALUE"""),"p2/庫存")</f>
        <v>p2/庫存</v>
      </c>
      <c r="F1766" s="1">
        <f ca="1">IFERROR(__xludf.DUMMYFUNCTION("""COMPUTED_VALUE"""),2)</f>
        <v>2</v>
      </c>
      <c r="G1766" s="1"/>
      <c r="H1766" s="1" t="str">
        <f ca="1">IFERROR(__xludf.DUMMYFUNCTION("""COMPUTED_VALUE"""),"P2_7002")</f>
        <v>P2_7002</v>
      </c>
      <c r="I1766" s="1" t="str">
        <f ca="1">IFERROR(__xludf.DUMMYFUNCTION("""COMPUTED_VALUE"""),"Jason")</f>
        <v>Jason</v>
      </c>
    </row>
    <row r="1767" spans="1:9" ht="12.7" x14ac:dyDescent="0.4">
      <c r="A1767" s="2">
        <f ca="1">IFERROR(__xludf.DUMMYFUNCTION("""COMPUTED_VALUE"""),46161.3644866319)</f>
        <v>46161.364486631901</v>
      </c>
      <c r="B1767" s="1" t="str">
        <f ca="1">IFERROR(__xludf.DUMMYFUNCTION("""COMPUTED_VALUE"""),"領料")</f>
        <v>領料</v>
      </c>
      <c r="C1767" s="1" t="str">
        <f ca="1">IFERROR(__xludf.DUMMYFUNCTION("""COMPUTED_VALUE"""),"A00700000862")</f>
        <v>A00700000862</v>
      </c>
      <c r="D1767" s="1" t="str">
        <f ca="1">IFERROR(__xludf.DUMMYFUNCTION("""COMPUTED_VALUE"""),"All/SB")</f>
        <v>All/SB</v>
      </c>
      <c r="E1767" s="1" t="str">
        <f ca="1">IFERROR(__xludf.DUMMYFUNCTION("""COMPUTED_VALUE"""),"p2/庫存")</f>
        <v>p2/庫存</v>
      </c>
      <c r="F1767" s="1">
        <f ca="1">IFERROR(__xludf.DUMMYFUNCTION("""COMPUTED_VALUE"""),2)</f>
        <v>2</v>
      </c>
      <c r="G1767" s="1"/>
      <c r="H1767" s="1" t="str">
        <f ca="1">IFERROR(__xludf.DUMMYFUNCTION("""COMPUTED_VALUE"""),"P2_7002")</f>
        <v>P2_7002</v>
      </c>
      <c r="I1767" s="1" t="str">
        <f ca="1">IFERROR(__xludf.DUMMYFUNCTION("""COMPUTED_VALUE"""),"Jason")</f>
        <v>Jason</v>
      </c>
    </row>
    <row r="1768" spans="1:9" ht="12.7" x14ac:dyDescent="0.4">
      <c r="A1768" s="2">
        <f ca="1">IFERROR(__xludf.DUMMYFUNCTION("""COMPUTED_VALUE"""),46161.5898975694)</f>
        <v>46161.5898975694</v>
      </c>
      <c r="B1768" s="1" t="str">
        <f ca="1">IFERROR(__xludf.DUMMYFUNCTION("""COMPUTED_VALUE"""),"領料")</f>
        <v>領料</v>
      </c>
      <c r="C1768" s="1" t="str">
        <f ca="1">IFERROR(__xludf.DUMMYFUNCTION("""COMPUTED_VALUE"""),"AGT000000005")</f>
        <v>AGT000000005</v>
      </c>
      <c r="D1768" s="1" t="str">
        <f ca="1">IFERROR(__xludf.DUMMYFUNCTION("""COMPUTED_VALUE"""),"All/共用")</f>
        <v>All/共用</v>
      </c>
      <c r="E1768" s="1" t="str">
        <f ca="1">IFERROR(__xludf.DUMMYFUNCTION("""COMPUTED_VALUE"""),"p1/庫存")</f>
        <v>p1/庫存</v>
      </c>
      <c r="F1768" s="1">
        <f ca="1">IFERROR(__xludf.DUMMYFUNCTION("""COMPUTED_VALUE"""),2)</f>
        <v>2</v>
      </c>
      <c r="G1768" s="1"/>
      <c r="H1768" s="1" t="str">
        <f ca="1">IFERROR(__xludf.DUMMYFUNCTION("""COMPUTED_VALUE"""),"P3")</f>
        <v>P3</v>
      </c>
      <c r="I1768" s="1" t="str">
        <f ca="1">IFERROR(__xludf.DUMMYFUNCTION("""COMPUTED_VALUE"""),"Simon")</f>
        <v>Simon</v>
      </c>
    </row>
    <row r="1769" spans="1:9" ht="12.7" x14ac:dyDescent="0.4">
      <c r="A1769" s="2">
        <f ca="1">IFERROR(__xludf.DUMMYFUNCTION("""COMPUTED_VALUE"""),46161.5966395833)</f>
        <v>46161.596639583302</v>
      </c>
      <c r="B1769" s="1" t="str">
        <f ca="1">IFERROR(__xludf.DUMMYFUNCTION("""COMPUTED_VALUE"""),"庫存調整")</f>
        <v>庫存調整</v>
      </c>
      <c r="C1769" s="1" t="str">
        <f ca="1">IFERROR(__xludf.DUMMYFUNCTION("""COMPUTED_VALUE"""),"ME0020000637")</f>
        <v>ME0020000637</v>
      </c>
      <c r="D1769" s="1" t="str">
        <f ca="1">IFERROR(__xludf.DUMMYFUNCTION("""COMPUTED_VALUE"""),"All/共用")</f>
        <v>All/共用</v>
      </c>
      <c r="E1769" s="1" t="str">
        <f ca="1">IFERROR(__xludf.DUMMYFUNCTION("""COMPUTED_VALUE"""),"p1/庫存")</f>
        <v>p1/庫存</v>
      </c>
      <c r="F1769" s="1">
        <f ca="1">IFERROR(__xludf.DUMMYFUNCTION("""COMPUTED_VALUE"""),1)</f>
        <v>1</v>
      </c>
      <c r="G1769" s="1"/>
      <c r="H1769" s="1" t="str">
        <f ca="1">IFERROR(__xludf.DUMMYFUNCTION("""COMPUTED_VALUE"""),"P3")</f>
        <v>P3</v>
      </c>
      <c r="I1769" s="1" t="str">
        <f ca="1">IFERROR(__xludf.DUMMYFUNCTION("""COMPUTED_VALUE"""),"Simon")</f>
        <v>Simon</v>
      </c>
    </row>
    <row r="1770" spans="1:9" ht="12.7" x14ac:dyDescent="0.4">
      <c r="A1770" s="2">
        <f ca="1">IFERROR(__xludf.DUMMYFUNCTION("""COMPUTED_VALUE"""),46161.6012148958)</f>
        <v>46161.601214895803</v>
      </c>
      <c r="B1770" s="1" t="str">
        <f ca="1">IFERROR(__xludf.DUMMYFUNCTION("""COMPUTED_VALUE"""),"領料")</f>
        <v>領料</v>
      </c>
      <c r="C1770" s="1" t="str">
        <f ca="1">IFERROR(__xludf.DUMMYFUNCTION("""COMPUTED_VALUE"""),"ME0020000637")</f>
        <v>ME0020000637</v>
      </c>
      <c r="D1770" s="1" t="str">
        <f ca="1">IFERROR(__xludf.DUMMYFUNCTION("""COMPUTED_VALUE"""),"All/共用")</f>
        <v>All/共用</v>
      </c>
      <c r="E1770" s="1" t="str">
        <f ca="1">IFERROR(__xludf.DUMMYFUNCTION("""COMPUTED_VALUE"""),"p1/庫存")</f>
        <v>p1/庫存</v>
      </c>
      <c r="F1770" s="1">
        <f ca="1">IFERROR(__xludf.DUMMYFUNCTION("""COMPUTED_VALUE"""),1)</f>
        <v>1</v>
      </c>
      <c r="G1770" s="1" t="str">
        <f ca="1">IFERROR(__xludf.DUMMYFUNCTION("""COMPUTED_VALUE"""),"42B0A0XMFEHE")</f>
        <v>42B0A0XMFEHE</v>
      </c>
      <c r="H1770" s="1" t="str">
        <f ca="1">IFERROR(__xludf.DUMMYFUNCTION("""COMPUTED_VALUE"""),"P3")</f>
        <v>P3</v>
      </c>
      <c r="I1770" s="1" t="str">
        <f ca="1">IFERROR(__xludf.DUMMYFUNCTION("""COMPUTED_VALUE"""),"Simon")</f>
        <v>Simon</v>
      </c>
    </row>
    <row r="1771" spans="1:9" ht="12.7" x14ac:dyDescent="0.4">
      <c r="A1771" s="2">
        <f ca="1">IFERROR(__xludf.DUMMYFUNCTION("""COMPUTED_VALUE"""),46162.2632222453)</f>
        <v>46162.263222245303</v>
      </c>
      <c r="B1771" s="1" t="str">
        <f ca="1">IFERROR(__xludf.DUMMYFUNCTION("""COMPUTED_VALUE"""),"領料")</f>
        <v>領料</v>
      </c>
      <c r="C1771" s="1" t="str">
        <f ca="1">IFERROR(__xludf.DUMMYFUNCTION("""COMPUTED_VALUE"""),"ME0120000048")</f>
        <v>ME0120000048</v>
      </c>
      <c r="D1771" s="1" t="str">
        <f ca="1">IFERROR(__xludf.DUMMYFUNCTION("""COMPUTED_VALUE"""),"All/共用")</f>
        <v>All/共用</v>
      </c>
      <c r="E1771" s="1" t="str">
        <f ca="1">IFERROR(__xludf.DUMMYFUNCTION("""COMPUTED_VALUE"""),"p2/庫存")</f>
        <v>p2/庫存</v>
      </c>
      <c r="F1771" s="1">
        <f ca="1">IFERROR(__xludf.DUMMYFUNCTION("""COMPUTED_VALUE"""),1)</f>
        <v>1</v>
      </c>
      <c r="G1771" s="1"/>
      <c r="H1771" s="1" t="str">
        <f ca="1">IFERROR(__xludf.DUMMYFUNCTION("""COMPUTED_VALUE"""),"P2_DVR")</f>
        <v>P2_DVR</v>
      </c>
      <c r="I1771" s="1" t="str">
        <f ca="1">IFERROR(__xludf.DUMMYFUNCTION("""COMPUTED_VALUE"""),"Jason")</f>
        <v>Jason</v>
      </c>
    </row>
    <row r="1772" spans="1:9" ht="12.7" x14ac:dyDescent="0.4">
      <c r="A1772" s="2">
        <f ca="1">IFERROR(__xludf.DUMMYFUNCTION("""COMPUTED_VALUE"""),46162.6716473611)</f>
        <v>46162.671647361101</v>
      </c>
      <c r="B1772" s="1" t="str">
        <f ca="1">IFERROR(__xludf.DUMMYFUNCTION("""COMPUTED_VALUE"""),"送修")</f>
        <v>送修</v>
      </c>
      <c r="C1772" s="1" t="str">
        <f ca="1">IFERROR(__xludf.DUMMYFUNCTION("""COMPUTED_VALUE"""),"A00100000731")</f>
        <v>A00100000731</v>
      </c>
      <c r="D1772" s="1" t="str">
        <f ca="1">IFERROR(__xludf.DUMMYFUNCTION("""COMPUTED_VALUE"""),"All/BA")</f>
        <v>All/BA</v>
      </c>
      <c r="E1772" s="1" t="str">
        <f ca="1">IFERROR(__xludf.DUMMYFUNCTION("""COMPUTED_VALUE"""),"p1/庫存")</f>
        <v>p1/庫存</v>
      </c>
      <c r="F1772" s="1">
        <f ca="1">IFERROR(__xludf.DUMMYFUNCTION("""COMPUTED_VALUE"""),1)</f>
        <v>1</v>
      </c>
      <c r="G1772" s="1" t="str">
        <f ca="1">IFERROR(__xludf.DUMMYFUNCTION("""COMPUTED_VALUE""")," 09F306")</f>
        <v xml:space="preserve"> 09F306</v>
      </c>
      <c r="H1772" s="1" t="str">
        <f ca="1">IFERROR(__xludf.DUMMYFUNCTION("""COMPUTED_VALUE"""),"P3_022")</f>
        <v>P3_022</v>
      </c>
      <c r="I1772" s="1" t="str">
        <f ca="1">IFERROR(__xludf.DUMMYFUNCTION("""COMPUTED_VALUE"""),"Simon")</f>
        <v>Simon</v>
      </c>
    </row>
    <row r="1773" spans="1:9" ht="12.7" x14ac:dyDescent="0.4">
      <c r="A1773" s="2">
        <f ca="1">IFERROR(__xludf.DUMMYFUNCTION("""COMPUTED_VALUE"""),46162.6726181365)</f>
        <v>46162.672618136501</v>
      </c>
      <c r="B1773" s="1" t="str">
        <f ca="1">IFERROR(__xludf.DUMMYFUNCTION("""COMPUTED_VALUE"""),"料件上線時間")</f>
        <v>料件上線時間</v>
      </c>
      <c r="C1773" s="1" t="str">
        <f ca="1">IFERROR(__xludf.DUMMYFUNCTION("""COMPUTED_VALUE"""),"A00100000731")</f>
        <v>A00100000731</v>
      </c>
      <c r="D1773" s="1" t="str">
        <f ca="1">IFERROR(__xludf.DUMMYFUNCTION("""COMPUTED_VALUE"""),"All/BA")</f>
        <v>All/BA</v>
      </c>
      <c r="E1773" s="1" t="str">
        <f ca="1">IFERROR(__xludf.DUMMYFUNCTION("""COMPUTED_VALUE"""),"p1/庫存")</f>
        <v>p1/庫存</v>
      </c>
      <c r="F1773" s="1">
        <f ca="1">IFERROR(__xludf.DUMMYFUNCTION("""COMPUTED_VALUE"""),1)</f>
        <v>1</v>
      </c>
      <c r="G1773" s="1" t="str">
        <f ca="1">IFERROR(__xludf.DUMMYFUNCTION("""COMPUTED_VALUE"""),"05F137")</f>
        <v>05F137</v>
      </c>
      <c r="H1773" s="1" t="str">
        <f ca="1">IFERROR(__xludf.DUMMYFUNCTION("""COMPUTED_VALUE"""),"P3_022")</f>
        <v>P3_022</v>
      </c>
      <c r="I1773" s="1" t="str">
        <f ca="1">IFERROR(__xludf.DUMMYFUNCTION("""COMPUTED_VALUE"""),"Simon")</f>
        <v>Simon</v>
      </c>
    </row>
    <row r="1774" spans="1:9" ht="12.7" x14ac:dyDescent="0.4">
      <c r="A1774" s="2">
        <f ca="1">IFERROR(__xludf.DUMMYFUNCTION("""COMPUTED_VALUE"""),46163.2375264814)</f>
        <v>46163.237526481404</v>
      </c>
      <c r="B1774" s="1" t="str">
        <f ca="1">IFERROR(__xludf.DUMMYFUNCTION("""COMPUTED_VALUE"""),"送修")</f>
        <v>送修</v>
      </c>
      <c r="C1774" s="1" t="str">
        <f ca="1">IFERROR(__xludf.DUMMYFUNCTION("""COMPUTED_VALUE"""),"A00100000731")</f>
        <v>A00100000731</v>
      </c>
      <c r="D1774" s="1" t="str">
        <f ca="1">IFERROR(__xludf.DUMMYFUNCTION("""COMPUTED_VALUE"""),"All/BA")</f>
        <v>All/BA</v>
      </c>
      <c r="E1774" s="1" t="str">
        <f ca="1">IFERROR(__xludf.DUMMYFUNCTION("""COMPUTED_VALUE"""),"p2/庫存")</f>
        <v>p2/庫存</v>
      </c>
      <c r="F1774" s="1">
        <f ca="1">IFERROR(__xludf.DUMMYFUNCTION("""COMPUTED_VALUE"""),1)</f>
        <v>1</v>
      </c>
      <c r="G1774" s="1" t="str">
        <f ca="1">IFERROR(__xludf.DUMMYFUNCTION("""COMPUTED_VALUE"""),"10F583")</f>
        <v>10F583</v>
      </c>
      <c r="H1774" s="1" t="str">
        <f ca="1">IFERROR(__xludf.DUMMYFUNCTION("""COMPUTED_VALUE"""),"P2_048")</f>
        <v>P2_048</v>
      </c>
      <c r="I1774" s="1" t="str">
        <f ca="1">IFERROR(__xludf.DUMMYFUNCTION("""COMPUTED_VALUE"""),"Jason")</f>
        <v>Jason</v>
      </c>
    </row>
    <row r="1775" spans="1:9" ht="12.7" x14ac:dyDescent="0.4">
      <c r="A1775" s="2">
        <f ca="1">IFERROR(__xludf.DUMMYFUNCTION("""COMPUTED_VALUE"""),46163.2388668287)</f>
        <v>46163.238866828702</v>
      </c>
      <c r="B1775" s="1" t="str">
        <f ca="1">IFERROR(__xludf.DUMMYFUNCTION("""COMPUTED_VALUE"""),"料件上線時間")</f>
        <v>料件上線時間</v>
      </c>
      <c r="C1775" s="1" t="str">
        <f ca="1">IFERROR(__xludf.DUMMYFUNCTION("""COMPUTED_VALUE"""),"A00100000731")</f>
        <v>A00100000731</v>
      </c>
      <c r="D1775" s="1" t="str">
        <f ca="1">IFERROR(__xludf.DUMMYFUNCTION("""COMPUTED_VALUE"""),"All/BA")</f>
        <v>All/BA</v>
      </c>
      <c r="E1775" s="1" t="str">
        <f ca="1">IFERROR(__xludf.DUMMYFUNCTION("""COMPUTED_VALUE"""),"p2/庫存")</f>
        <v>p2/庫存</v>
      </c>
      <c r="F1775" s="1">
        <f ca="1">IFERROR(__xludf.DUMMYFUNCTION("""COMPUTED_VALUE"""),1)</f>
        <v>1</v>
      </c>
      <c r="G1775" s="1" t="str">
        <f ca="1">IFERROR(__xludf.DUMMYFUNCTION("""COMPUTED_VALUE"""),"08F249")</f>
        <v>08F249</v>
      </c>
      <c r="H1775" s="1" t="str">
        <f ca="1">IFERROR(__xludf.DUMMYFUNCTION("""COMPUTED_VALUE"""),"P2_048")</f>
        <v>P2_048</v>
      </c>
      <c r="I1775" s="1" t="str">
        <f ca="1">IFERROR(__xludf.DUMMYFUNCTION("""COMPUTED_VALUE"""),"Jason")</f>
        <v>Jason</v>
      </c>
    </row>
    <row r="1776" spans="1:9" ht="12.7" x14ac:dyDescent="0.4">
      <c r="A1776" s="2">
        <f ca="1">IFERROR(__xludf.DUMMYFUNCTION("""COMPUTED_VALUE"""),46169.2429138078)</f>
        <v>46169.242913807801</v>
      </c>
      <c r="B1776" s="1" t="str">
        <f ca="1">IFERROR(__xludf.DUMMYFUNCTION("""COMPUTED_VALUE"""),"領料")</f>
        <v>領料</v>
      </c>
      <c r="C1776" s="1" t="str">
        <f ca="1">IFERROR(__xludf.DUMMYFUNCTION("""COMPUTED_VALUE"""),"A00700000837")</f>
        <v>A00700000837</v>
      </c>
      <c r="D1776" s="1" t="str">
        <f ca="1">IFERROR(__xludf.DUMMYFUNCTION("""COMPUTED_VALUE"""),"All/COLOR")</f>
        <v>All/COLOR</v>
      </c>
      <c r="E1776" s="1" t="str">
        <f ca="1">IFERROR(__xludf.DUMMYFUNCTION("""COMPUTED_VALUE"""),"p2/庫存")</f>
        <v>p2/庫存</v>
      </c>
      <c r="F1776" s="1">
        <f ca="1">IFERROR(__xludf.DUMMYFUNCTION("""COMPUTED_VALUE"""),3)</f>
        <v>3</v>
      </c>
      <c r="G1776" s="1"/>
      <c r="H1776" s="1" t="str">
        <f ca="1">IFERROR(__xludf.DUMMYFUNCTION("""COMPUTED_VALUE"""),"P2_3003")</f>
        <v>P2_3003</v>
      </c>
      <c r="I1776" s="1" t="str">
        <f ca="1">IFERROR(__xludf.DUMMYFUNCTION("""COMPUTED_VALUE"""),"Jason")</f>
        <v>Jason</v>
      </c>
    </row>
    <row r="1777" spans="1:9" ht="12.7" x14ac:dyDescent="0.4">
      <c r="A1777" s="2">
        <f ca="1">IFERROR(__xludf.DUMMYFUNCTION("""COMPUTED_VALUE"""),46170.7516530902)</f>
        <v>46170.751653090199</v>
      </c>
      <c r="B1777" s="1" t="str">
        <f ca="1">IFERROR(__xludf.DUMMYFUNCTION("""COMPUTED_VALUE"""),"領料")</f>
        <v>領料</v>
      </c>
      <c r="C1777" s="1" t="str">
        <f ca="1">IFERROR(__xludf.DUMMYFUNCTION("""COMPUTED_VALUE"""),"ME0070000140")</f>
        <v>ME0070000140</v>
      </c>
      <c r="D1777" s="1" t="str">
        <f ca="1">IFERROR(__xludf.DUMMYFUNCTION("""COMPUTED_VALUE"""),"All/BA")</f>
        <v>All/BA</v>
      </c>
      <c r="E1777" s="1" t="str">
        <f ca="1">IFERROR(__xludf.DUMMYFUNCTION("""COMPUTED_VALUE"""),"p1/庫存")</f>
        <v>p1/庫存</v>
      </c>
      <c r="F1777" s="1">
        <f ca="1">IFERROR(__xludf.DUMMYFUNCTION("""COMPUTED_VALUE"""),1)</f>
        <v>1</v>
      </c>
      <c r="G1777" s="1" t="str">
        <f ca="1">IFERROR(__xludf.DUMMYFUNCTION("""COMPUTED_VALUE"""),"100A-2524L0008-2512")</f>
        <v>100A-2524L0008-2512</v>
      </c>
      <c r="H1777" s="1" t="str">
        <f ca="1">IFERROR(__xludf.DUMMYFUNCTION("""COMPUTED_VALUE"""),"P3_17")</f>
        <v>P3_17</v>
      </c>
      <c r="I1777" s="1" t="str">
        <f ca="1">IFERROR(__xludf.DUMMYFUNCTION("""COMPUTED_VALUE"""),"Chiao Yu")</f>
        <v>Chiao Yu</v>
      </c>
    </row>
    <row r="1778" spans="1:9" ht="12.7" x14ac:dyDescent="0.4">
      <c r="A1778" s="2">
        <f ca="1">IFERROR(__xludf.DUMMYFUNCTION("""COMPUTED_VALUE"""),46170.7523240277)</f>
        <v>46170.752324027701</v>
      </c>
      <c r="B1778" s="1" t="str">
        <f ca="1">IFERROR(__xludf.DUMMYFUNCTION("""COMPUTED_VALUE"""),"料件上線時間")</f>
        <v>料件上線時間</v>
      </c>
      <c r="C1778" s="1" t="str">
        <f ca="1">IFERROR(__xludf.DUMMYFUNCTION("""COMPUTED_VALUE"""),"ME0070000140")</f>
        <v>ME0070000140</v>
      </c>
      <c r="D1778" s="1" t="str">
        <f ca="1">IFERROR(__xludf.DUMMYFUNCTION("""COMPUTED_VALUE"""),"All/BA")</f>
        <v>All/BA</v>
      </c>
      <c r="E1778" s="1" t="str">
        <f ca="1">IFERROR(__xludf.DUMMYFUNCTION("""COMPUTED_VALUE"""),"p1/庫存")</f>
        <v>p1/庫存</v>
      </c>
      <c r="F1778" s="1">
        <f ca="1">IFERROR(__xludf.DUMMYFUNCTION("""COMPUTED_VALUE"""),1)</f>
        <v>1</v>
      </c>
      <c r="G1778" s="1" t="str">
        <f ca="1">IFERROR(__xludf.DUMMYFUNCTION("""COMPUTED_VALUE"""),"100A-2524L0008-2512")</f>
        <v>100A-2524L0008-2512</v>
      </c>
      <c r="H1778" s="1" t="str">
        <f ca="1">IFERROR(__xludf.DUMMYFUNCTION("""COMPUTED_VALUE"""),"P3_17")</f>
        <v>P3_17</v>
      </c>
      <c r="I1778" s="1" t="str">
        <f ca="1">IFERROR(__xludf.DUMMYFUNCTION("""COMPUTED_VALUE"""),"Chiao Yu")</f>
        <v>Chiao Yu</v>
      </c>
    </row>
    <row r="1779" spans="1:9" ht="12.7" x14ac:dyDescent="0.4">
      <c r="A1779" s="2">
        <f ca="1">IFERROR(__xludf.DUMMYFUNCTION("""COMPUTED_VALUE"""),46171.6642274421)</f>
        <v>46171.664227442103</v>
      </c>
      <c r="B1779" s="1" t="str">
        <f ca="1">IFERROR(__xludf.DUMMYFUNCTION("""COMPUTED_VALUE"""),"進貨")</f>
        <v>進貨</v>
      </c>
      <c r="C1779" s="1" t="str">
        <f ca="1">IFERROR(__xludf.DUMMYFUNCTION("""COMPUTED_VALUE"""),"MM0040003630")</f>
        <v>MM0040003630</v>
      </c>
      <c r="D1779" s="1" t="str">
        <f ca="1">IFERROR(__xludf.DUMMYFUNCTION("""COMPUTED_VALUE"""),"All/SB")</f>
        <v>All/SB</v>
      </c>
      <c r="E1779" s="1" t="str">
        <f ca="1">IFERROR(__xludf.DUMMYFUNCTION("""COMPUTED_VALUE"""),"p2/庫存")</f>
        <v>p2/庫存</v>
      </c>
      <c r="F1779" s="1">
        <f ca="1">IFERROR(__xludf.DUMMYFUNCTION("""COMPUTED_VALUE"""),2)</f>
        <v>2</v>
      </c>
      <c r="G1779" s="1"/>
      <c r="H1779" s="1" t="str">
        <f ca="1">IFERROR(__xludf.DUMMYFUNCTION("""COMPUTED_VALUE"""),"P2")</f>
        <v>P2</v>
      </c>
      <c r="I1779" s="1" t="str">
        <f ca="1">IFERROR(__xludf.DUMMYFUNCTION("""COMPUTED_VALUE"""),"Simon")</f>
        <v>Simon</v>
      </c>
    </row>
    <row r="1780" spans="1:9" ht="12.7" x14ac:dyDescent="0.4">
      <c r="A1780" s="2">
        <f ca="1">IFERROR(__xludf.DUMMYFUNCTION("""COMPUTED_VALUE"""),46171.6660555787)</f>
        <v>46171.666055578702</v>
      </c>
      <c r="B1780" s="1" t="str">
        <f ca="1">IFERROR(__xludf.DUMMYFUNCTION("""COMPUTED_VALUE"""),"進貨")</f>
        <v>進貨</v>
      </c>
      <c r="C1780" s="1" t="str">
        <f ca="1">IFERROR(__xludf.DUMMYFUNCTION("""COMPUTED_VALUE"""),"ME0020000627")</f>
        <v>ME0020000627</v>
      </c>
      <c r="D1780" s="1" t="str">
        <f ca="1">IFERROR(__xludf.DUMMYFUNCTION("""COMPUTED_VALUE"""),"All/共用")</f>
        <v>All/共用</v>
      </c>
      <c r="E1780" s="1" t="str">
        <f ca="1">IFERROR(__xludf.DUMMYFUNCTION("""COMPUTED_VALUE"""),"p1/庫存")</f>
        <v>p1/庫存</v>
      </c>
      <c r="F1780" s="1">
        <f ca="1">IFERROR(__xludf.DUMMYFUNCTION("""COMPUTED_VALUE"""),1)</f>
        <v>1</v>
      </c>
      <c r="G1780" s="1"/>
      <c r="H1780" s="1" t="str">
        <f ca="1">IFERROR(__xludf.DUMMYFUNCTION("""COMPUTED_VALUE"""),"P3")</f>
        <v>P3</v>
      </c>
      <c r="I1780" s="1" t="str">
        <f ca="1">IFERROR(__xludf.DUMMYFUNCTION("""COMPUTED_VALUE"""),"Simon")</f>
        <v>Simon</v>
      </c>
    </row>
    <row r="1781" spans="1:9" ht="12.7" x14ac:dyDescent="0.4">
      <c r="A1781" s="2">
        <f ca="1">IFERROR(__xludf.DUMMYFUNCTION("""COMPUTED_VALUE"""),46171.6715467245)</f>
        <v>46171.671546724501</v>
      </c>
      <c r="B1781" s="1" t="str">
        <f ca="1">IFERROR(__xludf.DUMMYFUNCTION("""COMPUTED_VALUE"""),"進貨")</f>
        <v>進貨</v>
      </c>
      <c r="C1781" s="1" t="str">
        <f ca="1">IFERROR(__xludf.DUMMYFUNCTION("""COMPUTED_VALUE"""),"MM0020001114")</f>
        <v>MM0020001114</v>
      </c>
      <c r="D1781" s="1" t="str">
        <f ca="1">IFERROR(__xludf.DUMMYFUNCTION("""COMPUTED_VALUE"""),"All/SB")</f>
        <v>All/SB</v>
      </c>
      <c r="E1781" s="1" t="str">
        <f ca="1">IFERROR(__xludf.DUMMYFUNCTION("""COMPUTED_VALUE"""),"p1/庫存")</f>
        <v>p1/庫存</v>
      </c>
      <c r="F1781" s="1">
        <f ca="1">IFERROR(__xludf.DUMMYFUNCTION("""COMPUTED_VALUE"""),2)</f>
        <v>2</v>
      </c>
      <c r="G1781" s="1"/>
      <c r="H1781" s="1" t="str">
        <f ca="1">IFERROR(__xludf.DUMMYFUNCTION("""COMPUTED_VALUE"""),"P3")</f>
        <v>P3</v>
      </c>
      <c r="I1781" s="1" t="str">
        <f ca="1">IFERROR(__xludf.DUMMYFUNCTION("""COMPUTED_VALUE"""),"Simon")</f>
        <v>Simon</v>
      </c>
    </row>
    <row r="1782" spans="1:9" ht="12.7" x14ac:dyDescent="0.4">
      <c r="A1782" s="2">
        <f ca="1">IFERROR(__xludf.DUMMYFUNCTION("""COMPUTED_VALUE"""),46171.6717326157)</f>
        <v>46171.671732615701</v>
      </c>
      <c r="B1782" s="1" t="str">
        <f ca="1">IFERROR(__xludf.DUMMYFUNCTION("""COMPUTED_VALUE"""),"進貨")</f>
        <v>進貨</v>
      </c>
      <c r="C1782" s="1" t="str">
        <f ca="1">IFERROR(__xludf.DUMMYFUNCTION("""COMPUTED_VALUE"""),"A00700000862")</f>
        <v>A00700000862</v>
      </c>
      <c r="D1782" s="1" t="str">
        <f ca="1">IFERROR(__xludf.DUMMYFUNCTION("""COMPUTED_VALUE"""),"All/SB")</f>
        <v>All/SB</v>
      </c>
      <c r="E1782" s="1" t="str">
        <f ca="1">IFERROR(__xludf.DUMMYFUNCTION("""COMPUTED_VALUE"""),"p1/庫存")</f>
        <v>p1/庫存</v>
      </c>
      <c r="F1782" s="1">
        <f ca="1">IFERROR(__xludf.DUMMYFUNCTION("""COMPUTED_VALUE"""),6)</f>
        <v>6</v>
      </c>
      <c r="G1782" s="1"/>
      <c r="H1782" s="1" t="str">
        <f ca="1">IFERROR(__xludf.DUMMYFUNCTION("""COMPUTED_VALUE"""),"P3")</f>
        <v>P3</v>
      </c>
      <c r="I1782" s="1" t="str">
        <f ca="1">IFERROR(__xludf.DUMMYFUNCTION("""COMPUTED_VALUE"""),"Chiao Yu")</f>
        <v>Chiao Yu</v>
      </c>
    </row>
    <row r="1783" spans="1:9" ht="12.7" x14ac:dyDescent="0.4">
      <c r="A1783" s="2">
        <f ca="1">IFERROR(__xludf.DUMMYFUNCTION("""COMPUTED_VALUE"""),46171.6720308912)</f>
        <v>46171.672030891197</v>
      </c>
      <c r="B1783" s="1" t="str">
        <f ca="1">IFERROR(__xludf.DUMMYFUNCTION("""COMPUTED_VALUE"""),"進貨")</f>
        <v>進貨</v>
      </c>
      <c r="C1783" s="1" t="str">
        <f ca="1">IFERROR(__xludf.DUMMYFUNCTION("""COMPUTED_VALUE"""),"A00700000862")</f>
        <v>A00700000862</v>
      </c>
      <c r="D1783" s="1" t="str">
        <f ca="1">IFERROR(__xludf.DUMMYFUNCTION("""COMPUTED_VALUE"""),"All/SB")</f>
        <v>All/SB</v>
      </c>
      <c r="E1783" s="1" t="str">
        <f ca="1">IFERROR(__xludf.DUMMYFUNCTION("""COMPUTED_VALUE"""),"p2/庫存")</f>
        <v>p2/庫存</v>
      </c>
      <c r="F1783" s="1">
        <f ca="1">IFERROR(__xludf.DUMMYFUNCTION("""COMPUTED_VALUE"""),29)</f>
        <v>29</v>
      </c>
      <c r="G1783" s="1"/>
      <c r="H1783" s="1" t="str">
        <f ca="1">IFERROR(__xludf.DUMMYFUNCTION("""COMPUTED_VALUE"""),"P2")</f>
        <v>P2</v>
      </c>
      <c r="I1783" s="1" t="str">
        <f ca="1">IFERROR(__xludf.DUMMYFUNCTION("""COMPUTED_VALUE"""),"Chiao Yu")</f>
        <v>Chiao Yu</v>
      </c>
    </row>
    <row r="1784" spans="1:9" ht="12.7" x14ac:dyDescent="0.4">
      <c r="A1784" s="2">
        <f ca="1">IFERROR(__xludf.DUMMYFUNCTION("""COMPUTED_VALUE"""),46171.6721288657)</f>
        <v>46171.672128865699</v>
      </c>
      <c r="B1784" s="1" t="str">
        <f ca="1">IFERROR(__xludf.DUMMYFUNCTION("""COMPUTED_VALUE"""),"進貨")</f>
        <v>進貨</v>
      </c>
      <c r="C1784" s="1" t="str">
        <f ca="1">IFERROR(__xludf.DUMMYFUNCTION("""COMPUTED_VALUE"""),"MM0020001114")</f>
        <v>MM0020001114</v>
      </c>
      <c r="D1784" s="1" t="str">
        <f ca="1">IFERROR(__xludf.DUMMYFUNCTION("""COMPUTED_VALUE"""),"All/SB")</f>
        <v>All/SB</v>
      </c>
      <c r="E1784" s="1" t="str">
        <f ca="1">IFERROR(__xludf.DUMMYFUNCTION("""COMPUTED_VALUE"""),"p2/庫存")</f>
        <v>p2/庫存</v>
      </c>
      <c r="F1784" s="1">
        <f ca="1">IFERROR(__xludf.DUMMYFUNCTION("""COMPUTED_VALUE"""),2)</f>
        <v>2</v>
      </c>
      <c r="G1784" s="1"/>
      <c r="H1784" s="1" t="str">
        <f ca="1">IFERROR(__xludf.DUMMYFUNCTION("""COMPUTED_VALUE"""),"P3")</f>
        <v>P3</v>
      </c>
      <c r="I1784" s="1" t="str">
        <f ca="1">IFERROR(__xludf.DUMMYFUNCTION("""COMPUTED_VALUE"""),"Simon")</f>
        <v>Simon</v>
      </c>
    </row>
    <row r="1785" spans="1:9" ht="12.7" x14ac:dyDescent="0.4">
      <c r="A1785" s="2">
        <f ca="1">IFERROR(__xludf.DUMMYFUNCTION("""COMPUTED_VALUE"""),46171.6726552777)</f>
        <v>46171.672655277704</v>
      </c>
      <c r="B1785" s="1" t="str">
        <f ca="1">IFERROR(__xludf.DUMMYFUNCTION("""COMPUTED_VALUE"""),"進貨")</f>
        <v>進貨</v>
      </c>
      <c r="C1785" s="1" t="str">
        <f ca="1">IFERROR(__xludf.DUMMYFUNCTION("""COMPUTED_VALUE"""),"MM0260000259")</f>
        <v>MM0260000259</v>
      </c>
      <c r="D1785" s="1" t="str">
        <f ca="1">IFERROR(__xludf.DUMMYFUNCTION("""COMPUTED_VALUE"""),"All/SB")</f>
        <v>All/SB</v>
      </c>
      <c r="E1785" s="1" t="str">
        <f ca="1">IFERROR(__xludf.DUMMYFUNCTION("""COMPUTED_VALUE"""),"p1/庫存")</f>
        <v>p1/庫存</v>
      </c>
      <c r="F1785" s="1">
        <f ca="1">IFERROR(__xludf.DUMMYFUNCTION("""COMPUTED_VALUE"""),3)</f>
        <v>3</v>
      </c>
      <c r="G1785" s="1"/>
      <c r="H1785" s="1" t="str">
        <f ca="1">IFERROR(__xludf.DUMMYFUNCTION("""COMPUTED_VALUE"""),"P3")</f>
        <v>P3</v>
      </c>
      <c r="I1785" s="1" t="str">
        <f ca="1">IFERROR(__xludf.DUMMYFUNCTION("""COMPUTED_VALUE"""),"Chiao Yu")</f>
        <v>Chiao Yu</v>
      </c>
    </row>
    <row r="1786" spans="1:9" ht="12.7" x14ac:dyDescent="0.4">
      <c r="A1786" s="2">
        <f ca="1">IFERROR(__xludf.DUMMYFUNCTION("""COMPUTED_VALUE"""),46171.6728970601)</f>
        <v>46171.672897060103</v>
      </c>
      <c r="B1786" s="1" t="str">
        <f ca="1">IFERROR(__xludf.DUMMYFUNCTION("""COMPUTED_VALUE"""),"進貨")</f>
        <v>進貨</v>
      </c>
      <c r="C1786" s="1" t="str">
        <f ca="1">IFERROR(__xludf.DUMMYFUNCTION("""COMPUTED_VALUE"""),"MM0260000259")</f>
        <v>MM0260000259</v>
      </c>
      <c r="D1786" s="1" t="str">
        <f ca="1">IFERROR(__xludf.DUMMYFUNCTION("""COMPUTED_VALUE"""),"All/SB")</f>
        <v>All/SB</v>
      </c>
      <c r="E1786" s="1" t="str">
        <f ca="1">IFERROR(__xludf.DUMMYFUNCTION("""COMPUTED_VALUE"""),"p2/庫存")</f>
        <v>p2/庫存</v>
      </c>
      <c r="F1786" s="1">
        <f ca="1">IFERROR(__xludf.DUMMYFUNCTION("""COMPUTED_VALUE"""),9)</f>
        <v>9</v>
      </c>
      <c r="G1786" s="1"/>
      <c r="H1786" s="1" t="str">
        <f ca="1">IFERROR(__xludf.DUMMYFUNCTION("""COMPUTED_VALUE"""),"P2")</f>
        <v>P2</v>
      </c>
      <c r="I1786" s="1" t="str">
        <f ca="1">IFERROR(__xludf.DUMMYFUNCTION("""COMPUTED_VALUE"""),"Chiao Yu")</f>
        <v>Chiao Yu</v>
      </c>
    </row>
    <row r="1787" spans="1:9" ht="12.7" x14ac:dyDescent="0.4">
      <c r="A1787" s="2">
        <f ca="1">IFERROR(__xludf.DUMMYFUNCTION("""COMPUTED_VALUE"""),46171.6734592013)</f>
        <v>46171.673459201302</v>
      </c>
      <c r="B1787" s="1" t="str">
        <f ca="1">IFERROR(__xludf.DUMMYFUNCTION("""COMPUTED_VALUE"""),"進貨")</f>
        <v>進貨</v>
      </c>
      <c r="C1787" s="1" t="str">
        <f ca="1">IFERROR(__xludf.DUMMYFUNCTION("""COMPUTED_VALUE"""),"ME0270001357")</f>
        <v>ME0270001357</v>
      </c>
      <c r="D1787" s="1" t="str">
        <f ca="1">IFERROR(__xludf.DUMMYFUNCTION("""COMPUTED_VALUE"""),"All/COLOR")</f>
        <v>All/COLOR</v>
      </c>
      <c r="E1787" s="1" t="str">
        <f ca="1">IFERROR(__xludf.DUMMYFUNCTION("""COMPUTED_VALUE"""),"p2/庫存")</f>
        <v>p2/庫存</v>
      </c>
      <c r="F1787" s="1">
        <f ca="1">IFERROR(__xludf.DUMMYFUNCTION("""COMPUTED_VALUE"""),2)</f>
        <v>2</v>
      </c>
      <c r="G1787" s="1"/>
      <c r="H1787" s="1" t="str">
        <f ca="1">IFERROR(__xludf.DUMMYFUNCTION("""COMPUTED_VALUE"""),"P2")</f>
        <v>P2</v>
      </c>
      <c r="I1787" s="1" t="str">
        <f ca="1">IFERROR(__xludf.DUMMYFUNCTION("""COMPUTED_VALUE"""),"Chiao Yu")</f>
        <v>Chiao Yu</v>
      </c>
    </row>
    <row r="1788" spans="1:9" ht="12.7" x14ac:dyDescent="0.4">
      <c r="A1788" s="2">
        <f ca="1">IFERROR(__xludf.DUMMYFUNCTION("""COMPUTED_VALUE"""),46171.673744699)</f>
        <v>46171.673744699001</v>
      </c>
      <c r="B1788" s="1" t="str">
        <f ca="1">IFERROR(__xludf.DUMMYFUNCTION("""COMPUTED_VALUE"""),"進貨")</f>
        <v>進貨</v>
      </c>
      <c r="C1788" s="1" t="str">
        <f ca="1">IFERROR(__xludf.DUMMYFUNCTION("""COMPUTED_VALUE"""),"A00700000836")</f>
        <v>A00700000836</v>
      </c>
      <c r="D1788" s="1" t="str">
        <f ca="1">IFERROR(__xludf.DUMMYFUNCTION("""COMPUTED_VALUE"""),"All/SB")</f>
        <v>All/SB</v>
      </c>
      <c r="E1788" s="1" t="str">
        <f ca="1">IFERROR(__xludf.DUMMYFUNCTION("""COMPUTED_VALUE"""),"p1/庫存")</f>
        <v>p1/庫存</v>
      </c>
      <c r="F1788" s="1">
        <f ca="1">IFERROR(__xludf.DUMMYFUNCTION("""COMPUTED_VALUE"""),1)</f>
        <v>1</v>
      </c>
      <c r="G1788" s="1"/>
      <c r="H1788" s="1" t="str">
        <f ca="1">IFERROR(__xludf.DUMMYFUNCTION("""COMPUTED_VALUE"""),"P3")</f>
        <v>P3</v>
      </c>
      <c r="I1788" s="1" t="str">
        <f ca="1">IFERROR(__xludf.DUMMYFUNCTION("""COMPUTED_VALUE"""),"Simon")</f>
        <v>Simon</v>
      </c>
    </row>
    <row r="1789" spans="1:9" ht="12.7" x14ac:dyDescent="0.4">
      <c r="A1789" s="2">
        <f ca="1">IFERROR(__xludf.DUMMYFUNCTION("""COMPUTED_VALUE"""),46171.6741608217)</f>
        <v>46171.674160821698</v>
      </c>
      <c r="B1789" s="1" t="str">
        <f ca="1">IFERROR(__xludf.DUMMYFUNCTION("""COMPUTED_VALUE"""),"進貨")</f>
        <v>進貨</v>
      </c>
      <c r="C1789" s="1" t="str">
        <f ca="1">IFERROR(__xludf.DUMMYFUNCTION("""COMPUTED_VALUE"""),"A00700000836")</f>
        <v>A00700000836</v>
      </c>
      <c r="D1789" s="1" t="str">
        <f ca="1">IFERROR(__xludf.DUMMYFUNCTION("""COMPUTED_VALUE"""),"All/SB")</f>
        <v>All/SB</v>
      </c>
      <c r="E1789" s="1" t="str">
        <f ca="1">IFERROR(__xludf.DUMMYFUNCTION("""COMPUTED_VALUE"""),"p2/庫存")</f>
        <v>p2/庫存</v>
      </c>
      <c r="F1789" s="1">
        <f ca="1">IFERROR(__xludf.DUMMYFUNCTION("""COMPUTED_VALUE"""),1)</f>
        <v>1</v>
      </c>
      <c r="G1789" s="1"/>
      <c r="H1789" s="1" t="str">
        <f ca="1">IFERROR(__xludf.DUMMYFUNCTION("""COMPUTED_VALUE"""),"P2")</f>
        <v>P2</v>
      </c>
      <c r="I1789" s="1" t="str">
        <f ca="1">IFERROR(__xludf.DUMMYFUNCTION("""COMPUTED_VALUE"""),"Simon")</f>
        <v>Simon</v>
      </c>
    </row>
    <row r="1790" spans="1:9" ht="12.7" x14ac:dyDescent="0.4">
      <c r="A1790" s="2">
        <f ca="1">IFERROR(__xludf.DUMMYFUNCTION("""COMPUTED_VALUE"""),46171.6757360416)</f>
        <v>46171.675736041601</v>
      </c>
      <c r="B1790" s="1" t="str">
        <f ca="1">IFERROR(__xludf.DUMMYFUNCTION("""COMPUTED_VALUE"""),"進貨")</f>
        <v>進貨</v>
      </c>
      <c r="C1790" s="1" t="str">
        <f ca="1">IFERROR(__xludf.DUMMYFUNCTION("""COMPUTED_VALUE"""),"MM0260000077")</f>
        <v>MM0260000077</v>
      </c>
      <c r="D1790" s="1" t="str">
        <f ca="1">IFERROR(__xludf.DUMMYFUNCTION("""COMPUTED_VALUE"""),"All/BA")</f>
        <v>All/BA</v>
      </c>
      <c r="E1790" s="1" t="str">
        <f ca="1">IFERROR(__xludf.DUMMYFUNCTION("""COMPUTED_VALUE"""),"p1/庫存")</f>
        <v>p1/庫存</v>
      </c>
      <c r="F1790" s="1">
        <f ca="1">IFERROR(__xludf.DUMMYFUNCTION("""COMPUTED_VALUE"""),56)</f>
        <v>56</v>
      </c>
      <c r="G1790" s="1"/>
      <c r="H1790" s="1" t="str">
        <f ca="1">IFERROR(__xludf.DUMMYFUNCTION("""COMPUTED_VALUE"""),"P3")</f>
        <v>P3</v>
      </c>
      <c r="I1790" s="1" t="str">
        <f ca="1">IFERROR(__xludf.DUMMYFUNCTION("""COMPUTED_VALUE"""),"Simon")</f>
        <v>Simon</v>
      </c>
    </row>
    <row r="1791" spans="1:9" ht="12.7" x14ac:dyDescent="0.4">
      <c r="A1791" s="2">
        <f ca="1">IFERROR(__xludf.DUMMYFUNCTION("""COMPUTED_VALUE"""),46171.6762668402)</f>
        <v>46171.676266840201</v>
      </c>
      <c r="B1791" s="1" t="str">
        <f ca="1">IFERROR(__xludf.DUMMYFUNCTION("""COMPUTED_VALUE"""),"進貨")</f>
        <v>進貨</v>
      </c>
      <c r="C1791" s="1" t="str">
        <f ca="1">IFERROR(__xludf.DUMMYFUNCTION("""COMPUTED_VALUE"""),"MM0260000077")</f>
        <v>MM0260000077</v>
      </c>
      <c r="D1791" s="1" t="str">
        <f ca="1">IFERROR(__xludf.DUMMYFUNCTION("""COMPUTED_VALUE"""),"All/BA")</f>
        <v>All/BA</v>
      </c>
      <c r="E1791" s="1" t="str">
        <f ca="1">IFERROR(__xludf.DUMMYFUNCTION("""COMPUTED_VALUE"""),"p2/庫存")</f>
        <v>p2/庫存</v>
      </c>
      <c r="F1791" s="1">
        <f ca="1">IFERROR(__xludf.DUMMYFUNCTION("""COMPUTED_VALUE"""),118)</f>
        <v>118</v>
      </c>
      <c r="G1791" s="1"/>
      <c r="H1791" s="1" t="str">
        <f ca="1">IFERROR(__xludf.DUMMYFUNCTION("""COMPUTED_VALUE"""),"P2")</f>
        <v>P2</v>
      </c>
      <c r="I1791" s="1" t="str">
        <f ca="1">IFERROR(__xludf.DUMMYFUNCTION("""COMPUTED_VALUE"""),"Simon")</f>
        <v>Simon</v>
      </c>
    </row>
    <row r="1792" spans="1:9" ht="12.7" x14ac:dyDescent="0.4">
      <c r="A1792" s="2">
        <f ca="1">IFERROR(__xludf.DUMMYFUNCTION("""COMPUTED_VALUE"""),46171.6776586574)</f>
        <v>46171.677658657398</v>
      </c>
      <c r="B1792" s="1" t="str">
        <f ca="1">IFERROR(__xludf.DUMMYFUNCTION("""COMPUTED_VALUE"""),"進貨")</f>
        <v>進貨</v>
      </c>
      <c r="C1792" s="1" t="str">
        <f ca="1">IFERROR(__xludf.DUMMYFUNCTION("""COMPUTED_VALUE"""),"MM0260000266")</f>
        <v>MM0260000266</v>
      </c>
      <c r="D1792" s="1" t="str">
        <f ca="1">IFERROR(__xludf.DUMMYFUNCTION("""COMPUTED_VALUE"""),"All/BA")</f>
        <v>All/BA</v>
      </c>
      <c r="E1792" s="1" t="str">
        <f ca="1">IFERROR(__xludf.DUMMYFUNCTION("""COMPUTED_VALUE"""),"p1/庫存")</f>
        <v>p1/庫存</v>
      </c>
      <c r="F1792" s="1">
        <f ca="1">IFERROR(__xludf.DUMMYFUNCTION("""COMPUTED_VALUE"""),3)</f>
        <v>3</v>
      </c>
      <c r="G1792" s="1"/>
      <c r="H1792" s="1" t="str">
        <f ca="1">IFERROR(__xludf.DUMMYFUNCTION("""COMPUTED_VALUE"""),"P3")</f>
        <v>P3</v>
      </c>
      <c r="I1792" s="1" t="str">
        <f ca="1">IFERROR(__xludf.DUMMYFUNCTION("""COMPUTED_VALUE"""),"Simon")</f>
        <v>Simon</v>
      </c>
    </row>
    <row r="1793" spans="1:9" ht="12.7" x14ac:dyDescent="0.4">
      <c r="A1793" s="2">
        <f ca="1">IFERROR(__xludf.DUMMYFUNCTION("""COMPUTED_VALUE"""),46174.7662281018)</f>
        <v>46174.766228101798</v>
      </c>
      <c r="B1793" s="1" t="str">
        <f ca="1">IFERROR(__xludf.DUMMYFUNCTION("""COMPUTED_VALUE"""),"領料")</f>
        <v>領料</v>
      </c>
      <c r="C1793" s="1" t="str">
        <f ca="1">IFERROR(__xludf.DUMMYFUNCTION("""COMPUTED_VALUE"""),"ME0070000140")</f>
        <v>ME0070000140</v>
      </c>
      <c r="D1793" s="1" t="str">
        <f ca="1">IFERROR(__xludf.DUMMYFUNCTION("""COMPUTED_VALUE"""),"All/BA")</f>
        <v>All/BA</v>
      </c>
      <c r="E1793" s="1" t="str">
        <f ca="1">IFERROR(__xludf.DUMMYFUNCTION("""COMPUTED_VALUE"""),"p2/庫存")</f>
        <v>p2/庫存</v>
      </c>
      <c r="F1793" s="1">
        <f ca="1">IFERROR(__xludf.DUMMYFUNCTION("""COMPUTED_VALUE"""),1)</f>
        <v>1</v>
      </c>
      <c r="G1793" s="1" t="str">
        <f ca="1">IFERROR(__xludf.DUMMYFUNCTION("""COMPUTED_VALUE"""),"100A-2523K0038-2409")</f>
        <v>100A-2523K0038-2409</v>
      </c>
      <c r="H1793" s="1" t="str">
        <f ca="1">IFERROR(__xludf.DUMMYFUNCTION("""COMPUTED_VALUE"""),"P2_031")</f>
        <v>P2_031</v>
      </c>
      <c r="I1793" s="1" t="str">
        <f ca="1">IFERROR(__xludf.DUMMYFUNCTION("""COMPUTED_VALUE"""),"Simon")</f>
        <v>Simon</v>
      </c>
    </row>
    <row r="1794" spans="1:9" ht="12.7" x14ac:dyDescent="0.4">
      <c r="A1794" s="2">
        <f ca="1">IFERROR(__xludf.DUMMYFUNCTION("""COMPUTED_VALUE"""),46174.7673989583)</f>
        <v>46174.767398958298</v>
      </c>
      <c r="B1794" s="1" t="str">
        <f ca="1">IFERROR(__xludf.DUMMYFUNCTION("""COMPUTED_VALUE"""),"料件上線時間")</f>
        <v>料件上線時間</v>
      </c>
      <c r="C1794" s="1" t="str">
        <f ca="1">IFERROR(__xludf.DUMMYFUNCTION("""COMPUTED_VALUE"""),"ME0070000140")</f>
        <v>ME0070000140</v>
      </c>
      <c r="D1794" s="1" t="str">
        <f ca="1">IFERROR(__xludf.DUMMYFUNCTION("""COMPUTED_VALUE"""),"All/BA")</f>
        <v>All/BA</v>
      </c>
      <c r="E1794" s="1" t="str">
        <f ca="1">IFERROR(__xludf.DUMMYFUNCTION("""COMPUTED_VALUE"""),"p2/庫存")</f>
        <v>p2/庫存</v>
      </c>
      <c r="F1794" s="1">
        <f ca="1">IFERROR(__xludf.DUMMYFUNCTION("""COMPUTED_VALUE"""),1)</f>
        <v>1</v>
      </c>
      <c r="G1794" s="1" t="str">
        <f ca="1">IFERROR(__xludf.DUMMYFUNCTION("""COMPUTED_VALUE"""),"100A-2524L0003-2512")</f>
        <v>100A-2524L0003-2512</v>
      </c>
      <c r="H1794" s="1" t="str">
        <f ca="1">IFERROR(__xludf.DUMMYFUNCTION("""COMPUTED_VALUE"""),"P2_031")</f>
        <v>P2_031</v>
      </c>
      <c r="I1794" s="1" t="str">
        <f ca="1">IFERROR(__xludf.DUMMYFUNCTION("""COMPUTED_VALUE"""),"Simon")</f>
        <v>Simon</v>
      </c>
    </row>
    <row r="1795" spans="1:9" ht="12.7" x14ac:dyDescent="0.4">
      <c r="A1795" s="2">
        <f ca="1">IFERROR(__xludf.DUMMYFUNCTION("""COMPUTED_VALUE"""),46175.4389469675)</f>
        <v>46175.438946967501</v>
      </c>
      <c r="B1795" s="1" t="str">
        <f ca="1">IFERROR(__xludf.DUMMYFUNCTION("""COMPUTED_VALUE"""),"領料")</f>
        <v>領料</v>
      </c>
      <c r="C1795" s="1" t="str">
        <f ca="1">IFERROR(__xludf.DUMMYFUNCTION("""COMPUTED_VALUE"""),"MM0260000077")</f>
        <v>MM0260000077</v>
      </c>
      <c r="D1795" s="1" t="str">
        <f ca="1">IFERROR(__xludf.DUMMYFUNCTION("""COMPUTED_VALUE"""),"All/BA")</f>
        <v>All/BA</v>
      </c>
      <c r="E1795" s="1" t="str">
        <f ca="1">IFERROR(__xludf.DUMMYFUNCTION("""COMPUTED_VALUE"""),"p2/庫存")</f>
        <v>p2/庫存</v>
      </c>
      <c r="F1795" s="1">
        <f ca="1">IFERROR(__xludf.DUMMYFUNCTION("""COMPUTED_VALUE"""),60)</f>
        <v>60</v>
      </c>
      <c r="G1795" s="1"/>
      <c r="H1795" s="1" t="str">
        <f ca="1">IFERROR(__xludf.DUMMYFUNCTION("""COMPUTED_VALUE"""),"P2")</f>
        <v>P2</v>
      </c>
      <c r="I1795" s="1" t="str">
        <f ca="1">IFERROR(__xludf.DUMMYFUNCTION("""COMPUTED_VALUE"""),"Simon")</f>
        <v>Simon</v>
      </c>
    </row>
    <row r="1796" spans="1:9" ht="12.7" x14ac:dyDescent="0.4">
      <c r="A1796" s="2">
        <f ca="1">IFERROR(__xludf.DUMMYFUNCTION("""COMPUTED_VALUE"""),46175.5766235069)</f>
        <v>46175.576623506902</v>
      </c>
      <c r="B1796" s="1" t="str">
        <f ca="1">IFERROR(__xludf.DUMMYFUNCTION("""COMPUTED_VALUE"""),"庫存調整")</f>
        <v>庫存調整</v>
      </c>
      <c r="C1796" s="1" t="str">
        <f ca="1">IFERROR(__xludf.DUMMYFUNCTION("""COMPUTED_VALUE"""),"ME0070000140")</f>
        <v>ME0070000140</v>
      </c>
      <c r="D1796" s="1" t="str">
        <f ca="1">IFERROR(__xludf.DUMMYFUNCTION("""COMPUTED_VALUE"""),"All/BA")</f>
        <v>All/BA</v>
      </c>
      <c r="E1796" s="1" t="str">
        <f ca="1">IFERROR(__xludf.DUMMYFUNCTION("""COMPUTED_VALUE"""),"p1/庫存")</f>
        <v>p1/庫存</v>
      </c>
      <c r="F1796" s="1">
        <f ca="1">IFERROR(__xludf.DUMMYFUNCTION("""COMPUTED_VALUE"""),-1)</f>
        <v>-1</v>
      </c>
      <c r="G1796" s="1"/>
      <c r="H1796" s="1" t="str">
        <f ca="1">IFERROR(__xludf.DUMMYFUNCTION("""COMPUTED_VALUE"""),"P3")</f>
        <v>P3</v>
      </c>
      <c r="I1796" s="1" t="str">
        <f ca="1">IFERROR(__xludf.DUMMYFUNCTION("""COMPUTED_VALUE"""),"Chiao Yu")</f>
        <v>Chiao Yu</v>
      </c>
    </row>
    <row r="1797" spans="1:9" ht="12.7" x14ac:dyDescent="0.4">
      <c r="A1797" s="2">
        <f ca="1">IFERROR(__xludf.DUMMYFUNCTION("""COMPUTED_VALUE"""),46175.5768545138)</f>
        <v>46175.576854513798</v>
      </c>
      <c r="B1797" s="1" t="str">
        <f ca="1">IFERROR(__xludf.DUMMYFUNCTION("""COMPUTED_VALUE"""),"庫存調整")</f>
        <v>庫存調整</v>
      </c>
      <c r="C1797" s="1" t="str">
        <f ca="1">IFERROR(__xludf.DUMMYFUNCTION("""COMPUTED_VALUE"""),"ME0070000140")</f>
        <v>ME0070000140</v>
      </c>
      <c r="D1797" s="1" t="str">
        <f ca="1">IFERROR(__xludf.DUMMYFUNCTION("""COMPUTED_VALUE"""),"All/BA")</f>
        <v>All/BA</v>
      </c>
      <c r="E1797" s="1" t="str">
        <f ca="1">IFERROR(__xludf.DUMMYFUNCTION("""COMPUTED_VALUE"""),"p2/庫存")</f>
        <v>p2/庫存</v>
      </c>
      <c r="F1797" s="1">
        <f ca="1">IFERROR(__xludf.DUMMYFUNCTION("""COMPUTED_VALUE"""),1)</f>
        <v>1</v>
      </c>
      <c r="G1797" s="1"/>
      <c r="H1797" s="1" t="str">
        <f ca="1">IFERROR(__xludf.DUMMYFUNCTION("""COMPUTED_VALUE"""),"P2")</f>
        <v>P2</v>
      </c>
      <c r="I1797" s="1" t="str">
        <f ca="1">IFERROR(__xludf.DUMMYFUNCTION("""COMPUTED_VALUE"""),"Chiao Yu")</f>
        <v>Chiao Yu</v>
      </c>
    </row>
    <row r="1798" spans="1:9" ht="12.7" x14ac:dyDescent="0.4">
      <c r="A1798" s="2">
        <f ca="1">IFERROR(__xludf.DUMMYFUNCTION("""COMPUTED_VALUE"""),46175.6017177546)</f>
        <v>46175.601717754602</v>
      </c>
      <c r="B1798" s="1" t="str">
        <f ca="1">IFERROR(__xludf.DUMMYFUNCTION("""COMPUTED_VALUE"""),"領料")</f>
        <v>領料</v>
      </c>
      <c r="C1798" s="1" t="str">
        <f ca="1">IFERROR(__xludf.DUMMYFUNCTION("""COMPUTED_VALUE"""),"ME0120000048")</f>
        <v>ME0120000048</v>
      </c>
      <c r="D1798" s="1" t="str">
        <f ca="1">IFERROR(__xludf.DUMMYFUNCTION("""COMPUTED_VALUE"""),"All/RL")</f>
        <v>All/RL</v>
      </c>
      <c r="E1798" s="1" t="str">
        <f ca="1">IFERROR(__xludf.DUMMYFUNCTION("""COMPUTED_VALUE"""),"p1/庫存")</f>
        <v>p1/庫存</v>
      </c>
      <c r="F1798" s="1">
        <f ca="1">IFERROR(__xludf.DUMMYFUNCTION("""COMPUTED_VALUE"""),1)</f>
        <v>1</v>
      </c>
      <c r="G1798" s="1"/>
      <c r="H1798" s="1" t="str">
        <f ca="1">IFERROR(__xludf.DUMMYFUNCTION("""COMPUTED_VALUE"""),"P3")</f>
        <v>P3</v>
      </c>
      <c r="I1798" s="1" t="str">
        <f ca="1">IFERROR(__xludf.DUMMYFUNCTION("""COMPUTED_VALUE"""),"Simon")</f>
        <v>Simon</v>
      </c>
    </row>
    <row r="1799" spans="1:9" ht="12.7" x14ac:dyDescent="0.4">
      <c r="A1799" s="2">
        <f ca="1">IFERROR(__xludf.DUMMYFUNCTION("""COMPUTED_VALUE"""),46175.6163951388)</f>
        <v>46175.616395138801</v>
      </c>
      <c r="B1799" s="1" t="str">
        <f ca="1">IFERROR(__xludf.DUMMYFUNCTION("""COMPUTED_VALUE"""),"返修")</f>
        <v>返修</v>
      </c>
      <c r="C1799" s="1" t="str">
        <f ca="1">IFERROR(__xludf.DUMMYFUNCTION("""COMPUTED_VALUE"""),"ME0020000632")</f>
        <v>ME0020000632</v>
      </c>
      <c r="D1799" s="1" t="str">
        <f ca="1">IFERROR(__xludf.DUMMYFUNCTION("""COMPUTED_VALUE"""),"All/共用")</f>
        <v>All/共用</v>
      </c>
      <c r="E1799" s="1" t="str">
        <f ca="1">IFERROR(__xludf.DUMMYFUNCTION("""COMPUTED_VALUE"""),"p1/庫存")</f>
        <v>p1/庫存</v>
      </c>
      <c r="F1799" s="1">
        <f ca="1">IFERROR(__xludf.DUMMYFUNCTION("""COMPUTED_VALUE"""),1)</f>
        <v>1</v>
      </c>
      <c r="G1799" s="1"/>
      <c r="H1799" s="1" t="str">
        <f ca="1">IFERROR(__xludf.DUMMYFUNCTION("""COMPUTED_VALUE"""),"P3_4007")</f>
        <v>P3_4007</v>
      </c>
      <c r="I1799" s="1" t="str">
        <f ca="1">IFERROR(__xludf.DUMMYFUNCTION("""COMPUTED_VALUE"""),"Simon")</f>
        <v>Simon</v>
      </c>
    </row>
    <row r="1800" spans="1:9" ht="12.7" x14ac:dyDescent="0.4">
      <c r="A1800" s="2">
        <f ca="1">IFERROR(__xludf.DUMMYFUNCTION("""COMPUTED_VALUE"""),46175.6176134027)</f>
        <v>46175.617613402697</v>
      </c>
      <c r="B1800" s="1" t="str">
        <f ca="1">IFERROR(__xludf.DUMMYFUNCTION("""COMPUTED_VALUE"""),"返修")</f>
        <v>返修</v>
      </c>
      <c r="C1800" s="1" t="str">
        <f ca="1">IFERROR(__xludf.DUMMYFUNCTION("""COMPUTED_VALUE"""),"ME0020000632")</f>
        <v>ME0020000632</v>
      </c>
      <c r="D1800" s="1" t="str">
        <f ca="1">IFERROR(__xludf.DUMMYFUNCTION("""COMPUTED_VALUE"""),"All/共用")</f>
        <v>All/共用</v>
      </c>
      <c r="E1800" s="1" t="str">
        <f ca="1">IFERROR(__xludf.DUMMYFUNCTION("""COMPUTED_VALUE"""),"p1/庫存")</f>
        <v>p1/庫存</v>
      </c>
      <c r="F1800" s="1">
        <f ca="1">IFERROR(__xludf.DUMMYFUNCTION("""COMPUTED_VALUE"""),1)</f>
        <v>1</v>
      </c>
      <c r="G1800" s="1"/>
      <c r="H1800" s="1" t="str">
        <f ca="1">IFERROR(__xludf.DUMMYFUNCTION("""COMPUTED_VALUE"""),"P3_13001")</f>
        <v>P3_13001</v>
      </c>
      <c r="I1800" s="1" t="str">
        <f ca="1">IFERROR(__xludf.DUMMYFUNCTION("""COMPUTED_VALUE"""),"Simon")</f>
        <v>Simon</v>
      </c>
    </row>
    <row r="1801" spans="1:9" ht="12.7" x14ac:dyDescent="0.4">
      <c r="A1801" s="2">
        <f ca="1">IFERROR(__xludf.DUMMYFUNCTION("""COMPUTED_VALUE"""),45090)</f>
        <v>45090</v>
      </c>
      <c r="B1801" s="1" t="str">
        <f ca="1">IFERROR(__xludf.DUMMYFUNCTION("""COMPUTED_VALUE"""),"送修")</f>
        <v>送修</v>
      </c>
      <c r="C1801" s="1" t="str">
        <f ca="1">IFERROR(__xludf.DUMMYFUNCTION("""COMPUTED_VALUE"""),"A00100000731")</f>
        <v>A00100000731</v>
      </c>
      <c r="D1801" s="1" t="str">
        <f ca="1">IFERROR(__xludf.DUMMYFUNCTION("""COMPUTED_VALUE"""),"All / BA")</f>
        <v>All / BA</v>
      </c>
      <c r="E1801" s="1" t="str">
        <f ca="1">IFERROR(__xludf.DUMMYFUNCTION("""COMPUTED_VALUE"""),"p2/庫存")</f>
        <v>p2/庫存</v>
      </c>
      <c r="F1801" s="1">
        <f ca="1">IFERROR(__xludf.DUMMYFUNCTION("""COMPUTED_VALUE"""),0)</f>
        <v>0</v>
      </c>
      <c r="G1801" s="1" t="str">
        <f ca="1">IFERROR(__xludf.DUMMYFUNCTION("""COMPUTED_VALUE"""),"10F499")</f>
        <v>10F499</v>
      </c>
      <c r="H1801" s="1" t="str">
        <f ca="1">IFERROR(__xludf.DUMMYFUNCTION("""COMPUTED_VALUE"""),"P2_042")</f>
        <v>P2_042</v>
      </c>
      <c r="I1801" s="1" t="str">
        <f ca="1">IFERROR(__xludf.DUMMYFUNCTION("""COMPUTED_VALUE"""),"Simon")</f>
        <v>Simon</v>
      </c>
    </row>
    <row r="1802" spans="1:9" ht="12.7" x14ac:dyDescent="0.4">
      <c r="A1802" s="4">
        <f ca="1">IFERROR(__xludf.DUMMYFUNCTION("""COMPUTED_VALUE"""),45090)</f>
        <v>45090</v>
      </c>
      <c r="B1802" s="1" t="str">
        <f ca="1">IFERROR(__xludf.DUMMYFUNCTION("""COMPUTED_VALUE"""),"返修")</f>
        <v>返修</v>
      </c>
      <c r="C1802" s="1" t="str">
        <f ca="1">IFERROR(__xludf.DUMMYFUNCTION("""COMPUTED_VALUE"""),"A00100000731")</f>
        <v>A00100000731</v>
      </c>
      <c r="D1802" s="1" t="str">
        <f ca="1">IFERROR(__xludf.DUMMYFUNCTION("""COMPUTED_VALUE"""),"All / BA")</f>
        <v>All / BA</v>
      </c>
      <c r="E1802" s="1" t="str">
        <f ca="1">IFERROR(__xludf.DUMMYFUNCTION("""COMPUTED_VALUE"""),"p2/庫存")</f>
        <v>p2/庫存</v>
      </c>
      <c r="F1802" s="1">
        <f ca="1">IFERROR(__xludf.DUMMYFUNCTION("""COMPUTED_VALUE"""),0)</f>
        <v>0</v>
      </c>
      <c r="G1802" s="1" t="str">
        <f ca="1">IFERROR(__xludf.DUMMYFUNCTION("""COMPUTED_VALUE"""),"10F499")</f>
        <v>10F499</v>
      </c>
      <c r="H1802" s="1"/>
      <c r="I1802" s="1" t="str">
        <f ca="1">IFERROR(__xludf.DUMMYFUNCTION("""COMPUTED_VALUE"""),"Simon")</f>
        <v>Simon</v>
      </c>
    </row>
    <row r="1803" spans="1:9" ht="12.7" x14ac:dyDescent="0.4">
      <c r="A1803" s="4">
        <f ca="1">IFERROR(__xludf.DUMMYFUNCTION("""COMPUTED_VALUE"""),44948)</f>
        <v>44948</v>
      </c>
      <c r="B1803" s="1" t="str">
        <f ca="1">IFERROR(__xludf.DUMMYFUNCTION("""COMPUTED_VALUE"""),"料件上線時間")</f>
        <v>料件上線時間</v>
      </c>
      <c r="C1803" s="1" t="str">
        <f ca="1">IFERROR(__xludf.DUMMYFUNCTION("""COMPUTED_VALUE"""),"A00100000731")</f>
        <v>A00100000731</v>
      </c>
      <c r="D1803" s="1" t="str">
        <f ca="1">IFERROR(__xludf.DUMMYFUNCTION("""COMPUTED_VALUE"""),"All / BA")</f>
        <v>All / BA</v>
      </c>
      <c r="E1803" s="1" t="str">
        <f ca="1">IFERROR(__xludf.DUMMYFUNCTION("""COMPUTED_VALUE"""),"p2/庫存")</f>
        <v>p2/庫存</v>
      </c>
      <c r="F1803" s="1">
        <f ca="1">IFERROR(__xludf.DUMMYFUNCTION("""COMPUTED_VALUE"""),0)</f>
        <v>0</v>
      </c>
      <c r="G1803" s="1" t="str">
        <f ca="1">IFERROR(__xludf.DUMMYFUNCTION("""COMPUTED_VALUE"""),"10F499")</f>
        <v>10F499</v>
      </c>
      <c r="H1803" s="1" t="str">
        <f ca="1">IFERROR(__xludf.DUMMYFUNCTION("""COMPUTED_VALUE"""),"P2_042")</f>
        <v>P2_042</v>
      </c>
      <c r="I1803" s="1"/>
    </row>
    <row r="1804" spans="1:9" ht="12.7" x14ac:dyDescent="0.4">
      <c r="A1804" s="4">
        <f ca="1">IFERROR(__xludf.DUMMYFUNCTION("""COMPUTED_VALUE"""),45051)</f>
        <v>45051</v>
      </c>
      <c r="B1804" s="1" t="str">
        <f ca="1">IFERROR(__xludf.DUMMYFUNCTION("""COMPUTED_VALUE"""),"送修")</f>
        <v>送修</v>
      </c>
      <c r="C1804" s="1" t="str">
        <f ca="1">IFERROR(__xludf.DUMMYFUNCTION("""COMPUTED_VALUE"""),"A00100000731")</f>
        <v>A00100000731</v>
      </c>
      <c r="D1804" s="1" t="str">
        <f ca="1">IFERROR(__xludf.DUMMYFUNCTION("""COMPUTED_VALUE"""),"All / BA")</f>
        <v>All / BA</v>
      </c>
      <c r="E1804" s="1" t="str">
        <f ca="1">IFERROR(__xludf.DUMMYFUNCTION("""COMPUTED_VALUE"""),"p1/庫存")</f>
        <v>p1/庫存</v>
      </c>
      <c r="F1804" s="1">
        <f ca="1">IFERROR(__xludf.DUMMYFUNCTION("""COMPUTED_VALUE"""),0)</f>
        <v>0</v>
      </c>
      <c r="G1804" s="1" t="str">
        <f ca="1">IFERROR(__xludf.DUMMYFUNCTION("""COMPUTED_VALUE"""),"03F460")</f>
        <v>03F460</v>
      </c>
      <c r="H1804" s="1"/>
      <c r="I1804" s="1" t="str">
        <f ca="1">IFERROR(__xludf.DUMMYFUNCTION("""COMPUTED_VALUE"""),"Simon")</f>
        <v>Simon</v>
      </c>
    </row>
    <row r="1805" spans="1:9" ht="12.7" x14ac:dyDescent="0.4">
      <c r="A1805" s="4">
        <f ca="1">IFERROR(__xludf.DUMMYFUNCTION("""COMPUTED_VALUE"""),45121)</f>
        <v>45121</v>
      </c>
      <c r="B1805" s="1" t="str">
        <f ca="1">IFERROR(__xludf.DUMMYFUNCTION("""COMPUTED_VALUE"""),"返修")</f>
        <v>返修</v>
      </c>
      <c r="C1805" s="1" t="str">
        <f ca="1">IFERROR(__xludf.DUMMYFUNCTION("""COMPUTED_VALUE"""),"A00100000731")</f>
        <v>A00100000731</v>
      </c>
      <c r="D1805" s="1" t="str">
        <f ca="1">IFERROR(__xludf.DUMMYFUNCTION("""COMPUTED_VALUE"""),"All / BA")</f>
        <v>All / BA</v>
      </c>
      <c r="E1805" s="1" t="str">
        <f ca="1">IFERROR(__xludf.DUMMYFUNCTION("""COMPUTED_VALUE"""),"p1/庫存")</f>
        <v>p1/庫存</v>
      </c>
      <c r="F1805" s="1">
        <f ca="1">IFERROR(__xludf.DUMMYFUNCTION("""COMPUTED_VALUE"""),0)</f>
        <v>0</v>
      </c>
      <c r="G1805" s="1" t="str">
        <f ca="1">IFERROR(__xludf.DUMMYFUNCTION("""COMPUTED_VALUE"""),"03F460")</f>
        <v>03F460</v>
      </c>
      <c r="H1805" s="1"/>
      <c r="I1805" s="1" t="str">
        <f ca="1">IFERROR(__xludf.DUMMYFUNCTION("""COMPUTED_VALUE"""),"Simon")</f>
        <v>Simon</v>
      </c>
    </row>
    <row r="1806" spans="1:9" ht="12.7" x14ac:dyDescent="0.4">
      <c r="A1806" s="4">
        <f ca="1">IFERROR(__xludf.DUMMYFUNCTION("""COMPUTED_VALUE"""),44805)</f>
        <v>44805</v>
      </c>
      <c r="B1806" s="1" t="str">
        <f ca="1">IFERROR(__xludf.DUMMYFUNCTION("""COMPUTED_VALUE"""),"料件上線時間")</f>
        <v>料件上線時間</v>
      </c>
      <c r="C1806" s="1" t="str">
        <f ca="1">IFERROR(__xludf.DUMMYFUNCTION("""COMPUTED_VALUE"""),"A00100000731")</f>
        <v>A00100000731</v>
      </c>
      <c r="D1806" s="1" t="str">
        <f ca="1">IFERROR(__xludf.DUMMYFUNCTION("""COMPUTED_VALUE"""),"All / BA")</f>
        <v>All / BA</v>
      </c>
      <c r="E1806" s="1" t="str">
        <f ca="1">IFERROR(__xludf.DUMMYFUNCTION("""COMPUTED_VALUE"""),"p1/庫存")</f>
        <v>p1/庫存</v>
      </c>
      <c r="F1806" s="1">
        <f ca="1">IFERROR(__xludf.DUMMYFUNCTION("""COMPUTED_VALUE"""),0)</f>
        <v>0</v>
      </c>
      <c r="G1806" s="1" t="str">
        <f ca="1">IFERROR(__xludf.DUMMYFUNCTION("""COMPUTED_VALUE"""),"03F460")</f>
        <v>03F460</v>
      </c>
      <c r="H1806" s="1"/>
      <c r="I1806" s="1"/>
    </row>
    <row r="1807" spans="1:9" ht="12.7" x14ac:dyDescent="0.4">
      <c r="A1807" s="4">
        <f ca="1">IFERROR(__xludf.DUMMYFUNCTION("""COMPUTED_VALUE"""),45051)</f>
        <v>45051</v>
      </c>
      <c r="B1807" s="1" t="str">
        <f ca="1">IFERROR(__xludf.DUMMYFUNCTION("""COMPUTED_VALUE"""),"送修")</f>
        <v>送修</v>
      </c>
      <c r="C1807" s="1" t="str">
        <f ca="1">IFERROR(__xludf.DUMMYFUNCTION("""COMPUTED_VALUE"""),"A00100000731")</f>
        <v>A00100000731</v>
      </c>
      <c r="D1807" s="1" t="str">
        <f ca="1">IFERROR(__xludf.DUMMYFUNCTION("""COMPUTED_VALUE"""),"All / BA")</f>
        <v>All / BA</v>
      </c>
      <c r="E1807" s="1" t="str">
        <f ca="1">IFERROR(__xludf.DUMMYFUNCTION("""COMPUTED_VALUE"""),"p1/庫存")</f>
        <v>p1/庫存</v>
      </c>
      <c r="F1807" s="1">
        <f ca="1">IFERROR(__xludf.DUMMYFUNCTION("""COMPUTED_VALUE"""),0)</f>
        <v>0</v>
      </c>
      <c r="G1807" s="1" t="str">
        <f ca="1">IFERROR(__xludf.DUMMYFUNCTION("""COMPUTED_VALUE"""),"05F424")</f>
        <v>05F424</v>
      </c>
      <c r="H1807" s="1"/>
      <c r="I1807" s="1" t="str">
        <f ca="1">IFERROR(__xludf.DUMMYFUNCTION("""COMPUTED_VALUE"""),"Simon")</f>
        <v>Simon</v>
      </c>
    </row>
    <row r="1808" spans="1:9" ht="12.7" x14ac:dyDescent="0.4">
      <c r="A1808" s="4">
        <f ca="1">IFERROR(__xludf.DUMMYFUNCTION("""COMPUTED_VALUE"""),45124)</f>
        <v>45124</v>
      </c>
      <c r="B1808" s="1" t="str">
        <f ca="1">IFERROR(__xludf.DUMMYFUNCTION("""COMPUTED_VALUE"""),"返修")</f>
        <v>返修</v>
      </c>
      <c r="C1808" s="1" t="str">
        <f ca="1">IFERROR(__xludf.DUMMYFUNCTION("""COMPUTED_VALUE"""),"A00100000731")</f>
        <v>A00100000731</v>
      </c>
      <c r="D1808" s="1" t="str">
        <f ca="1">IFERROR(__xludf.DUMMYFUNCTION("""COMPUTED_VALUE"""),"All / BA")</f>
        <v>All / BA</v>
      </c>
      <c r="E1808" s="1" t="str">
        <f ca="1">IFERROR(__xludf.DUMMYFUNCTION("""COMPUTED_VALUE"""),"p1/庫存")</f>
        <v>p1/庫存</v>
      </c>
      <c r="F1808" s="1">
        <f ca="1">IFERROR(__xludf.DUMMYFUNCTION("""COMPUTED_VALUE"""),0)</f>
        <v>0</v>
      </c>
      <c r="G1808" s="1" t="str">
        <f ca="1">IFERROR(__xludf.DUMMYFUNCTION("""COMPUTED_VALUE"""),"05F424")</f>
        <v>05F424</v>
      </c>
      <c r="H1808" s="1"/>
      <c r="I1808" s="1" t="str">
        <f ca="1">IFERROR(__xludf.DUMMYFUNCTION("""COMPUTED_VALUE"""),"Simon")</f>
        <v>Simon</v>
      </c>
    </row>
    <row r="1809" spans="1:9" ht="12.7" x14ac:dyDescent="0.4">
      <c r="A1809" s="4">
        <f ca="1">IFERROR(__xludf.DUMMYFUNCTION("""COMPUTED_VALUE"""),44805)</f>
        <v>44805</v>
      </c>
      <c r="B1809" s="1" t="str">
        <f ca="1">IFERROR(__xludf.DUMMYFUNCTION("""COMPUTED_VALUE"""),"料件上線時間")</f>
        <v>料件上線時間</v>
      </c>
      <c r="C1809" s="1" t="str">
        <f ca="1">IFERROR(__xludf.DUMMYFUNCTION("""COMPUTED_VALUE"""),"A00100000731")</f>
        <v>A00100000731</v>
      </c>
      <c r="D1809" s="1" t="str">
        <f ca="1">IFERROR(__xludf.DUMMYFUNCTION("""COMPUTED_VALUE"""),"All / BA")</f>
        <v>All / BA</v>
      </c>
      <c r="E1809" s="1" t="str">
        <f ca="1">IFERROR(__xludf.DUMMYFUNCTION("""COMPUTED_VALUE"""),"p1/庫存")</f>
        <v>p1/庫存</v>
      </c>
      <c r="F1809" s="1">
        <f ca="1">IFERROR(__xludf.DUMMYFUNCTION("""COMPUTED_VALUE"""),0)</f>
        <v>0</v>
      </c>
      <c r="G1809" s="1" t="str">
        <f ca="1">IFERROR(__xludf.DUMMYFUNCTION("""COMPUTED_VALUE"""),"05F424")</f>
        <v>05F424</v>
      </c>
      <c r="H1809" s="1"/>
      <c r="I1809" s="1"/>
    </row>
    <row r="1810" spans="1:9" ht="12.7" x14ac:dyDescent="0.4">
      <c r="A1810" s="4">
        <f ca="1">IFERROR(__xludf.DUMMYFUNCTION("""COMPUTED_VALUE"""),45051)</f>
        <v>45051</v>
      </c>
      <c r="B1810" s="1" t="str">
        <f ca="1">IFERROR(__xludf.DUMMYFUNCTION("""COMPUTED_VALUE"""),"送修")</f>
        <v>送修</v>
      </c>
      <c r="C1810" s="1" t="str">
        <f ca="1">IFERROR(__xludf.DUMMYFUNCTION("""COMPUTED_VALUE"""),"A00100000731")</f>
        <v>A00100000731</v>
      </c>
      <c r="D1810" s="1" t="str">
        <f ca="1">IFERROR(__xludf.DUMMYFUNCTION("""COMPUTED_VALUE"""),"All / BA")</f>
        <v>All / BA</v>
      </c>
      <c r="E1810" s="1" t="str">
        <f ca="1">IFERROR(__xludf.DUMMYFUNCTION("""COMPUTED_VALUE"""),"p1/庫存")</f>
        <v>p1/庫存</v>
      </c>
      <c r="F1810" s="1">
        <f ca="1">IFERROR(__xludf.DUMMYFUNCTION("""COMPUTED_VALUE"""),0)</f>
        <v>0</v>
      </c>
      <c r="G1810" s="1" t="str">
        <f ca="1">IFERROR(__xludf.DUMMYFUNCTION("""COMPUTED_VALUE"""),"04F389")</f>
        <v>04F389</v>
      </c>
      <c r="H1810" s="1"/>
      <c r="I1810" s="1" t="str">
        <f ca="1">IFERROR(__xludf.DUMMYFUNCTION("""COMPUTED_VALUE"""),"Simon")</f>
        <v>Simon</v>
      </c>
    </row>
    <row r="1811" spans="1:9" ht="12.7" x14ac:dyDescent="0.4">
      <c r="A1811" s="4">
        <f ca="1">IFERROR(__xludf.DUMMYFUNCTION("""COMPUTED_VALUE"""),45126)</f>
        <v>45126</v>
      </c>
      <c r="B1811" s="1" t="str">
        <f ca="1">IFERROR(__xludf.DUMMYFUNCTION("""COMPUTED_VALUE"""),"返修")</f>
        <v>返修</v>
      </c>
      <c r="C1811" s="1" t="str">
        <f ca="1">IFERROR(__xludf.DUMMYFUNCTION("""COMPUTED_VALUE"""),"A00100000731")</f>
        <v>A00100000731</v>
      </c>
      <c r="D1811" s="1" t="str">
        <f ca="1">IFERROR(__xludf.DUMMYFUNCTION("""COMPUTED_VALUE"""),"All / BA")</f>
        <v>All / BA</v>
      </c>
      <c r="E1811" s="1" t="str">
        <f ca="1">IFERROR(__xludf.DUMMYFUNCTION("""COMPUTED_VALUE"""),"p1/庫存")</f>
        <v>p1/庫存</v>
      </c>
      <c r="F1811" s="1">
        <f ca="1">IFERROR(__xludf.DUMMYFUNCTION("""COMPUTED_VALUE"""),0)</f>
        <v>0</v>
      </c>
      <c r="G1811" s="1" t="str">
        <f ca="1">IFERROR(__xludf.DUMMYFUNCTION("""COMPUTED_VALUE"""),"04F389")</f>
        <v>04F389</v>
      </c>
      <c r="H1811" s="1"/>
      <c r="I1811" s="1" t="str">
        <f ca="1">IFERROR(__xludf.DUMMYFUNCTION("""COMPUTED_VALUE"""),"Simon")</f>
        <v>Simon</v>
      </c>
    </row>
    <row r="1812" spans="1:9" ht="12.7" x14ac:dyDescent="0.4">
      <c r="A1812" s="4">
        <f ca="1">IFERROR(__xludf.DUMMYFUNCTION("""COMPUTED_VALUE"""),44805)</f>
        <v>44805</v>
      </c>
      <c r="B1812" s="1" t="str">
        <f ca="1">IFERROR(__xludf.DUMMYFUNCTION("""COMPUTED_VALUE"""),"料件上線時間")</f>
        <v>料件上線時間</v>
      </c>
      <c r="C1812" s="1" t="str">
        <f ca="1">IFERROR(__xludf.DUMMYFUNCTION("""COMPUTED_VALUE"""),"A00100000731")</f>
        <v>A00100000731</v>
      </c>
      <c r="D1812" s="1" t="str">
        <f ca="1">IFERROR(__xludf.DUMMYFUNCTION("""COMPUTED_VALUE"""),"All / BA")</f>
        <v>All / BA</v>
      </c>
      <c r="E1812" s="1" t="str">
        <f ca="1">IFERROR(__xludf.DUMMYFUNCTION("""COMPUTED_VALUE"""),"p1/庫存")</f>
        <v>p1/庫存</v>
      </c>
      <c r="F1812" s="1">
        <f ca="1">IFERROR(__xludf.DUMMYFUNCTION("""COMPUTED_VALUE"""),0)</f>
        <v>0</v>
      </c>
      <c r="G1812" s="1" t="str">
        <f ca="1">IFERROR(__xludf.DUMMYFUNCTION("""COMPUTED_VALUE"""),"04F389")</f>
        <v>04F389</v>
      </c>
      <c r="H1812" s="1"/>
      <c r="I1812" s="1"/>
    </row>
    <row r="1813" spans="1:9" ht="12.7" x14ac:dyDescent="0.4">
      <c r="A1813" s="4">
        <f ca="1">IFERROR(__xludf.DUMMYFUNCTION("""COMPUTED_VALUE"""),44987)</f>
        <v>44987</v>
      </c>
      <c r="B1813" s="1" t="str">
        <f ca="1">IFERROR(__xludf.DUMMYFUNCTION("""COMPUTED_VALUE"""),"送修")</f>
        <v>送修</v>
      </c>
      <c r="C1813" s="1" t="str">
        <f ca="1">IFERROR(__xludf.DUMMYFUNCTION("""COMPUTED_VALUE"""),"A00100000731")</f>
        <v>A00100000731</v>
      </c>
      <c r="D1813" s="1" t="str">
        <f ca="1">IFERROR(__xludf.DUMMYFUNCTION("""COMPUTED_VALUE"""),"All / BA")</f>
        <v>All / BA</v>
      </c>
      <c r="E1813" s="1" t="str">
        <f ca="1">IFERROR(__xludf.DUMMYFUNCTION("""COMPUTED_VALUE"""),"p2/庫存")</f>
        <v>p2/庫存</v>
      </c>
      <c r="F1813" s="1">
        <f ca="1">IFERROR(__xludf.DUMMYFUNCTION("""COMPUTED_VALUE"""),0)</f>
        <v>0</v>
      </c>
      <c r="G1813" s="1" t="str">
        <f ca="1">IFERROR(__xludf.DUMMYFUNCTION("""COMPUTED_VALUE"""),"09F524")</f>
        <v>09F524</v>
      </c>
      <c r="H1813" s="1" t="str">
        <f ca="1">IFERROR(__xludf.DUMMYFUNCTION("""COMPUTED_VALUE"""),"P2_018")</f>
        <v>P2_018</v>
      </c>
      <c r="I1813" s="1" t="str">
        <f ca="1">IFERROR(__xludf.DUMMYFUNCTION("""COMPUTED_VALUE"""),"George")</f>
        <v>George</v>
      </c>
    </row>
    <row r="1814" spans="1:9" ht="12.7" x14ac:dyDescent="0.4">
      <c r="A1814" s="4">
        <f ca="1">IFERROR(__xludf.DUMMYFUNCTION("""COMPUTED_VALUE"""),45121)</f>
        <v>45121</v>
      </c>
      <c r="B1814" s="1" t="str">
        <f ca="1">IFERROR(__xludf.DUMMYFUNCTION("""COMPUTED_VALUE"""),"返修")</f>
        <v>返修</v>
      </c>
      <c r="C1814" s="1" t="str">
        <f ca="1">IFERROR(__xludf.DUMMYFUNCTION("""COMPUTED_VALUE"""),"A00100000731")</f>
        <v>A00100000731</v>
      </c>
      <c r="D1814" s="1" t="str">
        <f ca="1">IFERROR(__xludf.DUMMYFUNCTION("""COMPUTED_VALUE"""),"All / BA")</f>
        <v>All / BA</v>
      </c>
      <c r="E1814" s="1" t="str">
        <f ca="1">IFERROR(__xludf.DUMMYFUNCTION("""COMPUTED_VALUE"""),"p2/庫存")</f>
        <v>p2/庫存</v>
      </c>
      <c r="F1814" s="1">
        <f ca="1">IFERROR(__xludf.DUMMYFUNCTION("""COMPUTED_VALUE"""),0)</f>
        <v>0</v>
      </c>
      <c r="G1814" s="1" t="str">
        <f ca="1">IFERROR(__xludf.DUMMYFUNCTION("""COMPUTED_VALUE"""),"09F524")</f>
        <v>09F524</v>
      </c>
      <c r="H1814" s="1"/>
      <c r="I1814" s="1" t="str">
        <f ca="1">IFERROR(__xludf.DUMMYFUNCTION("""COMPUTED_VALUE"""),"Simon")</f>
        <v>Simon</v>
      </c>
    </row>
    <row r="1815" spans="1:9" ht="12.7" x14ac:dyDescent="0.4">
      <c r="A1815" s="4">
        <f ca="1">IFERROR(__xludf.DUMMYFUNCTION("""COMPUTED_VALUE"""),44948)</f>
        <v>44948</v>
      </c>
      <c r="B1815" s="1" t="str">
        <f ca="1">IFERROR(__xludf.DUMMYFUNCTION("""COMPUTED_VALUE"""),"料件上線時間")</f>
        <v>料件上線時間</v>
      </c>
      <c r="C1815" s="1" t="str">
        <f ca="1">IFERROR(__xludf.DUMMYFUNCTION("""COMPUTED_VALUE"""),"A00100000731")</f>
        <v>A00100000731</v>
      </c>
      <c r="D1815" s="1" t="str">
        <f ca="1">IFERROR(__xludf.DUMMYFUNCTION("""COMPUTED_VALUE"""),"All / BA")</f>
        <v>All / BA</v>
      </c>
      <c r="E1815" s="1" t="str">
        <f ca="1">IFERROR(__xludf.DUMMYFUNCTION("""COMPUTED_VALUE"""),"p2/庫存")</f>
        <v>p2/庫存</v>
      </c>
      <c r="F1815" s="1">
        <f ca="1">IFERROR(__xludf.DUMMYFUNCTION("""COMPUTED_VALUE"""),0)</f>
        <v>0</v>
      </c>
      <c r="G1815" s="1" t="str">
        <f ca="1">IFERROR(__xludf.DUMMYFUNCTION("""COMPUTED_VALUE"""),"09F524")</f>
        <v>09F524</v>
      </c>
      <c r="H1815" s="1" t="str">
        <f ca="1">IFERROR(__xludf.DUMMYFUNCTION("""COMPUTED_VALUE"""),"P2_018")</f>
        <v>P2_018</v>
      </c>
      <c r="I1815" s="1"/>
    </row>
    <row r="1816" spans="1:9" ht="12.7" x14ac:dyDescent="0.4">
      <c r="A1816" s="4">
        <f ca="1">IFERROR(__xludf.DUMMYFUNCTION("""COMPUTED_VALUE"""),45173)</f>
        <v>45173</v>
      </c>
      <c r="B1816" s="1" t="str">
        <f ca="1">IFERROR(__xludf.DUMMYFUNCTION("""COMPUTED_VALUE"""),"送修")</f>
        <v>送修</v>
      </c>
      <c r="C1816" s="1" t="str">
        <f ca="1">IFERROR(__xludf.DUMMYFUNCTION("""COMPUTED_VALUE"""),"A00100000731")</f>
        <v>A00100000731</v>
      </c>
      <c r="D1816" s="1" t="str">
        <f ca="1">IFERROR(__xludf.DUMMYFUNCTION("""COMPUTED_VALUE"""),"All / BA")</f>
        <v>All / BA</v>
      </c>
      <c r="E1816" s="1" t="str">
        <f ca="1">IFERROR(__xludf.DUMMYFUNCTION("""COMPUTED_VALUE"""),"p1/庫存")</f>
        <v>p1/庫存</v>
      </c>
      <c r="F1816" s="1">
        <f ca="1">IFERROR(__xludf.DUMMYFUNCTION("""COMPUTED_VALUE"""),0)</f>
        <v>0</v>
      </c>
      <c r="G1816" s="1" t="str">
        <f ca="1">IFERROR(__xludf.DUMMYFUNCTION("""COMPUTED_VALUE"""),"01G102")</f>
        <v>01G102</v>
      </c>
      <c r="H1816" s="1" t="str">
        <f ca="1">IFERROR(__xludf.DUMMYFUNCTION("""COMPUTED_VALUE"""),"測試機")</f>
        <v>測試機</v>
      </c>
      <c r="I1816" s="1" t="str">
        <f ca="1">IFERROR(__xludf.DUMMYFUNCTION("""COMPUTED_VALUE"""),"Simon")</f>
        <v>Simon</v>
      </c>
    </row>
    <row r="1817" spans="1:9" ht="12.7" x14ac:dyDescent="0.4">
      <c r="A1817" s="4">
        <f ca="1">IFERROR(__xludf.DUMMYFUNCTION("""COMPUTED_VALUE"""),45070)</f>
        <v>45070</v>
      </c>
      <c r="B1817" s="1" t="str">
        <f ca="1">IFERROR(__xludf.DUMMYFUNCTION("""COMPUTED_VALUE"""),"料件上線時間")</f>
        <v>料件上線時間</v>
      </c>
      <c r="C1817" s="1" t="str">
        <f ca="1">IFERROR(__xludf.DUMMYFUNCTION("""COMPUTED_VALUE"""),"A00100000731")</f>
        <v>A00100000731</v>
      </c>
      <c r="D1817" s="1" t="str">
        <f ca="1">IFERROR(__xludf.DUMMYFUNCTION("""COMPUTED_VALUE"""),"All / BA")</f>
        <v>All / BA</v>
      </c>
      <c r="E1817" s="1" t="str">
        <f ca="1">IFERROR(__xludf.DUMMYFUNCTION("""COMPUTED_VALUE"""),"p1/庫存")</f>
        <v>p1/庫存</v>
      </c>
      <c r="F1817" s="1">
        <f ca="1">IFERROR(__xludf.DUMMYFUNCTION("""COMPUTED_VALUE"""),0)</f>
        <v>0</v>
      </c>
      <c r="G1817" s="1" t="str">
        <f ca="1">IFERROR(__xludf.DUMMYFUNCTION("""COMPUTED_VALUE"""),"01G102")</f>
        <v>01G102</v>
      </c>
      <c r="H1817" s="1" t="str">
        <f ca="1">IFERROR(__xludf.DUMMYFUNCTION("""COMPUTED_VALUE"""),"測試機")</f>
        <v>測試機</v>
      </c>
      <c r="I1817" s="1"/>
    </row>
    <row r="1818" spans="1:9" ht="12.7" x14ac:dyDescent="0.4">
      <c r="A1818" s="4">
        <f ca="1">IFERROR(__xludf.DUMMYFUNCTION("""COMPUTED_VALUE"""),45182)</f>
        <v>45182</v>
      </c>
      <c r="B1818" s="1" t="str">
        <f ca="1">IFERROR(__xludf.DUMMYFUNCTION("""COMPUTED_VALUE"""),"送修")</f>
        <v>送修</v>
      </c>
      <c r="C1818" s="1" t="str">
        <f ca="1">IFERROR(__xludf.DUMMYFUNCTION("""COMPUTED_VALUE"""),"A00100000731")</f>
        <v>A00100000731</v>
      </c>
      <c r="D1818" s="1" t="str">
        <f ca="1">IFERROR(__xludf.DUMMYFUNCTION("""COMPUTED_VALUE"""),"All / BA")</f>
        <v>All / BA</v>
      </c>
      <c r="E1818" s="1" t="str">
        <f ca="1">IFERROR(__xludf.DUMMYFUNCTION("""COMPUTED_VALUE"""),"p1/庫存")</f>
        <v>p1/庫存</v>
      </c>
      <c r="F1818" s="1">
        <f ca="1">IFERROR(__xludf.DUMMYFUNCTION("""COMPUTED_VALUE"""),0)</f>
        <v>0</v>
      </c>
      <c r="G1818" s="1" t="str">
        <f ca="1">IFERROR(__xludf.DUMMYFUNCTION("""COMPUTED_VALUE"""),"06F149")</f>
        <v>06F149</v>
      </c>
      <c r="H1818" s="1" t="str">
        <f ca="1">IFERROR(__xludf.DUMMYFUNCTION("""COMPUTED_VALUE"""),"P1_010")</f>
        <v>P1_010</v>
      </c>
      <c r="I1818" s="1" t="str">
        <f ca="1">IFERROR(__xludf.DUMMYFUNCTION("""COMPUTED_VALUE"""),"George")</f>
        <v>George</v>
      </c>
    </row>
    <row r="1819" spans="1:9" ht="12.7" x14ac:dyDescent="0.4">
      <c r="A1819" s="4">
        <f ca="1">IFERROR(__xludf.DUMMYFUNCTION("""COMPUTED_VALUE"""),45182)</f>
        <v>45182</v>
      </c>
      <c r="B1819" s="1" t="str">
        <f ca="1">IFERROR(__xludf.DUMMYFUNCTION("""COMPUTED_VALUE"""),"返修")</f>
        <v>返修</v>
      </c>
      <c r="C1819" s="1" t="str">
        <f ca="1">IFERROR(__xludf.DUMMYFUNCTION("""COMPUTED_VALUE"""),"A00100000731")</f>
        <v>A00100000731</v>
      </c>
      <c r="D1819" s="1" t="str">
        <f ca="1">IFERROR(__xludf.DUMMYFUNCTION("""COMPUTED_VALUE"""),"All / BA")</f>
        <v>All / BA</v>
      </c>
      <c r="E1819" s="1" t="str">
        <f ca="1">IFERROR(__xludf.DUMMYFUNCTION("""COMPUTED_VALUE"""),"p1/庫存")</f>
        <v>p1/庫存</v>
      </c>
      <c r="F1819" s="1">
        <f ca="1">IFERROR(__xludf.DUMMYFUNCTION("""COMPUTED_VALUE"""),0)</f>
        <v>0</v>
      </c>
      <c r="G1819" s="1" t="str">
        <f ca="1">IFERROR(__xludf.DUMMYFUNCTION("""COMPUTED_VALUE"""),"06F149")</f>
        <v>06F149</v>
      </c>
      <c r="H1819" s="1"/>
      <c r="I1819" s="1" t="str">
        <f ca="1">IFERROR(__xludf.DUMMYFUNCTION("""COMPUTED_VALUE"""),"George")</f>
        <v>George</v>
      </c>
    </row>
    <row r="1820" spans="1:9" ht="12.7" x14ac:dyDescent="0.4">
      <c r="A1820" s="4">
        <f ca="1">IFERROR(__xludf.DUMMYFUNCTION("""COMPUTED_VALUE"""),44805)</f>
        <v>44805</v>
      </c>
      <c r="B1820" s="1" t="str">
        <f ca="1">IFERROR(__xludf.DUMMYFUNCTION("""COMPUTED_VALUE"""),"料件上線時間")</f>
        <v>料件上線時間</v>
      </c>
      <c r="C1820" s="1" t="str">
        <f ca="1">IFERROR(__xludf.DUMMYFUNCTION("""COMPUTED_VALUE"""),"A00100000731")</f>
        <v>A00100000731</v>
      </c>
      <c r="D1820" s="1" t="str">
        <f ca="1">IFERROR(__xludf.DUMMYFUNCTION("""COMPUTED_VALUE"""),"All / BA")</f>
        <v>All / BA</v>
      </c>
      <c r="E1820" s="1" t="str">
        <f ca="1">IFERROR(__xludf.DUMMYFUNCTION("""COMPUTED_VALUE"""),"p1/庫存")</f>
        <v>p1/庫存</v>
      </c>
      <c r="F1820" s="1">
        <f ca="1">IFERROR(__xludf.DUMMYFUNCTION("""COMPUTED_VALUE"""),0)</f>
        <v>0</v>
      </c>
      <c r="G1820" s="1" t="str">
        <f ca="1">IFERROR(__xludf.DUMMYFUNCTION("""COMPUTED_VALUE"""),"06F149")</f>
        <v>06F149</v>
      </c>
      <c r="H1820" s="1" t="str">
        <f ca="1">IFERROR(__xludf.DUMMYFUNCTION("""COMPUTED_VALUE"""),"P1_010")</f>
        <v>P1_010</v>
      </c>
      <c r="I1820" s="1"/>
    </row>
    <row r="1821" spans="1:9" ht="12.7" x14ac:dyDescent="0.4">
      <c r="A1821" s="4">
        <f ca="1">IFERROR(__xludf.DUMMYFUNCTION("""COMPUTED_VALUE"""),45113)</f>
        <v>45113</v>
      </c>
      <c r="B1821" s="1" t="str">
        <f ca="1">IFERROR(__xludf.DUMMYFUNCTION("""COMPUTED_VALUE"""),"送修")</f>
        <v>送修</v>
      </c>
      <c r="C1821" s="1" t="str">
        <f ca="1">IFERROR(__xludf.DUMMYFUNCTION("""COMPUTED_VALUE"""),"ME0160000073")</f>
        <v>ME0160000073</v>
      </c>
      <c r="D1821" s="1" t="str">
        <f ca="1">IFERROR(__xludf.DUMMYFUNCTION("""COMPUTED_VALUE"""),"All / BA")</f>
        <v>All / BA</v>
      </c>
      <c r="E1821" s="1" t="str">
        <f ca="1">IFERROR(__xludf.DUMMYFUNCTION("""COMPUTED_VALUE"""),"p1/庫存")</f>
        <v>p1/庫存</v>
      </c>
      <c r="F1821" s="1">
        <f ca="1">IFERROR(__xludf.DUMMYFUNCTION("""COMPUTED_VALUE"""),0)</f>
        <v>0</v>
      </c>
      <c r="G1821" s="1" t="str">
        <f ca="1">IFERROR(__xludf.DUMMYFUNCTION("""COMPUTED_VALUE"""),"B1312004")</f>
        <v>B1312004</v>
      </c>
      <c r="H1821" s="1" t="str">
        <f ca="1">IFERROR(__xludf.DUMMYFUNCTION("""COMPUTED_VALUE"""),"P1_024")</f>
        <v>P1_024</v>
      </c>
      <c r="I1821" s="1" t="str">
        <f ca="1">IFERROR(__xludf.DUMMYFUNCTION("""COMPUTED_VALUE"""),"Simon")</f>
        <v>Simon</v>
      </c>
    </row>
    <row r="1822" spans="1:9" ht="12.7" x14ac:dyDescent="0.4">
      <c r="A1822" s="4">
        <f ca="1">IFERROR(__xludf.DUMMYFUNCTION("""COMPUTED_VALUE"""),45161)</f>
        <v>45161</v>
      </c>
      <c r="B1822" s="1" t="str">
        <f ca="1">IFERROR(__xludf.DUMMYFUNCTION("""COMPUTED_VALUE"""),"返修")</f>
        <v>返修</v>
      </c>
      <c r="C1822" s="1" t="str">
        <f ca="1">IFERROR(__xludf.DUMMYFUNCTION("""COMPUTED_VALUE"""),"ME0160000073")</f>
        <v>ME0160000073</v>
      </c>
      <c r="D1822" s="1" t="str">
        <f ca="1">IFERROR(__xludf.DUMMYFUNCTION("""COMPUTED_VALUE"""),"All / BA")</f>
        <v>All / BA</v>
      </c>
      <c r="E1822" s="1" t="str">
        <f ca="1">IFERROR(__xludf.DUMMYFUNCTION("""COMPUTED_VALUE"""),"p1/庫存")</f>
        <v>p1/庫存</v>
      </c>
      <c r="F1822" s="1">
        <f ca="1">IFERROR(__xludf.DUMMYFUNCTION("""COMPUTED_VALUE"""),0)</f>
        <v>0</v>
      </c>
      <c r="G1822" s="1" t="str">
        <f ca="1">IFERROR(__xludf.DUMMYFUNCTION("""COMPUTED_VALUE"""),"B1312004")</f>
        <v>B1312004</v>
      </c>
      <c r="H1822" s="1"/>
      <c r="I1822" s="1" t="str">
        <f ca="1">IFERROR(__xludf.DUMMYFUNCTION("""COMPUTED_VALUE"""),"Simon")</f>
        <v>Simon</v>
      </c>
    </row>
    <row r="1823" spans="1:9" ht="12.7" x14ac:dyDescent="0.4">
      <c r="A1823" s="4">
        <f ca="1">IFERROR(__xludf.DUMMYFUNCTION("""COMPUTED_VALUE"""),44805)</f>
        <v>44805</v>
      </c>
      <c r="B1823" s="1" t="str">
        <f ca="1">IFERROR(__xludf.DUMMYFUNCTION("""COMPUTED_VALUE"""),"料件上線時間")</f>
        <v>料件上線時間</v>
      </c>
      <c r="C1823" s="1" t="str">
        <f ca="1">IFERROR(__xludf.DUMMYFUNCTION("""COMPUTED_VALUE"""),"ME0160000073")</f>
        <v>ME0160000073</v>
      </c>
      <c r="D1823" s="1" t="str">
        <f ca="1">IFERROR(__xludf.DUMMYFUNCTION("""COMPUTED_VALUE"""),"All / BA")</f>
        <v>All / BA</v>
      </c>
      <c r="E1823" s="1" t="str">
        <f ca="1">IFERROR(__xludf.DUMMYFUNCTION("""COMPUTED_VALUE"""),"p1/庫存")</f>
        <v>p1/庫存</v>
      </c>
      <c r="F1823" s="1">
        <f ca="1">IFERROR(__xludf.DUMMYFUNCTION("""COMPUTED_VALUE"""),0)</f>
        <v>0</v>
      </c>
      <c r="G1823" s="1" t="str">
        <f ca="1">IFERROR(__xludf.DUMMYFUNCTION("""COMPUTED_VALUE"""),"B1312004")</f>
        <v>B1312004</v>
      </c>
      <c r="H1823" s="1" t="str">
        <f ca="1">IFERROR(__xludf.DUMMYFUNCTION("""COMPUTED_VALUE"""),"P1_024")</f>
        <v>P1_024</v>
      </c>
      <c r="I1823" s="1"/>
    </row>
    <row r="1824" spans="1:9" ht="12.7" x14ac:dyDescent="0.4">
      <c r="A1824" s="4">
        <f ca="1">IFERROR(__xludf.DUMMYFUNCTION("""COMPUTED_VALUE"""),45138)</f>
        <v>45138</v>
      </c>
      <c r="B1824" s="1" t="str">
        <f ca="1">IFERROR(__xludf.DUMMYFUNCTION("""COMPUTED_VALUE"""),"送修")</f>
        <v>送修</v>
      </c>
      <c r="C1824" s="1" t="str">
        <f ca="1">IFERROR(__xludf.DUMMYFUNCTION("""COMPUTED_VALUE"""),"ME0160000073")</f>
        <v>ME0160000073</v>
      </c>
      <c r="D1824" s="1" t="str">
        <f ca="1">IFERROR(__xludf.DUMMYFUNCTION("""COMPUTED_VALUE"""),"All / BA")</f>
        <v>All / BA</v>
      </c>
      <c r="E1824" s="1" t="str">
        <f ca="1">IFERROR(__xludf.DUMMYFUNCTION("""COMPUTED_VALUE"""),"p1/庫存")</f>
        <v>p1/庫存</v>
      </c>
      <c r="F1824" s="1">
        <f ca="1">IFERROR(__xludf.DUMMYFUNCTION("""COMPUTED_VALUE"""),0)</f>
        <v>0</v>
      </c>
      <c r="G1824" s="1" t="str">
        <f ca="1">IFERROR(__xludf.DUMMYFUNCTION("""COMPUTED_VALUE"""),"B2206376")</f>
        <v>B2206376</v>
      </c>
      <c r="H1824" s="1" t="str">
        <f ca="1">IFERROR(__xludf.DUMMYFUNCTION("""COMPUTED_VALUE"""),"P1_010")</f>
        <v>P1_010</v>
      </c>
      <c r="I1824" s="1" t="str">
        <f ca="1">IFERROR(__xludf.DUMMYFUNCTION("""COMPUTED_VALUE"""),"Simon")</f>
        <v>Simon</v>
      </c>
    </row>
    <row r="1825" spans="1:9" ht="12.7" x14ac:dyDescent="0.4">
      <c r="A1825" s="4">
        <f ca="1">IFERROR(__xludf.DUMMYFUNCTION("""COMPUTED_VALUE"""),44805)</f>
        <v>44805</v>
      </c>
      <c r="B1825" s="1" t="str">
        <f ca="1">IFERROR(__xludf.DUMMYFUNCTION("""COMPUTED_VALUE"""),"料件上線時間")</f>
        <v>料件上線時間</v>
      </c>
      <c r="C1825" s="1" t="str">
        <f ca="1">IFERROR(__xludf.DUMMYFUNCTION("""COMPUTED_VALUE"""),"ME0160000073")</f>
        <v>ME0160000073</v>
      </c>
      <c r="D1825" s="1" t="str">
        <f ca="1">IFERROR(__xludf.DUMMYFUNCTION("""COMPUTED_VALUE"""),"All / BA")</f>
        <v>All / BA</v>
      </c>
      <c r="E1825" s="1" t="str">
        <f ca="1">IFERROR(__xludf.DUMMYFUNCTION("""COMPUTED_VALUE"""),"p1/庫存")</f>
        <v>p1/庫存</v>
      </c>
      <c r="F1825" s="1">
        <f ca="1">IFERROR(__xludf.DUMMYFUNCTION("""COMPUTED_VALUE"""),0)</f>
        <v>0</v>
      </c>
      <c r="G1825" s="1" t="str">
        <f ca="1">IFERROR(__xludf.DUMMYFUNCTION("""COMPUTED_VALUE"""),"B2206376")</f>
        <v>B2206376</v>
      </c>
      <c r="H1825" s="1" t="str">
        <f ca="1">IFERROR(__xludf.DUMMYFUNCTION("""COMPUTED_VALUE"""),"P1_010")</f>
        <v>P1_010</v>
      </c>
      <c r="I1825" s="1"/>
    </row>
    <row r="1826" spans="1:9" ht="12.7" x14ac:dyDescent="0.4">
      <c r="A1826" s="4">
        <f ca="1">IFERROR(__xludf.DUMMYFUNCTION("""COMPUTED_VALUE"""),45034)</f>
        <v>45034</v>
      </c>
      <c r="B1826" s="1" t="str">
        <f ca="1">IFERROR(__xludf.DUMMYFUNCTION("""COMPUTED_VALUE"""),"送修")</f>
        <v>送修</v>
      </c>
      <c r="C1826" s="1" t="str">
        <f ca="1">IFERROR(__xludf.DUMMYFUNCTION("""COMPUTED_VALUE"""),"ME0160000073")</f>
        <v>ME0160000073</v>
      </c>
      <c r="D1826" s="1" t="str">
        <f ca="1">IFERROR(__xludf.DUMMYFUNCTION("""COMPUTED_VALUE"""),"All / BA")</f>
        <v>All / BA</v>
      </c>
      <c r="E1826" s="1" t="str">
        <f ca="1">IFERROR(__xludf.DUMMYFUNCTION("""COMPUTED_VALUE"""),"p1/庫存")</f>
        <v>p1/庫存</v>
      </c>
      <c r="F1826" s="1">
        <f ca="1">IFERROR(__xludf.DUMMYFUNCTION("""COMPUTED_VALUE"""),0)</f>
        <v>0</v>
      </c>
      <c r="G1826" s="1" t="str">
        <f ca="1">IFERROR(__xludf.DUMMYFUNCTION("""COMPUTED_VALUE"""),"B2206362")</f>
        <v>B2206362</v>
      </c>
      <c r="H1826" s="1" t="str">
        <f ca="1">IFERROR(__xludf.DUMMYFUNCTION("""COMPUTED_VALUE"""),"P1_030")</f>
        <v>P1_030</v>
      </c>
      <c r="I1826" s="1" t="str">
        <f ca="1">IFERROR(__xludf.DUMMYFUNCTION("""COMPUTED_VALUE"""),"George")</f>
        <v>George</v>
      </c>
    </row>
    <row r="1827" spans="1:9" ht="12.7" x14ac:dyDescent="0.4">
      <c r="A1827" s="4">
        <f ca="1">IFERROR(__xludf.DUMMYFUNCTION("""COMPUTED_VALUE"""),45063)</f>
        <v>45063</v>
      </c>
      <c r="B1827" s="1" t="str">
        <f ca="1">IFERROR(__xludf.DUMMYFUNCTION("""COMPUTED_VALUE"""),"返修")</f>
        <v>返修</v>
      </c>
      <c r="C1827" s="1" t="str">
        <f ca="1">IFERROR(__xludf.DUMMYFUNCTION("""COMPUTED_VALUE"""),"ME0160000073")</f>
        <v>ME0160000073</v>
      </c>
      <c r="D1827" s="1" t="str">
        <f ca="1">IFERROR(__xludf.DUMMYFUNCTION("""COMPUTED_VALUE"""),"All / BA")</f>
        <v>All / BA</v>
      </c>
      <c r="E1827" s="1" t="str">
        <f ca="1">IFERROR(__xludf.DUMMYFUNCTION("""COMPUTED_VALUE"""),"p1/庫存")</f>
        <v>p1/庫存</v>
      </c>
      <c r="F1827" s="1">
        <f ca="1">IFERROR(__xludf.DUMMYFUNCTION("""COMPUTED_VALUE"""),0)</f>
        <v>0</v>
      </c>
      <c r="G1827" s="1" t="str">
        <f ca="1">IFERROR(__xludf.DUMMYFUNCTION("""COMPUTED_VALUE"""),"B2206362")</f>
        <v>B2206362</v>
      </c>
      <c r="H1827" s="1"/>
      <c r="I1827" s="1" t="str">
        <f ca="1">IFERROR(__xludf.DUMMYFUNCTION("""COMPUTED_VALUE"""),"Simon")</f>
        <v>Simon</v>
      </c>
    </row>
    <row r="1828" spans="1:9" ht="12.7" x14ac:dyDescent="0.4">
      <c r="A1828" s="4">
        <f ca="1">IFERROR(__xludf.DUMMYFUNCTION("""COMPUTED_VALUE"""),44805)</f>
        <v>44805</v>
      </c>
      <c r="B1828" s="1" t="str">
        <f ca="1">IFERROR(__xludf.DUMMYFUNCTION("""COMPUTED_VALUE"""),"料件上線時間")</f>
        <v>料件上線時間</v>
      </c>
      <c r="C1828" s="1" t="str">
        <f ca="1">IFERROR(__xludf.DUMMYFUNCTION("""COMPUTED_VALUE"""),"ME0160000073")</f>
        <v>ME0160000073</v>
      </c>
      <c r="D1828" s="1" t="str">
        <f ca="1">IFERROR(__xludf.DUMMYFUNCTION("""COMPUTED_VALUE"""),"All / BA")</f>
        <v>All / BA</v>
      </c>
      <c r="E1828" s="1" t="str">
        <f ca="1">IFERROR(__xludf.DUMMYFUNCTION("""COMPUTED_VALUE"""),"p1/庫存")</f>
        <v>p1/庫存</v>
      </c>
      <c r="F1828" s="1">
        <f ca="1">IFERROR(__xludf.DUMMYFUNCTION("""COMPUTED_VALUE"""),0)</f>
        <v>0</v>
      </c>
      <c r="G1828" s="1" t="str">
        <f ca="1">IFERROR(__xludf.DUMMYFUNCTION("""COMPUTED_VALUE"""),"B2206362")</f>
        <v>B2206362</v>
      </c>
      <c r="H1828" s="1" t="str">
        <f ca="1">IFERROR(__xludf.DUMMYFUNCTION("""COMPUTED_VALUE"""),"P1_030")</f>
        <v>P1_030</v>
      </c>
      <c r="I1828" s="1"/>
    </row>
    <row r="1829" spans="1:9" ht="12.7" x14ac:dyDescent="0.4">
      <c r="A1829" s="4">
        <f ca="1">IFERROR(__xludf.DUMMYFUNCTION("""COMPUTED_VALUE"""),45051)</f>
        <v>45051</v>
      </c>
      <c r="B1829" s="1" t="str">
        <f ca="1">IFERROR(__xludf.DUMMYFUNCTION("""COMPUTED_VALUE"""),"送修")</f>
        <v>送修</v>
      </c>
      <c r="C1829" s="1" t="str">
        <f ca="1">IFERROR(__xludf.DUMMYFUNCTION("""COMPUTED_VALUE"""),"ME0160000073")</f>
        <v>ME0160000073</v>
      </c>
      <c r="D1829" s="1" t="str">
        <f ca="1">IFERROR(__xludf.DUMMYFUNCTION("""COMPUTED_VALUE"""),"All / BA")</f>
        <v>All / BA</v>
      </c>
      <c r="E1829" s="1" t="str">
        <f ca="1">IFERROR(__xludf.DUMMYFUNCTION("""COMPUTED_VALUE"""),"p1/庫存")</f>
        <v>p1/庫存</v>
      </c>
      <c r="F1829" s="1">
        <f ca="1">IFERROR(__xludf.DUMMYFUNCTION("""COMPUTED_VALUE"""),0)</f>
        <v>0</v>
      </c>
      <c r="G1829" s="1" t="str">
        <f ca="1">IFERROR(__xludf.DUMMYFUNCTION("""COMPUTED_VALUE"""),"B2204359")</f>
        <v>B2204359</v>
      </c>
      <c r="H1829" s="1" t="str">
        <f ca="1">IFERROR(__xludf.DUMMYFUNCTION("""COMPUTED_VALUE"""),"P1_025")</f>
        <v>P1_025</v>
      </c>
      <c r="I1829" s="1" t="str">
        <f ca="1">IFERROR(__xludf.DUMMYFUNCTION("""COMPUTED_VALUE"""),"Simon")</f>
        <v>Simon</v>
      </c>
    </row>
    <row r="1830" spans="1:9" ht="12.7" x14ac:dyDescent="0.4">
      <c r="A1830" s="4">
        <f ca="1">IFERROR(__xludf.DUMMYFUNCTION("""COMPUTED_VALUE"""),45063)</f>
        <v>45063</v>
      </c>
      <c r="B1830" s="1" t="str">
        <f ca="1">IFERROR(__xludf.DUMMYFUNCTION("""COMPUTED_VALUE"""),"返修")</f>
        <v>返修</v>
      </c>
      <c r="C1830" s="1" t="str">
        <f ca="1">IFERROR(__xludf.DUMMYFUNCTION("""COMPUTED_VALUE"""),"ME0160000073")</f>
        <v>ME0160000073</v>
      </c>
      <c r="D1830" s="1" t="str">
        <f ca="1">IFERROR(__xludf.DUMMYFUNCTION("""COMPUTED_VALUE"""),"All / BA")</f>
        <v>All / BA</v>
      </c>
      <c r="E1830" s="1" t="str">
        <f ca="1">IFERROR(__xludf.DUMMYFUNCTION("""COMPUTED_VALUE"""),"p1/庫存")</f>
        <v>p1/庫存</v>
      </c>
      <c r="F1830" s="1">
        <f ca="1">IFERROR(__xludf.DUMMYFUNCTION("""COMPUTED_VALUE"""),0)</f>
        <v>0</v>
      </c>
      <c r="G1830" s="1" t="str">
        <f ca="1">IFERROR(__xludf.DUMMYFUNCTION("""COMPUTED_VALUE"""),"B2204359")</f>
        <v>B2204359</v>
      </c>
      <c r="H1830" s="1"/>
      <c r="I1830" s="1" t="str">
        <f ca="1">IFERROR(__xludf.DUMMYFUNCTION("""COMPUTED_VALUE"""),"Simon")</f>
        <v>Simon</v>
      </c>
    </row>
    <row r="1831" spans="1:9" ht="12.7" x14ac:dyDescent="0.4">
      <c r="A1831" s="4">
        <f ca="1">IFERROR(__xludf.DUMMYFUNCTION("""COMPUTED_VALUE"""),44805)</f>
        <v>44805</v>
      </c>
      <c r="B1831" s="1" t="str">
        <f ca="1">IFERROR(__xludf.DUMMYFUNCTION("""COMPUTED_VALUE"""),"料件上線時間")</f>
        <v>料件上線時間</v>
      </c>
      <c r="C1831" s="1" t="str">
        <f ca="1">IFERROR(__xludf.DUMMYFUNCTION("""COMPUTED_VALUE"""),"ME0160000073")</f>
        <v>ME0160000073</v>
      </c>
      <c r="D1831" s="1" t="str">
        <f ca="1">IFERROR(__xludf.DUMMYFUNCTION("""COMPUTED_VALUE"""),"All / BA")</f>
        <v>All / BA</v>
      </c>
      <c r="E1831" s="1" t="str">
        <f ca="1">IFERROR(__xludf.DUMMYFUNCTION("""COMPUTED_VALUE"""),"p1/庫存")</f>
        <v>p1/庫存</v>
      </c>
      <c r="F1831" s="1">
        <f ca="1">IFERROR(__xludf.DUMMYFUNCTION("""COMPUTED_VALUE"""),0)</f>
        <v>0</v>
      </c>
      <c r="G1831" s="1" t="str">
        <f ca="1">IFERROR(__xludf.DUMMYFUNCTION("""COMPUTED_VALUE"""),"B2204359")</f>
        <v>B2204359</v>
      </c>
      <c r="H1831" s="1" t="str">
        <f ca="1">IFERROR(__xludf.DUMMYFUNCTION("""COMPUTED_VALUE"""),"P1_025")</f>
        <v>P1_025</v>
      </c>
      <c r="I1831" s="1"/>
    </row>
    <row r="1832" spans="1:9" ht="12.7" x14ac:dyDescent="0.4">
      <c r="A1832" s="4">
        <f ca="1">IFERROR(__xludf.DUMMYFUNCTION("""COMPUTED_VALUE"""),45051)</f>
        <v>45051</v>
      </c>
      <c r="B1832" s="1" t="str">
        <f ca="1">IFERROR(__xludf.DUMMYFUNCTION("""COMPUTED_VALUE"""),"送修")</f>
        <v>送修</v>
      </c>
      <c r="C1832" s="1" t="str">
        <f ca="1">IFERROR(__xludf.DUMMYFUNCTION("""COMPUTED_VALUE"""),"ME0160000073")</f>
        <v>ME0160000073</v>
      </c>
      <c r="D1832" s="1" t="str">
        <f ca="1">IFERROR(__xludf.DUMMYFUNCTION("""COMPUTED_VALUE"""),"All / BA")</f>
        <v>All / BA</v>
      </c>
      <c r="E1832" s="1" t="str">
        <f ca="1">IFERROR(__xludf.DUMMYFUNCTION("""COMPUTED_VALUE"""),"p1/庫存")</f>
        <v>p1/庫存</v>
      </c>
      <c r="F1832" s="1">
        <f ca="1">IFERROR(__xludf.DUMMYFUNCTION("""COMPUTED_VALUE"""),0)</f>
        <v>0</v>
      </c>
      <c r="G1832" s="1" t="str">
        <f ca="1">IFERROR(__xludf.DUMMYFUNCTION("""COMPUTED_VALUE"""),"B2002349")</f>
        <v>B2002349</v>
      </c>
      <c r="H1832" s="1" t="str">
        <f ca="1">IFERROR(__xludf.DUMMYFUNCTION("""COMPUTED_VALUE"""),"P1_028")</f>
        <v>P1_028</v>
      </c>
      <c r="I1832" s="1" t="str">
        <f ca="1">IFERROR(__xludf.DUMMYFUNCTION("""COMPUTED_VALUE"""),"Simon")</f>
        <v>Simon</v>
      </c>
    </row>
    <row r="1833" spans="1:9" ht="12.7" x14ac:dyDescent="0.4">
      <c r="A1833" s="4">
        <f ca="1">IFERROR(__xludf.DUMMYFUNCTION("""COMPUTED_VALUE"""),45063)</f>
        <v>45063</v>
      </c>
      <c r="B1833" s="1" t="str">
        <f ca="1">IFERROR(__xludf.DUMMYFUNCTION("""COMPUTED_VALUE"""),"返修")</f>
        <v>返修</v>
      </c>
      <c r="C1833" s="1" t="str">
        <f ca="1">IFERROR(__xludf.DUMMYFUNCTION("""COMPUTED_VALUE"""),"ME0160000073")</f>
        <v>ME0160000073</v>
      </c>
      <c r="D1833" s="1" t="str">
        <f ca="1">IFERROR(__xludf.DUMMYFUNCTION("""COMPUTED_VALUE"""),"All / BA")</f>
        <v>All / BA</v>
      </c>
      <c r="E1833" s="1" t="str">
        <f ca="1">IFERROR(__xludf.DUMMYFUNCTION("""COMPUTED_VALUE"""),"p1/庫存")</f>
        <v>p1/庫存</v>
      </c>
      <c r="F1833" s="1">
        <f ca="1">IFERROR(__xludf.DUMMYFUNCTION("""COMPUTED_VALUE"""),0)</f>
        <v>0</v>
      </c>
      <c r="G1833" s="1" t="str">
        <f ca="1">IFERROR(__xludf.DUMMYFUNCTION("""COMPUTED_VALUE"""),"B2002349")</f>
        <v>B2002349</v>
      </c>
      <c r="H1833" s="1"/>
      <c r="I1833" s="1" t="str">
        <f ca="1">IFERROR(__xludf.DUMMYFUNCTION("""COMPUTED_VALUE"""),"Simon")</f>
        <v>Simon</v>
      </c>
    </row>
    <row r="1834" spans="1:9" ht="12.7" x14ac:dyDescent="0.4">
      <c r="A1834" s="4">
        <f ca="1">IFERROR(__xludf.DUMMYFUNCTION("""COMPUTED_VALUE"""),44805)</f>
        <v>44805</v>
      </c>
      <c r="B1834" s="1" t="str">
        <f ca="1">IFERROR(__xludf.DUMMYFUNCTION("""COMPUTED_VALUE"""),"料件上線時間")</f>
        <v>料件上線時間</v>
      </c>
      <c r="C1834" s="1" t="str">
        <f ca="1">IFERROR(__xludf.DUMMYFUNCTION("""COMPUTED_VALUE"""),"ME0160000073")</f>
        <v>ME0160000073</v>
      </c>
      <c r="D1834" s="1" t="str">
        <f ca="1">IFERROR(__xludf.DUMMYFUNCTION("""COMPUTED_VALUE"""),"All / BA")</f>
        <v>All / BA</v>
      </c>
      <c r="E1834" s="1" t="str">
        <f ca="1">IFERROR(__xludf.DUMMYFUNCTION("""COMPUTED_VALUE"""),"p1/庫存")</f>
        <v>p1/庫存</v>
      </c>
      <c r="F1834" s="1">
        <f ca="1">IFERROR(__xludf.DUMMYFUNCTION("""COMPUTED_VALUE"""),0)</f>
        <v>0</v>
      </c>
      <c r="G1834" s="1" t="str">
        <f ca="1">IFERROR(__xludf.DUMMYFUNCTION("""COMPUTED_VALUE"""),"B2002349")</f>
        <v>B2002349</v>
      </c>
      <c r="H1834" s="1" t="str">
        <f ca="1">IFERROR(__xludf.DUMMYFUNCTION("""COMPUTED_VALUE"""),"P1_028")</f>
        <v>P1_028</v>
      </c>
      <c r="I1834" s="1"/>
    </row>
    <row r="1835" spans="1:9" ht="12.7" x14ac:dyDescent="0.4">
      <c r="A1835" s="4">
        <f ca="1">IFERROR(__xludf.DUMMYFUNCTION("""COMPUTED_VALUE"""),45162)</f>
        <v>45162</v>
      </c>
      <c r="B1835" s="1" t="str">
        <f ca="1">IFERROR(__xludf.DUMMYFUNCTION("""COMPUTED_VALUE"""),"送修")</f>
        <v>送修</v>
      </c>
      <c r="C1835" s="1" t="str">
        <f ca="1">IFERROR(__xludf.DUMMYFUNCTION("""COMPUTED_VALUE"""),"ME0160000073")</f>
        <v>ME0160000073</v>
      </c>
      <c r="D1835" s="1" t="str">
        <f ca="1">IFERROR(__xludf.DUMMYFUNCTION("""COMPUTED_VALUE"""),"All / BA")</f>
        <v>All / BA</v>
      </c>
      <c r="E1835" s="1" t="str">
        <f ca="1">IFERROR(__xludf.DUMMYFUNCTION("""COMPUTED_VALUE"""),"p1/庫存")</f>
        <v>p1/庫存</v>
      </c>
      <c r="F1835" s="1">
        <f ca="1">IFERROR(__xludf.DUMMYFUNCTION("""COMPUTED_VALUE"""),0)</f>
        <v>0</v>
      </c>
      <c r="G1835" s="1" t="str">
        <f ca="1">IFERROR(__xludf.DUMMYFUNCTION("""COMPUTED_VALUE"""),"B1409079")</f>
        <v>B1409079</v>
      </c>
      <c r="H1835" s="1" t="str">
        <f ca="1">IFERROR(__xludf.DUMMYFUNCTION("""COMPUTED_VALUE"""),"P1_022")</f>
        <v>P1_022</v>
      </c>
      <c r="I1835" s="1" t="str">
        <f ca="1">IFERROR(__xludf.DUMMYFUNCTION("""COMPUTED_VALUE"""),"Simon")</f>
        <v>Simon</v>
      </c>
    </row>
    <row r="1836" spans="1:9" ht="12.7" x14ac:dyDescent="0.4">
      <c r="A1836" s="4">
        <f ca="1">IFERROR(__xludf.DUMMYFUNCTION("""COMPUTED_VALUE"""),44805)</f>
        <v>44805</v>
      </c>
      <c r="B1836" s="1" t="str">
        <f ca="1">IFERROR(__xludf.DUMMYFUNCTION("""COMPUTED_VALUE"""),"料件上線時間")</f>
        <v>料件上線時間</v>
      </c>
      <c r="C1836" s="1" t="str">
        <f ca="1">IFERROR(__xludf.DUMMYFUNCTION("""COMPUTED_VALUE"""),"ME0160000073")</f>
        <v>ME0160000073</v>
      </c>
      <c r="D1836" s="1" t="str">
        <f ca="1">IFERROR(__xludf.DUMMYFUNCTION("""COMPUTED_VALUE"""),"All / BA")</f>
        <v>All / BA</v>
      </c>
      <c r="E1836" s="1" t="str">
        <f ca="1">IFERROR(__xludf.DUMMYFUNCTION("""COMPUTED_VALUE"""),"p1/庫存")</f>
        <v>p1/庫存</v>
      </c>
      <c r="F1836" s="1">
        <f ca="1">IFERROR(__xludf.DUMMYFUNCTION("""COMPUTED_VALUE"""),0)</f>
        <v>0</v>
      </c>
      <c r="G1836" s="1" t="str">
        <f ca="1">IFERROR(__xludf.DUMMYFUNCTION("""COMPUTED_VALUE"""),"B1409079")</f>
        <v>B1409079</v>
      </c>
      <c r="H1836" s="1" t="str">
        <f ca="1">IFERROR(__xludf.DUMMYFUNCTION("""COMPUTED_VALUE"""),"P1_022")</f>
        <v>P1_022</v>
      </c>
      <c r="I1836" s="1"/>
    </row>
    <row r="1837" spans="1:9" ht="12.7" x14ac:dyDescent="0.4">
      <c r="A1837" s="4">
        <f ca="1">IFERROR(__xludf.DUMMYFUNCTION("""COMPUTED_VALUE"""),45183)</f>
        <v>45183</v>
      </c>
      <c r="B1837" s="1" t="str">
        <f ca="1">IFERROR(__xludf.DUMMYFUNCTION("""COMPUTED_VALUE"""),"自行維修")</f>
        <v>自行維修</v>
      </c>
      <c r="C1837" s="1" t="str">
        <f ca="1">IFERROR(__xludf.DUMMYFUNCTION("""COMPUTED_VALUE"""),"ME0160000073")</f>
        <v>ME0160000073</v>
      </c>
      <c r="D1837" s="1" t="str">
        <f ca="1">IFERROR(__xludf.DUMMYFUNCTION("""COMPUTED_VALUE"""),"All / BA")</f>
        <v>All / BA</v>
      </c>
      <c r="E1837" s="1" t="str">
        <f ca="1">IFERROR(__xludf.DUMMYFUNCTION("""COMPUTED_VALUE"""),"p2/庫存")</f>
        <v>p2/庫存</v>
      </c>
      <c r="F1837" s="1">
        <f ca="1">IFERROR(__xludf.DUMMYFUNCTION("""COMPUTED_VALUE"""),0)</f>
        <v>0</v>
      </c>
      <c r="G1837" s="1" t="str">
        <f ca="1">IFERROR(__xludf.DUMMYFUNCTION("""COMPUTED_VALUE"""),"B2211409")</f>
        <v>B2211409</v>
      </c>
      <c r="H1837" s="1" t="str">
        <f ca="1">IFERROR(__xludf.DUMMYFUNCTION("""COMPUTED_VALUE"""),"P2_054")</f>
        <v>P2_054</v>
      </c>
      <c r="I1837" s="1" t="str">
        <f ca="1">IFERROR(__xludf.DUMMYFUNCTION("""COMPUTED_VALUE"""),"Simon")</f>
        <v>Simon</v>
      </c>
    </row>
    <row r="1838" spans="1:9" ht="12.7" x14ac:dyDescent="0.4">
      <c r="A1838" s="4">
        <f ca="1">IFERROR(__xludf.DUMMYFUNCTION("""COMPUTED_VALUE"""),44948)</f>
        <v>44948</v>
      </c>
      <c r="B1838" s="1" t="str">
        <f ca="1">IFERROR(__xludf.DUMMYFUNCTION("""COMPUTED_VALUE"""),"料件上線時間")</f>
        <v>料件上線時間</v>
      </c>
      <c r="C1838" s="1" t="str">
        <f ca="1">IFERROR(__xludf.DUMMYFUNCTION("""COMPUTED_VALUE"""),"ME0160000073")</f>
        <v>ME0160000073</v>
      </c>
      <c r="D1838" s="1" t="str">
        <f ca="1">IFERROR(__xludf.DUMMYFUNCTION("""COMPUTED_VALUE"""),"All / BA")</f>
        <v>All / BA</v>
      </c>
      <c r="E1838" s="1" t="str">
        <f ca="1">IFERROR(__xludf.DUMMYFUNCTION("""COMPUTED_VALUE"""),"p2/庫存")</f>
        <v>p2/庫存</v>
      </c>
      <c r="F1838" s="1">
        <f ca="1">IFERROR(__xludf.DUMMYFUNCTION("""COMPUTED_VALUE"""),0)</f>
        <v>0</v>
      </c>
      <c r="G1838" s="1" t="str">
        <f ca="1">IFERROR(__xludf.DUMMYFUNCTION("""COMPUTED_VALUE"""),"B2211409")</f>
        <v>B2211409</v>
      </c>
      <c r="H1838" s="1" t="str">
        <f ca="1">IFERROR(__xludf.DUMMYFUNCTION("""COMPUTED_VALUE"""),"P2_054")</f>
        <v>P2_054</v>
      </c>
      <c r="I1838" s="1"/>
    </row>
    <row r="1839" spans="1:9" ht="12.7" x14ac:dyDescent="0.4">
      <c r="A1839" s="4">
        <f ca="1">IFERROR(__xludf.DUMMYFUNCTION("""COMPUTED_VALUE"""),45113)</f>
        <v>45113</v>
      </c>
      <c r="B1839" s="1" t="str">
        <f ca="1">IFERROR(__xludf.DUMMYFUNCTION("""COMPUTED_VALUE"""),"送修")</f>
        <v>送修</v>
      </c>
      <c r="C1839" s="1" t="str">
        <f ca="1">IFERROR(__xludf.DUMMYFUNCTION("""COMPUTED_VALUE"""),"A00700000366")</f>
        <v>A00700000366</v>
      </c>
      <c r="D1839" s="1" t="str">
        <f ca="1">IFERROR(__xludf.DUMMYFUNCTION("""COMPUTED_VALUE"""),"All / BA")</f>
        <v>All / BA</v>
      </c>
      <c r="E1839" s="1" t="str">
        <f ca="1">IFERROR(__xludf.DUMMYFUNCTION("""COMPUTED_VALUE"""),"p2/庫存")</f>
        <v>p2/庫存</v>
      </c>
      <c r="F1839" s="1">
        <f ca="1">IFERROR(__xludf.DUMMYFUNCTION("""COMPUTED_VALUE"""),0)</f>
        <v>0</v>
      </c>
      <c r="G1839" s="1" t="str">
        <f ca="1">IFERROR(__xludf.DUMMYFUNCTION("""COMPUTED_VALUE"""),"100A-2522C0084-2208")</f>
        <v>100A-2522C0084-2208</v>
      </c>
      <c r="H1839" s="1" t="str">
        <f ca="1">IFERROR(__xludf.DUMMYFUNCTION("""COMPUTED_VALUE"""),"P2_057")</f>
        <v>P2_057</v>
      </c>
      <c r="I1839" s="1" t="str">
        <f ca="1">IFERROR(__xludf.DUMMYFUNCTION("""COMPUTED_VALUE"""),"Simon")</f>
        <v>Simon</v>
      </c>
    </row>
    <row r="1840" spans="1:9" ht="12.7" x14ac:dyDescent="0.4">
      <c r="A1840" s="4">
        <f ca="1">IFERROR(__xludf.DUMMYFUNCTION("""COMPUTED_VALUE"""),44948)</f>
        <v>44948</v>
      </c>
      <c r="B1840" s="1" t="str">
        <f ca="1">IFERROR(__xludf.DUMMYFUNCTION("""COMPUTED_VALUE"""),"料件上線時間")</f>
        <v>料件上線時間</v>
      </c>
      <c r="C1840" s="1" t="str">
        <f ca="1">IFERROR(__xludf.DUMMYFUNCTION("""COMPUTED_VALUE"""),"A00700000366")</f>
        <v>A00700000366</v>
      </c>
      <c r="D1840" s="1" t="str">
        <f ca="1">IFERROR(__xludf.DUMMYFUNCTION("""COMPUTED_VALUE"""),"All / BA")</f>
        <v>All / BA</v>
      </c>
      <c r="E1840" s="1" t="str">
        <f ca="1">IFERROR(__xludf.DUMMYFUNCTION("""COMPUTED_VALUE"""),"p2/庫存")</f>
        <v>p2/庫存</v>
      </c>
      <c r="F1840" s="1">
        <f ca="1">IFERROR(__xludf.DUMMYFUNCTION("""COMPUTED_VALUE"""),0)</f>
        <v>0</v>
      </c>
      <c r="G1840" s="1" t="str">
        <f ca="1">IFERROR(__xludf.DUMMYFUNCTION("""COMPUTED_VALUE"""),"100A-2522C0084-2208")</f>
        <v>100A-2522C0084-2208</v>
      </c>
      <c r="H1840" s="1" t="str">
        <f ca="1">IFERROR(__xludf.DUMMYFUNCTION("""COMPUTED_VALUE"""),"P2_057")</f>
        <v>P2_057</v>
      </c>
      <c r="I1840" s="1"/>
    </row>
    <row r="1841" spans="1:9" ht="12.7" x14ac:dyDescent="0.4">
      <c r="A1841" s="4">
        <f ca="1">IFERROR(__xludf.DUMMYFUNCTION("""COMPUTED_VALUE"""),45119)</f>
        <v>45119</v>
      </c>
      <c r="B1841" s="1" t="str">
        <f ca="1">IFERROR(__xludf.DUMMYFUNCTION("""COMPUTED_VALUE"""),"送修")</f>
        <v>送修</v>
      </c>
      <c r="C1841" s="1" t="str">
        <f ca="1">IFERROR(__xludf.DUMMYFUNCTION("""COMPUTED_VALUE"""),"A00900000618")</f>
        <v>A00900000618</v>
      </c>
      <c r="D1841" s="1" t="str">
        <f ca="1">IFERROR(__xludf.DUMMYFUNCTION("""COMPUTED_VALUE"""),"All / BA")</f>
        <v>All / BA</v>
      </c>
      <c r="E1841" s="1" t="str">
        <f ca="1">IFERROR(__xludf.DUMMYFUNCTION("""COMPUTED_VALUE"""),"p1/庫存")</f>
        <v>p1/庫存</v>
      </c>
      <c r="F1841" s="1">
        <f ca="1">IFERROR(__xludf.DUMMYFUNCTION("""COMPUTED_VALUE"""),0)</f>
        <v>0</v>
      </c>
      <c r="G1841" s="1" t="str">
        <f ca="1">IFERROR(__xludf.DUMMYFUNCTION("""COMPUTED_VALUE"""),"S2341050710")</f>
        <v>S2341050710</v>
      </c>
      <c r="H1841" s="1" t="str">
        <f ca="1">IFERROR(__xludf.DUMMYFUNCTION("""COMPUTED_VALUE"""),"備品")</f>
        <v>備品</v>
      </c>
      <c r="I1841" s="1" t="str">
        <f ca="1">IFERROR(__xludf.DUMMYFUNCTION("""COMPUTED_VALUE"""),"Simon")</f>
        <v>Simon</v>
      </c>
    </row>
    <row r="1842" spans="1:9" ht="12.7" x14ac:dyDescent="0.4">
      <c r="A1842" s="4">
        <f ca="1">IFERROR(__xludf.DUMMYFUNCTION("""COMPUTED_VALUE"""),45175)</f>
        <v>45175</v>
      </c>
      <c r="B1842" s="1" t="str">
        <f ca="1">IFERROR(__xludf.DUMMYFUNCTION("""COMPUTED_VALUE"""),"返修")</f>
        <v>返修</v>
      </c>
      <c r="C1842" s="1" t="str">
        <f ca="1">IFERROR(__xludf.DUMMYFUNCTION("""COMPUTED_VALUE"""),"A00900000618")</f>
        <v>A00900000618</v>
      </c>
      <c r="D1842" s="1" t="str">
        <f ca="1">IFERROR(__xludf.DUMMYFUNCTION("""COMPUTED_VALUE"""),"All / BA")</f>
        <v>All / BA</v>
      </c>
      <c r="E1842" s="1" t="str">
        <f ca="1">IFERROR(__xludf.DUMMYFUNCTION("""COMPUTED_VALUE"""),"p1/庫存")</f>
        <v>p1/庫存</v>
      </c>
      <c r="F1842" s="1">
        <f ca="1">IFERROR(__xludf.DUMMYFUNCTION("""COMPUTED_VALUE"""),0)</f>
        <v>0</v>
      </c>
      <c r="G1842" s="1" t="str">
        <f ca="1">IFERROR(__xludf.DUMMYFUNCTION("""COMPUTED_VALUE"""),"S2341050710")</f>
        <v>S2341050710</v>
      </c>
      <c r="H1842" s="1" t="str">
        <f ca="1">IFERROR(__xludf.DUMMYFUNCTION("""COMPUTED_VALUE"""),"備品")</f>
        <v>備品</v>
      </c>
      <c r="I1842" s="1" t="str">
        <f ca="1">IFERROR(__xludf.DUMMYFUNCTION("""COMPUTED_VALUE"""),"George")</f>
        <v>George</v>
      </c>
    </row>
    <row r="1843" spans="1:9" ht="12.7" x14ac:dyDescent="0.4">
      <c r="A1843" s="4">
        <f ca="1">IFERROR(__xludf.DUMMYFUNCTION("""COMPUTED_VALUE"""),45070)</f>
        <v>45070</v>
      </c>
      <c r="B1843" s="1" t="str">
        <f ca="1">IFERROR(__xludf.DUMMYFUNCTION("""COMPUTED_VALUE"""),"料件上線時間")</f>
        <v>料件上線時間</v>
      </c>
      <c r="C1843" s="1" t="str">
        <f ca="1">IFERROR(__xludf.DUMMYFUNCTION("""COMPUTED_VALUE"""),"A00900000618")</f>
        <v>A00900000618</v>
      </c>
      <c r="D1843" s="1" t="str">
        <f ca="1">IFERROR(__xludf.DUMMYFUNCTION("""COMPUTED_VALUE"""),"All / BA")</f>
        <v>All / BA</v>
      </c>
      <c r="E1843" s="1" t="str">
        <f ca="1">IFERROR(__xludf.DUMMYFUNCTION("""COMPUTED_VALUE"""),"p1/庫存")</f>
        <v>p1/庫存</v>
      </c>
      <c r="F1843" s="1">
        <f ca="1">IFERROR(__xludf.DUMMYFUNCTION("""COMPUTED_VALUE"""),0)</f>
        <v>0</v>
      </c>
      <c r="G1843" s="1" t="str">
        <f ca="1">IFERROR(__xludf.DUMMYFUNCTION("""COMPUTED_VALUE"""),"S2341050710")</f>
        <v>S2341050710</v>
      </c>
      <c r="H1843" s="1" t="str">
        <f ca="1">IFERROR(__xludf.DUMMYFUNCTION("""COMPUTED_VALUE"""),"備品")</f>
        <v>備品</v>
      </c>
      <c r="I1843" s="1"/>
    </row>
    <row r="1844" spans="1:9" ht="12.7" x14ac:dyDescent="0.4">
      <c r="A1844" s="4">
        <f ca="1">IFERROR(__xludf.DUMMYFUNCTION("""COMPUTED_VALUE"""),45131)</f>
        <v>45131</v>
      </c>
      <c r="B1844" s="1" t="str">
        <f ca="1">IFERROR(__xludf.DUMMYFUNCTION("""COMPUTED_VALUE"""),"送修")</f>
        <v>送修</v>
      </c>
      <c r="C1844" s="1" t="str">
        <f ca="1">IFERROR(__xludf.DUMMYFUNCTION("""COMPUTED_VALUE"""),"ME0020000525")</f>
        <v>ME0020000525</v>
      </c>
      <c r="D1844" s="1" t="str">
        <f ca="1">IFERROR(__xludf.DUMMYFUNCTION("""COMPUTED_VALUE"""),"All / 共用")</f>
        <v>All / 共用</v>
      </c>
      <c r="E1844" s="1" t="str">
        <f ca="1">IFERROR(__xludf.DUMMYFUNCTION("""COMPUTED_VALUE"""),"p2/庫存")</f>
        <v>p2/庫存</v>
      </c>
      <c r="F1844" s="1">
        <f ca="1">IFERROR(__xludf.DUMMYFUNCTION("""COMPUTED_VALUE"""),0)</f>
        <v>0</v>
      </c>
      <c r="G1844" s="1" t="str">
        <f ca="1">IFERROR(__xludf.DUMMYFUNCTION("""COMPUTED_VALUE"""),"2214E6233F0D")</f>
        <v>2214E6233F0D</v>
      </c>
      <c r="H1844" s="1" t="str">
        <f ca="1">IFERROR(__xludf.DUMMYFUNCTION("""COMPUTED_VALUE"""),"P2_053")</f>
        <v>P2_053</v>
      </c>
      <c r="I1844" s="1" t="str">
        <f ca="1">IFERROR(__xludf.DUMMYFUNCTION("""COMPUTED_VALUE"""),"Uri")</f>
        <v>Uri</v>
      </c>
    </row>
    <row r="1845" spans="1:9" ht="12.7" x14ac:dyDescent="0.4">
      <c r="A1845" s="4">
        <f ca="1">IFERROR(__xludf.DUMMYFUNCTION("""COMPUTED_VALUE"""),45175)</f>
        <v>45175</v>
      </c>
      <c r="B1845" s="1" t="str">
        <f ca="1">IFERROR(__xludf.DUMMYFUNCTION("""COMPUTED_VALUE"""),"返修")</f>
        <v>返修</v>
      </c>
      <c r="C1845" s="1" t="str">
        <f ca="1">IFERROR(__xludf.DUMMYFUNCTION("""COMPUTED_VALUE"""),"ME0020000525")</f>
        <v>ME0020000525</v>
      </c>
      <c r="D1845" s="1" t="str">
        <f ca="1">IFERROR(__xludf.DUMMYFUNCTION("""COMPUTED_VALUE"""),"All / 共用")</f>
        <v>All / 共用</v>
      </c>
      <c r="E1845" s="1" t="str">
        <f ca="1">IFERROR(__xludf.DUMMYFUNCTION("""COMPUTED_VALUE"""),"p2/庫存")</f>
        <v>p2/庫存</v>
      </c>
      <c r="F1845" s="1">
        <f ca="1">IFERROR(__xludf.DUMMYFUNCTION("""COMPUTED_VALUE"""),0)</f>
        <v>0</v>
      </c>
      <c r="G1845" s="1"/>
      <c r="H1845" s="1"/>
      <c r="I1845" s="1" t="str">
        <f ca="1">IFERROR(__xludf.DUMMYFUNCTION("""COMPUTED_VALUE"""),"George")</f>
        <v>George</v>
      </c>
    </row>
    <row r="1846" spans="1:9" ht="12.7" x14ac:dyDescent="0.4">
      <c r="A1846" s="4">
        <f ca="1">IFERROR(__xludf.DUMMYFUNCTION("""COMPUTED_VALUE"""),44948)</f>
        <v>44948</v>
      </c>
      <c r="B1846" s="1" t="str">
        <f ca="1">IFERROR(__xludf.DUMMYFUNCTION("""COMPUTED_VALUE"""),"料件上線時間")</f>
        <v>料件上線時間</v>
      </c>
      <c r="C1846" s="1" t="str">
        <f ca="1">IFERROR(__xludf.DUMMYFUNCTION("""COMPUTED_VALUE"""),"ME0020000525")</f>
        <v>ME0020000525</v>
      </c>
      <c r="D1846" s="1" t="str">
        <f ca="1">IFERROR(__xludf.DUMMYFUNCTION("""COMPUTED_VALUE"""),"All / 共用")</f>
        <v>All / 共用</v>
      </c>
      <c r="E1846" s="1" t="str">
        <f ca="1">IFERROR(__xludf.DUMMYFUNCTION("""COMPUTED_VALUE"""),"p2/庫存")</f>
        <v>p2/庫存</v>
      </c>
      <c r="F1846" s="1">
        <f ca="1">IFERROR(__xludf.DUMMYFUNCTION("""COMPUTED_VALUE"""),0)</f>
        <v>0</v>
      </c>
      <c r="G1846" s="1" t="str">
        <f ca="1">IFERROR(__xludf.DUMMYFUNCTION("""COMPUTED_VALUE"""),"2214E6233F0D")</f>
        <v>2214E6233F0D</v>
      </c>
      <c r="H1846" s="1" t="str">
        <f ca="1">IFERROR(__xludf.DUMMYFUNCTION("""COMPUTED_VALUE"""),"P2_053")</f>
        <v>P2_053</v>
      </c>
      <c r="I1846" s="1"/>
    </row>
    <row r="1847" spans="1:9" ht="12.7" x14ac:dyDescent="0.4">
      <c r="A1847" s="4">
        <f ca="1">IFERROR(__xludf.DUMMYFUNCTION("""COMPUTED_VALUE"""),45138)</f>
        <v>45138</v>
      </c>
      <c r="B1847" s="1" t="str">
        <f ca="1">IFERROR(__xludf.DUMMYFUNCTION("""COMPUTED_VALUE"""),"送修")</f>
        <v>送修</v>
      </c>
      <c r="C1847" s="1" t="str">
        <f ca="1">IFERROR(__xludf.DUMMYFUNCTION("""COMPUTED_VALUE"""),"ME0160000101")</f>
        <v>ME0160000101</v>
      </c>
      <c r="D1847" s="1" t="str">
        <f ca="1">IFERROR(__xludf.DUMMYFUNCTION("""COMPUTED_VALUE"""),"All / BA")</f>
        <v>All / BA</v>
      </c>
      <c r="E1847" s="1" t="str">
        <f ca="1">IFERROR(__xludf.DUMMYFUNCTION("""COMPUTED_VALUE"""),"p1/庫存")</f>
        <v>p1/庫存</v>
      </c>
      <c r="F1847" s="1">
        <f ca="1">IFERROR(__xludf.DUMMYFUNCTION("""COMPUTED_VALUE"""),0)</f>
        <v>0</v>
      </c>
      <c r="G1847" s="1"/>
      <c r="H1847" s="1" t="str">
        <f ca="1">IFERROR(__xludf.DUMMYFUNCTION("""COMPUTED_VALUE"""),"P1_010")</f>
        <v>P1_010</v>
      </c>
      <c r="I1847" s="1" t="str">
        <f ca="1">IFERROR(__xludf.DUMMYFUNCTION("""COMPUTED_VALUE"""),"George")</f>
        <v>George</v>
      </c>
    </row>
    <row r="1848" spans="1:9" ht="12.7" x14ac:dyDescent="0.4">
      <c r="A1848" s="4">
        <f ca="1">IFERROR(__xludf.DUMMYFUNCTION("""COMPUTED_VALUE"""),45182)</f>
        <v>45182</v>
      </c>
      <c r="B1848" s="1" t="str">
        <f ca="1">IFERROR(__xludf.DUMMYFUNCTION("""COMPUTED_VALUE"""),"返修")</f>
        <v>返修</v>
      </c>
      <c r="C1848" s="1" t="str">
        <f ca="1">IFERROR(__xludf.DUMMYFUNCTION("""COMPUTED_VALUE"""),"ME0160000101")</f>
        <v>ME0160000101</v>
      </c>
      <c r="D1848" s="1" t="str">
        <f ca="1">IFERROR(__xludf.DUMMYFUNCTION("""COMPUTED_VALUE"""),"All / BA")</f>
        <v>All / BA</v>
      </c>
      <c r="E1848" s="1" t="str">
        <f ca="1">IFERROR(__xludf.DUMMYFUNCTION("""COMPUTED_VALUE"""),"p1/庫存")</f>
        <v>p1/庫存</v>
      </c>
      <c r="F1848" s="1">
        <f ca="1">IFERROR(__xludf.DUMMYFUNCTION("""COMPUTED_VALUE"""),0)</f>
        <v>0</v>
      </c>
      <c r="G1848" s="1"/>
      <c r="H1848" s="1"/>
      <c r="I1848" s="1" t="str">
        <f ca="1">IFERROR(__xludf.DUMMYFUNCTION("""COMPUTED_VALUE"""),"George")</f>
        <v>George</v>
      </c>
    </row>
    <row r="1849" spans="1:9" ht="12.7" x14ac:dyDescent="0.4">
      <c r="A1849" s="4">
        <f ca="1">IFERROR(__xludf.DUMMYFUNCTION("""COMPUTED_VALUE"""),44805)</f>
        <v>44805</v>
      </c>
      <c r="B1849" s="1" t="str">
        <f ca="1">IFERROR(__xludf.DUMMYFUNCTION("""COMPUTED_VALUE"""),"料件上線時間")</f>
        <v>料件上線時間</v>
      </c>
      <c r="C1849" s="1" t="str">
        <f ca="1">IFERROR(__xludf.DUMMYFUNCTION("""COMPUTED_VALUE"""),"ME0160000101")</f>
        <v>ME0160000101</v>
      </c>
      <c r="D1849" s="1" t="str">
        <f ca="1">IFERROR(__xludf.DUMMYFUNCTION("""COMPUTED_VALUE"""),"All / BA")</f>
        <v>All / BA</v>
      </c>
      <c r="E1849" s="1" t="str">
        <f ca="1">IFERROR(__xludf.DUMMYFUNCTION("""COMPUTED_VALUE"""),"p1/庫存")</f>
        <v>p1/庫存</v>
      </c>
      <c r="F1849" s="1">
        <f ca="1">IFERROR(__xludf.DUMMYFUNCTION("""COMPUTED_VALUE"""),0)</f>
        <v>0</v>
      </c>
      <c r="G1849" s="1"/>
      <c r="H1849" s="1" t="str">
        <f ca="1">IFERROR(__xludf.DUMMYFUNCTION("""COMPUTED_VALUE"""),"P1_010")</f>
        <v>P1_010</v>
      </c>
      <c r="I1849" s="1"/>
    </row>
    <row r="1850" spans="1:9" ht="12.7" x14ac:dyDescent="0.4">
      <c r="A1850" s="4">
        <f ca="1">IFERROR(__xludf.DUMMYFUNCTION("""COMPUTED_VALUE"""),45166)</f>
        <v>45166</v>
      </c>
      <c r="B1850" s="1" t="str">
        <f ca="1">IFERROR(__xludf.DUMMYFUNCTION("""COMPUTED_VALUE"""),"送修")</f>
        <v>送修</v>
      </c>
      <c r="C1850" s="1" t="str">
        <f ca="1">IFERROR(__xludf.DUMMYFUNCTION("""COMPUTED_VALUE"""),"ME0020000544")</f>
        <v>ME0020000544</v>
      </c>
      <c r="D1850" s="1" t="str">
        <f ca="1">IFERROR(__xludf.DUMMYFUNCTION("""COMPUTED_VALUE"""),"All / BA")</f>
        <v>All / BA</v>
      </c>
      <c r="E1850" s="1" t="str">
        <f ca="1">IFERROR(__xludf.DUMMYFUNCTION("""COMPUTED_VALUE"""),"p1/庫存")</f>
        <v>p1/庫存</v>
      </c>
      <c r="F1850" s="1">
        <f ca="1">IFERROR(__xludf.DUMMYFUNCTION("""COMPUTED_VALUE"""),0)</f>
        <v>0</v>
      </c>
      <c r="G1850" s="1" t="str">
        <f ca="1">IFERROR(__xludf.DUMMYFUNCTION("""COMPUTED_VALUE"""),"E2266Q5001030031-0A")</f>
        <v>E2266Q5001030031-0A</v>
      </c>
      <c r="H1850" s="1" t="str">
        <f ca="1">IFERROR(__xludf.DUMMYFUNCTION("""COMPUTED_VALUE"""),"P1_029")</f>
        <v>P1_029</v>
      </c>
      <c r="I1850" s="1" t="str">
        <f ca="1">IFERROR(__xludf.DUMMYFUNCTION("""COMPUTED_VALUE"""),"George")</f>
        <v>George</v>
      </c>
    </row>
    <row r="1851" spans="1:9" ht="12.7" x14ac:dyDescent="0.4">
      <c r="A1851" s="4">
        <f ca="1">IFERROR(__xludf.DUMMYFUNCTION("""COMPUTED_VALUE"""),45175)</f>
        <v>45175</v>
      </c>
      <c r="B1851" s="1" t="str">
        <f ca="1">IFERROR(__xludf.DUMMYFUNCTION("""COMPUTED_VALUE"""),"返修")</f>
        <v>返修</v>
      </c>
      <c r="C1851" s="1" t="str">
        <f ca="1">IFERROR(__xludf.DUMMYFUNCTION("""COMPUTED_VALUE"""),"ME0020000544")</f>
        <v>ME0020000544</v>
      </c>
      <c r="D1851" s="1" t="str">
        <f ca="1">IFERROR(__xludf.DUMMYFUNCTION("""COMPUTED_VALUE"""),"All / BA")</f>
        <v>All / BA</v>
      </c>
      <c r="E1851" s="1" t="str">
        <f ca="1">IFERROR(__xludf.DUMMYFUNCTION("""COMPUTED_VALUE"""),"p1/庫存")</f>
        <v>p1/庫存</v>
      </c>
      <c r="F1851" s="1">
        <f ca="1">IFERROR(__xludf.DUMMYFUNCTION("""COMPUTED_VALUE"""),0)</f>
        <v>0</v>
      </c>
      <c r="G1851" s="1" t="str">
        <f ca="1">IFERROR(__xludf.DUMMYFUNCTION("""COMPUTED_VALUE"""),"E2266Q5001030031-0A")</f>
        <v>E2266Q5001030031-0A</v>
      </c>
      <c r="H1851" s="1"/>
      <c r="I1851" s="1" t="str">
        <f ca="1">IFERROR(__xludf.DUMMYFUNCTION("""COMPUTED_VALUE"""),"George")</f>
        <v>George</v>
      </c>
    </row>
    <row r="1852" spans="1:9" ht="12.7" x14ac:dyDescent="0.4">
      <c r="A1852" s="4">
        <f ca="1">IFERROR(__xludf.DUMMYFUNCTION("""COMPUTED_VALUE"""),44805)</f>
        <v>44805</v>
      </c>
      <c r="B1852" s="1" t="str">
        <f ca="1">IFERROR(__xludf.DUMMYFUNCTION("""COMPUTED_VALUE"""),"料件上線時間")</f>
        <v>料件上線時間</v>
      </c>
      <c r="C1852" s="1" t="str">
        <f ca="1">IFERROR(__xludf.DUMMYFUNCTION("""COMPUTED_VALUE"""),"ME0020000544")</f>
        <v>ME0020000544</v>
      </c>
      <c r="D1852" s="1" t="str">
        <f ca="1">IFERROR(__xludf.DUMMYFUNCTION("""COMPUTED_VALUE"""),"All / BA")</f>
        <v>All / BA</v>
      </c>
      <c r="E1852" s="1" t="str">
        <f ca="1">IFERROR(__xludf.DUMMYFUNCTION("""COMPUTED_VALUE"""),"p1/庫存")</f>
        <v>p1/庫存</v>
      </c>
      <c r="F1852" s="1">
        <f ca="1">IFERROR(__xludf.DUMMYFUNCTION("""COMPUTED_VALUE"""),0)</f>
        <v>0</v>
      </c>
      <c r="G1852" s="1" t="str">
        <f ca="1">IFERROR(__xludf.DUMMYFUNCTION("""COMPUTED_VALUE"""),"E2266Q5001030031-0A")</f>
        <v>E2266Q5001030031-0A</v>
      </c>
      <c r="H1852" s="1" t="str">
        <f ca="1">IFERROR(__xludf.DUMMYFUNCTION("""COMPUTED_VALUE"""),"P1_029")</f>
        <v>P1_029</v>
      </c>
      <c r="I1852" s="1"/>
    </row>
    <row r="1853" spans="1:9" ht="12.7" x14ac:dyDescent="0.4">
      <c r="A1853" s="4">
        <f ca="1">IFERROR(__xludf.DUMMYFUNCTION("""COMPUTED_VALUE"""),45051)</f>
        <v>45051</v>
      </c>
      <c r="B1853" s="1" t="str">
        <f ca="1">IFERROR(__xludf.DUMMYFUNCTION("""COMPUTED_VALUE"""),"送修")</f>
        <v>送修</v>
      </c>
      <c r="C1853" s="1" t="str">
        <f ca="1">IFERROR(__xludf.DUMMYFUNCTION("""COMPUTED_VALUE"""),"布燈調節器")</f>
        <v>布燈調節器</v>
      </c>
      <c r="D1853" s="1" t="str">
        <f ca="1">IFERROR(__xludf.DUMMYFUNCTION("""COMPUTED_VALUE"""),"All / 共用")</f>
        <v>All / 共用</v>
      </c>
      <c r="E1853" s="1" t="str">
        <f ca="1">IFERROR(__xludf.DUMMYFUNCTION("""COMPUTED_VALUE"""),"p1/庫存")</f>
        <v>p1/庫存</v>
      </c>
      <c r="F1853" s="1">
        <f ca="1">IFERROR(__xludf.DUMMYFUNCTION("""COMPUTED_VALUE"""),0)</f>
        <v>0</v>
      </c>
      <c r="G1853" s="1"/>
      <c r="H1853" s="1"/>
      <c r="I1853" s="1" t="str">
        <f ca="1">IFERROR(__xludf.DUMMYFUNCTION("""COMPUTED_VALUE"""),"Simon")</f>
        <v>Simon</v>
      </c>
    </row>
    <row r="1854" spans="1:9" ht="12.7" x14ac:dyDescent="0.4">
      <c r="A1854" s="4">
        <f ca="1">IFERROR(__xludf.DUMMYFUNCTION("""COMPUTED_VALUE"""),44805)</f>
        <v>44805</v>
      </c>
      <c r="B1854" s="1" t="str">
        <f ca="1">IFERROR(__xludf.DUMMYFUNCTION("""COMPUTED_VALUE"""),"料件上線時間")</f>
        <v>料件上線時間</v>
      </c>
      <c r="C1854" s="1" t="str">
        <f ca="1">IFERROR(__xludf.DUMMYFUNCTION("""COMPUTED_VALUE"""),"布燈調節器")</f>
        <v>布燈調節器</v>
      </c>
      <c r="D1854" s="1" t="str">
        <f ca="1">IFERROR(__xludf.DUMMYFUNCTION("""COMPUTED_VALUE"""),"All / 共用")</f>
        <v>All / 共用</v>
      </c>
      <c r="E1854" s="1" t="str">
        <f ca="1">IFERROR(__xludf.DUMMYFUNCTION("""COMPUTED_VALUE"""),"p1/庫存")</f>
        <v>p1/庫存</v>
      </c>
      <c r="F1854" s="1">
        <f ca="1">IFERROR(__xludf.DUMMYFUNCTION("""COMPUTED_VALUE"""),0)</f>
        <v>0</v>
      </c>
      <c r="G1854" s="1"/>
      <c r="H1854" s="1"/>
      <c r="I1854" s="1"/>
    </row>
    <row r="1855" spans="1:9" ht="12.7" x14ac:dyDescent="0.4">
      <c r="A1855" s="2">
        <f ca="1">IFERROR(__xludf.DUMMYFUNCTION("""COMPUTED_VALUE"""),45526.6302385185)</f>
        <v>45526.630238518497</v>
      </c>
      <c r="B1855" s="1" t="str">
        <f ca="1">IFERROR(__xludf.DUMMYFUNCTION("""COMPUTED_VALUE"""),"進貨")</f>
        <v>進貨</v>
      </c>
      <c r="C1855" s="1" t="str">
        <f ca="1">IFERROR(__xludf.DUMMYFUNCTION("""COMPUTED_VALUE"""),"ME0270001131")</f>
        <v>ME0270001131</v>
      </c>
      <c r="D1855" s="1" t="str">
        <f ca="1">IFERROR(__xludf.DUMMYFUNCTION("""COMPUTED_VALUE"""),"All/共用")</f>
        <v>All/共用</v>
      </c>
      <c r="E1855" s="1" t="str">
        <f ca="1">IFERROR(__xludf.DUMMYFUNCTION("""COMPUTED_VALUE"""),"p2/庫存")</f>
        <v>p2/庫存</v>
      </c>
      <c r="F1855" s="1">
        <f ca="1">IFERROR(__xludf.DUMMYFUNCTION("""COMPUTED_VALUE"""),0)</f>
        <v>0</v>
      </c>
      <c r="G1855" s="1"/>
      <c r="H1855" s="1" t="str">
        <f ca="1">IFERROR(__xludf.DUMMYFUNCTION("""COMPUTED_VALUE"""),"P2")</f>
        <v>P2</v>
      </c>
      <c r="I1855" s="1" t="str">
        <f ca="1">IFERROR(__xludf.DUMMYFUNCTION("""COMPUTED_VALUE"""),"Chiao Yu")</f>
        <v>Chiao Yu</v>
      </c>
    </row>
    <row r="1856" spans="1:9" ht="12.7" x14ac:dyDescent="0.4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ht="12.7" x14ac:dyDescent="0.4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ht="12.7" x14ac:dyDescent="0.4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ht="12.7" x14ac:dyDescent="0.4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ht="12.7" x14ac:dyDescent="0.4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ht="12.7" x14ac:dyDescent="0.4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ht="12.7" x14ac:dyDescent="0.4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ht="12.7" x14ac:dyDescent="0.4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ht="12.7" x14ac:dyDescent="0.4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ht="12.7" x14ac:dyDescent="0.4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ht="12.7" x14ac:dyDescent="0.4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ht="12.7" x14ac:dyDescent="0.4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ht="12.7" x14ac:dyDescent="0.4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ht="12.7" x14ac:dyDescent="0.4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ht="12.7" x14ac:dyDescent="0.4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ht="12.7" x14ac:dyDescent="0.4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ht="12.7" x14ac:dyDescent="0.4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ht="12.7" x14ac:dyDescent="0.4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ht="12.7" x14ac:dyDescent="0.4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ht="12.7" x14ac:dyDescent="0.4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ht="12.7" x14ac:dyDescent="0.4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ht="12.7" x14ac:dyDescent="0.4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ht="12.7" x14ac:dyDescent="0.4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ht="12.7" x14ac:dyDescent="0.4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ht="12.7" x14ac:dyDescent="0.4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ht="12.7" x14ac:dyDescent="0.4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ht="12.7" x14ac:dyDescent="0.4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ht="12.7" x14ac:dyDescent="0.4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ht="12.7" x14ac:dyDescent="0.4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ht="12.7" x14ac:dyDescent="0.4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ht="12.7" x14ac:dyDescent="0.4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ht="12.7" x14ac:dyDescent="0.4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ht="12.7" x14ac:dyDescent="0.4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ht="12.7" x14ac:dyDescent="0.4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ht="12.7" x14ac:dyDescent="0.4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ht="12.7" x14ac:dyDescent="0.4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ht="12.7" x14ac:dyDescent="0.4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ht="12.7" x14ac:dyDescent="0.4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ht="12.7" x14ac:dyDescent="0.4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ht="12.7" x14ac:dyDescent="0.4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ht="12.7" x14ac:dyDescent="0.4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ht="12.7" x14ac:dyDescent="0.4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ht="12.7" x14ac:dyDescent="0.4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ht="12.7" x14ac:dyDescent="0.4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ht="12.7" x14ac:dyDescent="0.4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ht="12.7" x14ac:dyDescent="0.4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ht="12.7" x14ac:dyDescent="0.4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ht="12.7" x14ac:dyDescent="0.4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ht="12.7" x14ac:dyDescent="0.4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ht="12.7" x14ac:dyDescent="0.4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ht="12.7" x14ac:dyDescent="0.4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ht="12.7" x14ac:dyDescent="0.4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ht="12.7" x14ac:dyDescent="0.4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ht="12.7" x14ac:dyDescent="0.4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ht="12.7" x14ac:dyDescent="0.4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ht="12.7" x14ac:dyDescent="0.4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ht="12.7" x14ac:dyDescent="0.4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ht="12.7" x14ac:dyDescent="0.4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ht="12.7" x14ac:dyDescent="0.4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ht="12.7" x14ac:dyDescent="0.4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ht="12.7" x14ac:dyDescent="0.4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ht="12.7" x14ac:dyDescent="0.4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ht="12.7" x14ac:dyDescent="0.4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ht="12.7" x14ac:dyDescent="0.4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ht="12.7" x14ac:dyDescent="0.4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ht="12.7" x14ac:dyDescent="0.4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ht="12.7" x14ac:dyDescent="0.4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ht="12.7" x14ac:dyDescent="0.4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ht="12.7" x14ac:dyDescent="0.4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ht="12.7" x14ac:dyDescent="0.4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ht="12.7" x14ac:dyDescent="0.4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ht="12.7" x14ac:dyDescent="0.4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ht="12.7" x14ac:dyDescent="0.4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ht="12.7" x14ac:dyDescent="0.4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ht="12.7" x14ac:dyDescent="0.4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ht="12.7" x14ac:dyDescent="0.4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ht="12.7" x14ac:dyDescent="0.4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ht="12.7" x14ac:dyDescent="0.4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ht="12.7" x14ac:dyDescent="0.4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ht="12.7" x14ac:dyDescent="0.4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ht="12.7" x14ac:dyDescent="0.4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ht="12.7" x14ac:dyDescent="0.4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ht="12.7" x14ac:dyDescent="0.4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ht="12.7" x14ac:dyDescent="0.4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ht="12.7" x14ac:dyDescent="0.4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ht="12.7" x14ac:dyDescent="0.4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ht="12.7" x14ac:dyDescent="0.4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ht="12.7" x14ac:dyDescent="0.4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ht="12.7" x14ac:dyDescent="0.4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ht="12.7" x14ac:dyDescent="0.4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ht="12.7" x14ac:dyDescent="0.4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ht="12.7" x14ac:dyDescent="0.4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ht="12.7" x14ac:dyDescent="0.4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ht="12.7" x14ac:dyDescent="0.4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ht="12.7" x14ac:dyDescent="0.4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ht="12.7" x14ac:dyDescent="0.4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ht="12.7" x14ac:dyDescent="0.4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ht="12.7" x14ac:dyDescent="0.4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ht="12.7" x14ac:dyDescent="0.4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ht="12.7" x14ac:dyDescent="0.4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ht="12.7" x14ac:dyDescent="0.4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ht="12.7" x14ac:dyDescent="0.4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ht="12.7" x14ac:dyDescent="0.4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ht="12.7" x14ac:dyDescent="0.4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ht="12.7" x14ac:dyDescent="0.4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ht="12.7" x14ac:dyDescent="0.4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ht="12.7" x14ac:dyDescent="0.4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ht="12.7" x14ac:dyDescent="0.4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ht="12.7" x14ac:dyDescent="0.4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ht="12.7" x14ac:dyDescent="0.4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ht="12.7" x14ac:dyDescent="0.4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ht="12.7" x14ac:dyDescent="0.4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ht="12.7" x14ac:dyDescent="0.4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ht="12.7" x14ac:dyDescent="0.4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ht="12.7" x14ac:dyDescent="0.4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ht="12.7" x14ac:dyDescent="0.4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ht="12.7" x14ac:dyDescent="0.4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ht="12.7" x14ac:dyDescent="0.4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ht="12.7" x14ac:dyDescent="0.4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ht="12.7" x14ac:dyDescent="0.4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ht="12.7" x14ac:dyDescent="0.4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ht="12.7" x14ac:dyDescent="0.4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ht="12.7" x14ac:dyDescent="0.4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ht="12.7" x14ac:dyDescent="0.4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ht="12.7" x14ac:dyDescent="0.4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ht="12.7" x14ac:dyDescent="0.4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ht="12.7" x14ac:dyDescent="0.4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ht="12.7" x14ac:dyDescent="0.4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ht="12.7" x14ac:dyDescent="0.4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ht="12.7" x14ac:dyDescent="0.4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ht="12.7" x14ac:dyDescent="0.4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ht="12.7" x14ac:dyDescent="0.4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ht="12.7" x14ac:dyDescent="0.4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ht="12.7" x14ac:dyDescent="0.4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ht="12.7" x14ac:dyDescent="0.4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ht="12.7" x14ac:dyDescent="0.4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ht="12.7" x14ac:dyDescent="0.4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ht="12.7" x14ac:dyDescent="0.4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ht="12.7" x14ac:dyDescent="0.4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ht="12.7" x14ac:dyDescent="0.4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ht="12.7" x14ac:dyDescent="0.4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ht="12.7" x14ac:dyDescent="0.4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ht="12.7" x14ac:dyDescent="0.4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ht="12.7" x14ac:dyDescent="0.4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ht="12.7" x14ac:dyDescent="0.4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ht="12.7" x14ac:dyDescent="0.4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ht="12.7" x14ac:dyDescent="0.4">
      <c r="A2002" s="1"/>
      <c r="B2002" s="1"/>
      <c r="C2002" s="1"/>
      <c r="D2002" s="1"/>
      <c r="E2002" s="1"/>
      <c r="F2002" s="1"/>
      <c r="G2002" s="1"/>
      <c r="H2002" s="1"/>
      <c r="I200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lin</cp:lastModifiedBy>
  <dcterms:modified xsi:type="dcterms:W3CDTF">2026-06-05T03:34:41Z</dcterms:modified>
</cp:coreProperties>
</file>